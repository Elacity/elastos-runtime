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2da734eecf6472a" /></Relationships>
</file>

<file path=xl/workbook.xml><?xml version="1.0" encoding="utf-8"?>
<x:workbook xmlns:x="http://schemas.openxmlformats.org/spreadsheetml/2006/main">
  <x:sheets>
    <x:sheet xmlns:r="http://schemas.openxmlformats.org/officeDocument/2006/relationships" name="Coverage" sheetId="1" r:id="R91e8907e4cab47a7"/>
    <x:sheet xmlns:r="http://schemas.openxmlformats.org/officeDocument/2006/relationships" name="Journey Matrix" sheetId="2" r:id="Rf04a8686ad4c4448"/>
    <x:sheet xmlns:r="http://schemas.openxmlformats.org/officeDocument/2006/relationships" name="Control Index" sheetId="3" r:id="R4ed5471b78d34685"/>
    <x:sheet xmlns:r="http://schemas.openxmlformats.org/officeDocument/2006/relationships" name="Findings" sheetId="4" r:id="R50034081886f4038"/>
    <x:sheet xmlns:r="http://schemas.openxmlformats.org/officeDocument/2006/relationships" name="Prioritized Plan" sheetId="5" r:id="Rf59f7f48194d4eca"/>
    <x:sheet xmlns:r="http://schemas.openxmlformats.org/officeDocument/2006/relationships" name="Read Me + Evidence" sheetId="6" r:id="R8f30d66bb1384936"/>
    <x:sheet xmlns:r="http://schemas.openxmlformats.org/officeDocument/2006/relationships" name="Principles Review" sheetId="7" r:id="Rb4601da5e97e4ce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3">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
      <x:patternFill patternType="solid">
        <x:fgColor rgb="FFF2F8FE"/>
      </x:patternFill>
    </x:fill>
  </x:fills>
  <x:borders count="1">
    <x:border/>
  </x:borders>
  <x:cellStyleXfs count="1">
    <x:xf numFmtId="0" fontId="0" fillId="0" borderId="0"/>
  </x:cellStyleXfs>
  <x:cellXfs count="59">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xf numFmtId="0" fontId="1" fillId="12" borderId="0" xfId="0" applyNumberFormat="1" applyFont="1" applyFill="1" applyBorder="1" applyAlignment="1">
      <x:alignment vertical="top" wrapText="1"/>
    </x:xf>
  </x:cellXfs>
  <x:cellStyles count="1">
    <x:cellStyle name="Normal" xfId="0"/>
  </x:cellStyles>
  <x:dxfs count="43">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color rgb="FF256545"/>
      </x:font>
      <x:fill>
        <x:patternFill patternType="solid">
          <x:bgColor rgb="FFE8F4EC"/>
        </x:patternFill>
      </x:fill>
    </x:dxf>
    <x:dxf>
      <x:font>
        <x:color rgb="FFA4262C"/>
      </x:font>
      <x:fill>
        <x:patternFill patternType="solid">
          <x:bgColor rgb="FFFCEBED"/>
        </x:patternFill>
      </x:fill>
    </x:dxf>
    <x:dxf>
      <x:font>
        <x:color rgb="FF865A12"/>
      </x:font>
      <x:fill>
        <x:patternFill patternType="solid">
          <x:bgColor rgb="FFFFF3D9"/>
        </x:patternFill>
      </x:fill>
    </x:dxf>
    <x:dxf>
      <x:font>
        <x:color rgb="FF865A12"/>
      </x:font>
      <x:fill>
        <x:patternFill patternType="solid">
          <x:bgColor rgb="FFFFF3D9"/>
        </x:patternFill>
      </x:fill>
    </x:dxf>
    <x:dxf>
      <x:font>
        <x:color rgb="FF65477E"/>
      </x:font>
      <x:fill>
        <x:patternFill patternType="solid">
          <x:bgColor rgb="FFF0EAF7"/>
        </x:patternFill>
      </x:fill>
    </x:dxf>
    <x:dxf>
      <x:font>
        <x:color rgb="FF55666A"/>
      </x:font>
      <x:fill>
        <x:patternFill patternType="solid">
          <x:bgColor rgb="FFF3F5F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7e79ef130c14353" /><Relationship Type="http://schemas.openxmlformats.org/officeDocument/2006/relationships/theme" Target="/xl/theme/theme1.xml" Id="R39a9d32bcd8947cf" /><Relationship Type="http://schemas.openxmlformats.org/officeDocument/2006/relationships/sharedStrings" Target="/xl/sharedStrings.xml" Id="R576f0781d1f04d8d" /><Relationship Type="http://schemas.openxmlformats.org/officeDocument/2006/relationships/worksheet" Target="/xl/worksheets/sheet1.xml" Id="R91e8907e4cab47a7" /><Relationship Type="http://schemas.openxmlformats.org/officeDocument/2006/relationships/worksheet" Target="/xl/worksheets/sheet2.xml" Id="Rf04a8686ad4c4448" /><Relationship Type="http://schemas.openxmlformats.org/officeDocument/2006/relationships/worksheet" Target="/xl/worksheets/sheet3.xml" Id="R4ed5471b78d34685" /><Relationship Type="http://schemas.openxmlformats.org/officeDocument/2006/relationships/worksheet" Target="/xl/worksheets/sheet4.xml" Id="R50034081886f4038" /><Relationship Type="http://schemas.openxmlformats.org/officeDocument/2006/relationships/worksheet" Target="/xl/worksheets/sheet5.xml" Id="Rf59f7f48194d4eca" /><Relationship Type="http://schemas.openxmlformats.org/officeDocument/2006/relationships/worksheet" Target="/xl/worksheets/sheet6.xml" Id="R8f30d66bb1384936" /><Relationship Type="http://schemas.openxmlformats.org/officeDocument/2006/relationships/worksheet" Target="/xl/worksheets/sheet7.xml" Id="Rb4601da5e97e4ce6" /></Relationships>
</file>

<file path=xl/tables/table1.xml><?xml version="1.0" encoding="utf-8"?>
<x:table xmlns:x="http://schemas.openxmlformats.org/spreadsheetml/2006/main" id="7" name="CoverageByCapsule" displayName="CoverageByCapsule" ref="A26:K52" headerRowCount="1" totalsRowCount="0" totalsRowShown="0">
  <x:autoFilter ref="A26:K52"/>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4" headerRowCount="1" totalsRowCount="0" totalsRowShown="0">
  <x:autoFilter ref="A6:U204"/>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bd83dd80bfd49df" /></Relationships>
</file>

<file path=xl/worksheets/_rels/sheet2.xml.rels>&#65279;<?xml version="1.0" encoding="utf-8"?><Relationships xmlns="http://schemas.openxmlformats.org/package/2006/relationships"><Relationship Type="http://schemas.openxmlformats.org/officeDocument/2006/relationships/table" Target="/xl/tables/table2.xml" Id="Rc0dbeacf9bbe4b87" /></Relationships>
</file>

<file path=xl/worksheets/_rels/sheet3.xml.rels>&#65279;<?xml version="1.0" encoding="utf-8"?><Relationships xmlns="http://schemas.openxmlformats.org/package/2006/relationships"><Relationship Type="http://schemas.openxmlformats.org/officeDocument/2006/relationships/table" Target="/xl/tables/table3.xml" Id="R35a34facaec94985" /><Relationship Type="http://schemas.openxmlformats.org/officeDocument/2006/relationships/table" Target="/xl/tables/table4.xml" Id="R9c2f776b02f847fb" /></Relationships>
</file>

<file path=xl/worksheets/_rels/sheet4.xml.rels>&#65279;<?xml version="1.0" encoding="utf-8"?><Relationships xmlns="http://schemas.openxmlformats.org/package/2006/relationships"><Relationship Type="http://schemas.openxmlformats.org/officeDocument/2006/relationships/table" Target="/xl/tables/table5.xml" Id="R1bd54ba27e3849cd" /></Relationships>
</file>

<file path=xl/worksheets/_rels/sheet5.xml.rels>&#65279;<?xml version="1.0" encoding="utf-8"?><Relationships xmlns="http://schemas.openxmlformats.org/package/2006/relationships"><Relationship Type="http://schemas.openxmlformats.org/officeDocument/2006/relationships/table" Target="/xl/tables/table6.xml" Id="Rc5c8594e64cb47d7" /></Relationships>
</file>

<file path=xl/worksheets/_rels/sheet6.xml.rels>&#65279;<?xml version="1.0" encoding="utf-8"?><Relationships xmlns="http://schemas.openxmlformats.org/package/2006/relationships"><Relationship Type="http://schemas.openxmlformats.org/officeDocument/2006/relationships/table" Target="/xl/tables/table7.xml" Id="Recef94be20804f93" /></Relationships>
</file>

<file path=xl/worksheets/_rels/sheet7.xml.rels>&#65279;<?xml version="1.0" encoding="utf-8"?><Relationships xmlns="http://schemas.openxmlformats.org/package/2006/relationships"><Relationship Type="http://schemas.openxmlformats.org/officeDocument/2006/relationships/table" Target="/xl/tables/table8.xml" Id="Rb72d2226f11342bb"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Matrix'!$A$7:$A$204)</x:f>
        <x:v>198</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COUNTIFS(J27:J52,"Yes",B27:B52,"&gt;0")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IFERROR(C7/COUNTIF(J27:J52,"Yes"),0)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Matrix'!$T$7:$T$204)</x:f>
        <x:v>182</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Matrix'!$R$7:$R$204)</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Matrix'!$S$7:$S$204)</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0.5824175824175825</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Matrix'!$D$7:$D$204,'Read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Matrix'!$D$7:$D$204,'Read Me + Evidence'!$H$10)</x:f>
        <x:v>76</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Matrix'!$Q$7:$Q$204,'Read Me + Evidence'!$K$11,'Journey Matrix'!$D$7:$D$204,'Read Me + Evidence'!$H$7)+COUNTIFS('Journey Matrix'!$Q$7:$Q$204,'Read Me + Evidence'!$K$11,'Journey Matrix'!$D$7:$D$204,'Read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0.2967032967032967</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Matrix'!$P$7:$P$204,A27)</x:f>
        <x:v>6</x:v>
      </x:c>
      <x:c r="C27" s="14" t="n">
        <x:f>SUMIFS('Journey Matrix'!$T$7:$T$204,'Journey Matrix'!$P$7:$P$204,A27)</x:f>
        <x:v>6</x:v>
      </x:c>
      <x:c r="D27" s="14" t="n">
        <x:f>SUMIFS('Journey Matrix'!$R$7:$R$204,'Journey Matrix'!$P$7:$P$204,A27)</x:f>
        <x:v>5</x:v>
      </x:c>
      <x:c r="E27" s="14" t="n">
        <x:f>SUMIFS('Journey Matrix'!$S$7:$S$204,'Journey Matrix'!$P$7:$P$204,A27)</x:f>
        <x:v>0</x:v>
      </x:c>
      <x:c r="F27" s="14" t="n">
        <x:f>COUNTIFS('Journey Matrix'!$P$7:$P$204,A27,'Journey Matrix'!$D$7:$D$204,'Read Me + Evidence'!$H$8)</x:f>
        <x:v>3</x:v>
      </x:c>
      <x:c r="G27" s="14" t="n">
        <x:f>COUNTIFS('Journey Matrix'!$P$7:$P$204,A27,'Journey Matrix'!$D$7:$D$204,'Read Me + Evidence'!$H$9)</x:f>
        <x:v>2</x:v>
      </x:c>
      <x:c r="H27" s="14" t="n">
        <x:f>COUNTIFS('Journey Matrix'!$P$7:$P$204,A27,'Journey Matrix'!$D$7:$D$204,'Read Me + Evidence'!$H$11)</x:f>
        <x:v>0</x:v>
      </x:c>
      <x:c r="I27" s="14" t="n">
        <x:f>COUNTIFS('Journey Matrix'!$P$7:$P$204,A27,'Journey Matrix'!$D$7:$D$204,'Read Me + Evidence'!$H$10)</x:f>
        <x:v>1</x:v>
      </x:c>
      <x:c r="J27" s="3" t="str">
        <x:v>Yes</x:v>
      </x:c>
      <x:c r="K27" s="14" t="n">
        <x:f>COUNTIF('Control Index'!$B$7:$B$255,A27)</x:f>
        <x:v>11</x:v>
      </x:c>
    </x:row>
    <x:row r="28" ht="25.5" customHeight="1">
      <x:c r="A28" s="3" t="str">
        <x:v>assistant</x:v>
      </x:c>
      <x:c r="B28" s="14" t="n">
        <x:f>COUNTIF('Journey Matrix'!$P$7:$P$204,A28)</x:f>
        <x:v>12</x:v>
      </x:c>
      <x:c r="C28" s="14" t="n">
        <x:f>SUMIFS('Journey Matrix'!$T$7:$T$204,'Journey Matrix'!$P$7:$P$204,A28)</x:f>
        <x:v>12</x:v>
      </x:c>
      <x:c r="D28" s="14" t="n">
        <x:f>SUMIFS('Journey Matrix'!$R$7:$R$204,'Journey Matrix'!$P$7:$P$204,A28)</x:f>
        <x:v>5</x:v>
      </x:c>
      <x:c r="E28" s="14" t="n">
        <x:f>SUMIFS('Journey Matrix'!$S$7:$S$204,'Journey Matrix'!$P$7:$P$204,A28)</x:f>
        <x:v>2</x:v>
      </x:c>
      <x:c r="F28" s="14" t="n">
        <x:f>COUNTIFS('Journey Matrix'!$P$7:$P$204,A28,'Journey Matrix'!$D$7:$D$204,'Read Me + Evidence'!$H$8)</x:f>
        <x:v>0</x:v>
      </x:c>
      <x:c r="G28" s="14" t="n">
        <x:f>COUNTIFS('Journey Matrix'!$P$7:$P$204,A28,'Journey Matrix'!$D$7:$D$204,'Read Me + Evidence'!$H$9)</x:f>
        <x:v>3</x:v>
      </x:c>
      <x:c r="H28" s="14" t="n">
        <x:f>COUNTIFS('Journey Matrix'!$P$7:$P$204,A28,'Journey Matrix'!$D$7:$D$204,'Read Me + Evidence'!$H$11)</x:f>
        <x:v>0</x:v>
      </x:c>
      <x:c r="I28" s="14" t="n">
        <x:f>COUNTIFS('Journey Matrix'!$P$7:$P$204,A28,'Journey Matrix'!$D$7:$D$204,'Read Me + Evidence'!$H$10)</x:f>
        <x:v>7</x:v>
      </x:c>
      <x:c r="J28" s="3" t="str">
        <x:v>Yes</x:v>
      </x:c>
      <x:c r="K28" s="14" t="n">
        <x:f>COUNTIF('Control Index'!$B$7:$B$255,A28)</x:f>
        <x:v>10</x:v>
      </x:c>
    </x:row>
    <x:row r="29" ht="25.5" customHeight="1">
      <x:c r="A29" s="3" t="str">
        <x:v>browser</x:v>
      </x:c>
      <x:c r="B29" s="14" t="n">
        <x:f>COUNTIF('Journey Matrix'!$P$7:$P$204,A29)</x:f>
        <x:v>12</x:v>
      </x:c>
      <x:c r="C29" s="14" t="n">
        <x:f>SUMIFS('Journey Matrix'!$T$7:$T$204,'Journey Matrix'!$P$7:$P$204,A29)</x:f>
        <x:v>12</x:v>
      </x:c>
      <x:c r="D29" s="14" t="n">
        <x:f>SUMIFS('Journey Matrix'!$R$7:$R$204,'Journey Matrix'!$P$7:$P$204,A29)</x:f>
        <x:v>8</x:v>
      </x:c>
      <x:c r="E29" s="14" t="n">
        <x:f>SUMIFS('Journey Matrix'!$S$7:$S$204,'Journey Matrix'!$P$7:$P$204,A29)</x:f>
        <x:v>0</x:v>
      </x:c>
      <x:c r="F29" s="14" t="n">
        <x:f>COUNTIFS('Journey Matrix'!$P$7:$P$204,A29,'Journey Matrix'!$D$7:$D$204,'Read Me + Evidence'!$H$8)</x:f>
        <x:v>5</x:v>
      </x:c>
      <x:c r="G29" s="14" t="n">
        <x:f>COUNTIFS('Journey Matrix'!$P$7:$P$204,A29,'Journey Matrix'!$D$7:$D$204,'Read Me + Evidence'!$H$9)</x:f>
        <x:v>3</x:v>
      </x:c>
      <x:c r="H29" s="14" t="n">
        <x:f>COUNTIFS('Journey Matrix'!$P$7:$P$204,A29,'Journey Matrix'!$D$7:$D$204,'Read Me + Evidence'!$H$11)</x:f>
        <x:v>1</x:v>
      </x:c>
      <x:c r="I29" s="14" t="n">
        <x:f>COUNTIFS('Journey Matrix'!$P$7:$P$204,A29,'Journey Matrix'!$D$7:$D$204,'Read Me + Evidence'!$H$10)</x:f>
        <x:v>3</x:v>
      </x:c>
      <x:c r="J29" s="3" t="str">
        <x:v>Yes</x:v>
      </x:c>
      <x:c r="K29" s="14" t="n">
        <x:f>COUNTIF('Control Index'!$B$7:$B$255,A29)</x:f>
        <x:v>10</x:v>
      </x:c>
    </x:row>
    <x:row r="30" ht="25.5" customHeight="1">
      <x:c r="A30" s="3" t="str">
        <x:v>chat-room</x:v>
      </x:c>
      <x:c r="B30" s="14" t="n">
        <x:f>COUNTIF('Journey Matrix'!$P$7:$P$204,A30)</x:f>
        <x:v>8</x:v>
      </x:c>
      <x:c r="C30" s="14" t="n">
        <x:f>SUMIFS('Journey Matrix'!$T$7:$T$204,'Journey Matrix'!$P$7:$P$204,A30)</x:f>
        <x:v>8</x:v>
      </x:c>
      <x:c r="D30" s="14" t="n">
        <x:f>SUMIFS('Journey Matrix'!$R$7:$R$204,'Journey Matrix'!$P$7:$P$204,A30)</x:f>
        <x:v>4</x:v>
      </x:c>
      <x:c r="E30" s="14" t="n">
        <x:f>SUMIFS('Journey Matrix'!$S$7:$S$204,'Journey Matrix'!$P$7:$P$204,A30)</x:f>
        <x:v>1</x:v>
      </x:c>
      <x:c r="F30" s="14" t="n">
        <x:f>COUNTIFS('Journey Matrix'!$P$7:$P$204,A30,'Journey Matrix'!$D$7:$D$204,'Read Me + Evidence'!$H$8)</x:f>
        <x:v>1</x:v>
      </x:c>
      <x:c r="G30" s="14" t="n">
        <x:f>COUNTIFS('Journey Matrix'!$P$7:$P$204,A30,'Journey Matrix'!$D$7:$D$204,'Read Me + Evidence'!$H$9)</x:f>
        <x:v>2</x:v>
      </x:c>
      <x:c r="H30" s="14" t="n">
        <x:f>COUNTIFS('Journey Matrix'!$P$7:$P$204,A30,'Journey Matrix'!$D$7:$D$204,'Read Me + Evidence'!$H$11)</x:f>
        <x:v>0</x:v>
      </x:c>
      <x:c r="I30" s="14" t="n">
        <x:f>COUNTIFS('Journey Matrix'!$P$7:$P$204,A30,'Journey Matrix'!$D$7:$D$204,'Read Me + Evidence'!$H$10)</x:f>
        <x:v>4</x:v>
      </x:c>
      <x:c r="J30" s="3" t="str">
        <x:v>Yes</x:v>
      </x:c>
      <x:c r="K30" s="14" t="n">
        <x:f>COUNTIF('Control Index'!$B$7:$B$255,A30)</x:f>
        <x:v>27</x:v>
      </x:c>
    </x:row>
    <x:row r="31" ht="25.5" customHeight="1">
      <x:c r="A31" s="3" t="str">
        <x:v>documents</x:v>
      </x:c>
      <x:c r="B31" s="14" t="n">
        <x:f>COUNTIF('Journey Matrix'!$P$7:$P$204,A31)</x:f>
        <x:v>11</x:v>
      </x:c>
      <x:c r="C31" s="14" t="n">
        <x:f>SUMIFS('Journey Matrix'!$T$7:$T$204,'Journey Matrix'!$P$7:$P$204,A31)</x:f>
        <x:v>11</x:v>
      </x:c>
      <x:c r="D31" s="14" t="n">
        <x:f>SUMIFS('Journey Matrix'!$R$7:$R$204,'Journey Matrix'!$P$7:$P$204,A31)</x:f>
        <x:v>10</x:v>
      </x:c>
      <x:c r="E31" s="14" t="n">
        <x:f>SUMIFS('Journey Matrix'!$S$7:$S$204,'Journey Matrix'!$P$7:$P$204,A31)</x:f>
        <x:v>6</x:v>
      </x:c>
      <x:c r="F31" s="14" t="n">
        <x:f>COUNTIFS('Journey Matrix'!$P$7:$P$204,A31,'Journey Matrix'!$D$7:$D$204,'Read Me + Evidence'!$H$8)</x:f>
        <x:v>2</x:v>
      </x:c>
      <x:c r="G31" s="14" t="n">
        <x:f>COUNTIFS('Journey Matrix'!$P$7:$P$204,A31,'Journey Matrix'!$D$7:$D$204,'Read Me + Evidence'!$H$9)</x:f>
        <x:v>2</x:v>
      </x:c>
      <x:c r="H31" s="14" t="n">
        <x:f>COUNTIFS('Journey Matrix'!$P$7:$P$204,A31,'Journey Matrix'!$D$7:$D$204,'Read Me + Evidence'!$H$11)</x:f>
        <x:v>0</x:v>
      </x:c>
      <x:c r="I31" s="14" t="n">
        <x:f>COUNTIFS('Journey Matrix'!$P$7:$P$204,A31,'Journey Matrix'!$D$7:$D$204,'Read Me + Evidence'!$H$10)</x:f>
        <x:v>1</x:v>
      </x:c>
      <x:c r="J31" s="3" t="str">
        <x:v>Yes</x:v>
      </x:c>
      <x:c r="K31" s="14" t="n">
        <x:f>COUNTIF('Control Index'!$B$7:$B$255,A31)</x:f>
        <x:v>27</x:v>
      </x:c>
    </x:row>
    <x:row r="32" ht="25.5" customHeight="1">
      <x:c r="A32" s="3" t="str">
        <x:v>elacity-player</x:v>
      </x:c>
      <x:c r="B32" s="14" t="n">
        <x:f>COUNTIF('Journey Matrix'!$P$7:$P$204,A32)</x:f>
        <x:v>5</x:v>
      </x:c>
      <x:c r="C32" s="14" t="n">
        <x:f>SUMIFS('Journey Matrix'!$T$7:$T$204,'Journey Matrix'!$P$7:$P$204,A32)</x:f>
        <x:v>5</x:v>
      </x:c>
      <x:c r="D32" s="14" t="n">
        <x:f>SUMIFS('Journey Matrix'!$R$7:$R$204,'Journey Matrix'!$P$7:$P$204,A32)</x:f>
        <x:v>1</x:v>
      </x:c>
      <x:c r="E32" s="14" t="n">
        <x:f>SUMIFS('Journey Matrix'!$S$7:$S$204,'Journey Matrix'!$P$7:$P$204,A32)</x:f>
        <x:v>0</x:v>
      </x:c>
      <x:c r="F32" s="14" t="n">
        <x:f>COUNTIFS('Journey Matrix'!$P$7:$P$204,A32,'Journey Matrix'!$D$7:$D$204,'Read Me + Evidence'!$H$8)</x:f>
        <x:v>0</x:v>
      </x:c>
      <x:c r="G32" s="14" t="n">
        <x:f>COUNTIFS('Journey Matrix'!$P$7:$P$204,A32,'Journey Matrix'!$D$7:$D$204,'Read Me + Evidence'!$H$9)</x:f>
        <x:v>1</x:v>
      </x:c>
      <x:c r="H32" s="14" t="n">
        <x:f>COUNTIFS('Journey Matrix'!$P$7:$P$204,A32,'Journey Matrix'!$D$7:$D$204,'Read Me + Evidence'!$H$11)</x:f>
        <x:v>0</x:v>
      </x:c>
      <x:c r="I32" s="14" t="n">
        <x:f>COUNTIFS('Journey Matrix'!$P$7:$P$204,A32,'Journey Matrix'!$D$7:$D$204,'Read Me + Evidence'!$H$10)</x:f>
        <x:v>4</x:v>
      </x:c>
      <x:c r="J32" s="3" t="str">
        <x:v>Yes</x:v>
      </x:c>
      <x:c r="K32" s="14" t="n">
        <x:f>COUNTIF('Control Index'!$B$7:$B$255,A32)</x:f>
        <x:v>0</x:v>
      </x:c>
    </x:row>
    <x:row r="33" ht="25.5" customHeight="1">
      <x:c r="A33" s="3" t="str">
        <x:v>gba-emulator</x:v>
      </x:c>
      <x:c r="B33" s="14" t="n">
        <x:f>COUNTIF('Journey Matrix'!$P$7:$P$204,A33)</x:f>
        <x:v>5</x:v>
      </x:c>
      <x:c r="C33" s="14" t="n">
        <x:f>SUMIFS('Journey Matrix'!$T$7:$T$204,'Journey Matrix'!$P$7:$P$204,A33)</x:f>
        <x:v>5</x:v>
      </x:c>
      <x:c r="D33" s="14" t="n">
        <x:f>SUMIFS('Journey Matrix'!$R$7:$R$204,'Journey Matrix'!$P$7:$P$204,A33)</x:f>
        <x:v>5</x:v>
      </x:c>
      <x:c r="E33" s="14" t="n">
        <x:f>SUMIFS('Journey Matrix'!$S$7:$S$204,'Journey Matrix'!$P$7:$P$204,A33)</x:f>
        <x:v>0</x:v>
      </x:c>
      <x:c r="F33" s="14" t="n">
        <x:f>COUNTIFS('Journey Matrix'!$P$7:$P$204,A33,'Journey Matrix'!$D$7:$D$204,'Read Me + Evidence'!$H$8)</x:f>
        <x:v>3</x:v>
      </x:c>
      <x:c r="G33" s="14" t="n">
        <x:f>COUNTIFS('Journey Matrix'!$P$7:$P$204,A33,'Journey Matrix'!$D$7:$D$204,'Read Me + Evidence'!$H$9)</x:f>
        <x:v>2</x:v>
      </x:c>
      <x:c r="H33" s="14" t="n">
        <x:f>COUNTIFS('Journey Matrix'!$P$7:$P$204,A33,'Journey Matrix'!$D$7:$D$204,'Read Me + Evidence'!$H$11)</x:f>
        <x:v>0</x:v>
      </x:c>
      <x:c r="I33" s="14" t="n">
        <x:f>COUNTIFS('Journey Matrix'!$P$7:$P$204,A33,'Journey Matrix'!$D$7:$D$204,'Read Me + Evidence'!$H$10)</x:f>
        <x:v>0</x:v>
      </x:c>
      <x:c r="J33" s="3" t="str">
        <x:v>Yes</x:v>
      </x:c>
      <x:c r="K33" s="14" t="n">
        <x:f>COUNTIF('Control Index'!$B$7:$B$255,A33)</x:f>
        <x:v>22</x:v>
      </x:c>
    </x:row>
    <x:row r="34" ht="25.5" customHeight="1">
      <x:c r="A34" s="3" t="str">
        <x:v>gba-nonogram</x:v>
      </x:c>
      <x:c r="B34" s="14" t="n">
        <x:f>COUNTIF('Journey Matrix'!$P$7:$P$204,A34)</x:f>
        <x:v>1</x:v>
      </x:c>
      <x:c r="C34" s="14" t="n">
        <x:f>SUMIFS('Journey Matrix'!$T$7:$T$204,'Journey Matrix'!$P$7:$P$204,A34)</x:f>
        <x:v>1</x:v>
      </x:c>
      <x:c r="D34" s="14" t="n">
        <x:f>SUMIFS('Journey Matrix'!$R$7:$R$204,'Journey Matrix'!$P$7:$P$204,A34)</x:f>
        <x:v>1</x:v>
      </x:c>
      <x:c r="E34" s="14" t="n">
        <x:f>SUMIFS('Journey Matrix'!$S$7:$S$204,'Journey Matrix'!$P$7:$P$204,A34)</x:f>
        <x:v>0</x:v>
      </x:c>
      <x:c r="F34" s="14" t="n">
        <x:f>COUNTIFS('Journey Matrix'!$P$7:$P$204,A34,'Journey Matrix'!$D$7:$D$204,'Read Me + Evidence'!$H$8)</x:f>
        <x:v>0</x:v>
      </x:c>
      <x:c r="G34" s="14" t="n">
        <x:f>COUNTIFS('Journey Matrix'!$P$7:$P$204,A34,'Journey Matrix'!$D$7:$D$204,'Read Me + Evidence'!$H$9)</x:f>
        <x:v>1</x:v>
      </x:c>
      <x:c r="H34" s="14" t="n">
        <x:f>COUNTIFS('Journey Matrix'!$P$7:$P$204,A34,'Journey Matrix'!$D$7:$D$204,'Read Me + Evidence'!$H$11)</x:f>
        <x:v>0</x:v>
      </x:c>
      <x:c r="I34" s="14" t="n">
        <x:f>COUNTIFS('Journey Matrix'!$P$7:$P$204,A34,'Journey Matrix'!$D$7:$D$204,'Read Me + Evidence'!$H$10)</x:f>
        <x:v>0</x:v>
      </x:c>
      <x:c r="J34" s="3" t="str">
        <x:v>Yes</x:v>
      </x:c>
      <x:c r="K34" s="14" t="n">
        <x:f>COUNTIF('Control Index'!$B$7:$B$255,A34)</x:f>
        <x:v>0</x:v>
      </x:c>
    </x:row>
    <x:row r="35" ht="25.5" customHeight="1">
      <x:c r="A35" s="3" t="str">
        <x:v>gba-ucity</x:v>
      </x:c>
      <x:c r="B35" s="14" t="n">
        <x:f>COUNTIF('Journey Matrix'!$P$7:$P$204,A35)</x:f>
        <x:v>1</x:v>
      </x:c>
      <x:c r="C35" s="14" t="n">
        <x:f>SUMIFS('Journey Matrix'!$T$7:$T$204,'Journey Matrix'!$P$7:$P$204,A35)</x:f>
        <x:v>1</x:v>
      </x:c>
      <x:c r="D35" s="14" t="n">
        <x:f>SUMIFS('Journey Matrix'!$R$7:$R$204,'Journey Matrix'!$P$7:$P$204,A35)</x:f>
        <x:v>1</x:v>
      </x:c>
      <x:c r="E35" s="14" t="n">
        <x:f>SUMIFS('Journey Matrix'!$S$7:$S$204,'Journey Matrix'!$P$7:$P$204,A35)</x:f>
        <x:v>0</x:v>
      </x:c>
      <x:c r="F35" s="14" t="n">
        <x:f>COUNTIFS('Journey Matrix'!$P$7:$P$204,A35,'Journey Matrix'!$D$7:$D$204,'Read Me + Evidence'!$H$8)</x:f>
        <x:v>1</x:v>
      </x:c>
      <x:c r="G35" s="14" t="n">
        <x:f>COUNTIFS('Journey Matrix'!$P$7:$P$204,A35,'Journey Matrix'!$D$7:$D$204,'Read Me + Evidence'!$H$9)</x:f>
        <x:v>0</x:v>
      </x:c>
      <x:c r="H35" s="14" t="n">
        <x:f>COUNTIFS('Journey Matrix'!$P$7:$P$204,A35,'Journey Matrix'!$D$7:$D$204,'Read Me + Evidence'!$H$11)</x:f>
        <x:v>0</x:v>
      </x:c>
      <x:c r="I35" s="14" t="n">
        <x:f>COUNTIFS('Journey Matrix'!$P$7:$P$204,A35,'Journey Matrix'!$D$7:$D$204,'Read Me + Evidence'!$H$10)</x:f>
        <x:v>0</x:v>
      </x:c>
      <x:c r="J35" s="3" t="str">
        <x:v>Yes</x:v>
      </x:c>
      <x:c r="K35" s="14" t="n">
        <x:f>COUNTIF('Control Index'!$B$7:$B$255,A35)</x:f>
        <x:v>0</x:v>
      </x:c>
    </x:row>
    <x:row r="36" ht="25.5" customHeight="1">
      <x:c r="A36" s="3" t="str">
        <x:v>home</x:v>
      </x:c>
      <x:c r="B36" s="14" t="n">
        <x:f>COUNTIF('Journey Matrix'!$P$7:$P$204,A36)</x:f>
        <x:v>8</x:v>
      </x:c>
      <x:c r="C36" s="14" t="n">
        <x:f>SUMIFS('Journey Matrix'!$T$7:$T$204,'Journey Matrix'!$P$7:$P$204,A36)</x:f>
        <x:v>8</x:v>
      </x:c>
      <x:c r="D36" s="14" t="n">
        <x:f>SUMIFS('Journey Matrix'!$R$7:$R$204,'Journey Matrix'!$P$7:$P$204,A36)</x:f>
        <x:v>1</x:v>
      </x:c>
      <x:c r="E36" s="14" t="n">
        <x:f>SUMIFS('Journey Matrix'!$S$7:$S$204,'Journey Matrix'!$P$7:$P$204,A36)</x:f>
        <x:v>0</x:v>
      </x:c>
      <x:c r="F36" s="14" t="n">
        <x:f>COUNTIFS('Journey Matrix'!$P$7:$P$204,A36,'Journey Matrix'!$D$7:$D$204,'Read Me + Evidence'!$H$8)</x:f>
        <x:v>0</x:v>
      </x:c>
      <x:c r="G36" s="14" t="n">
        <x:f>COUNTIFS('Journey Matrix'!$P$7:$P$204,A36,'Journey Matrix'!$D$7:$D$204,'Read Me + Evidence'!$H$9)</x:f>
        <x:v>1</x:v>
      </x:c>
      <x:c r="H36" s="14" t="n">
        <x:f>COUNTIFS('Journey Matrix'!$P$7:$P$204,A36,'Journey Matrix'!$D$7:$D$204,'Read Me + Evidence'!$H$11)</x:f>
        <x:v>0</x:v>
      </x:c>
      <x:c r="I36" s="14" t="n">
        <x:f>COUNTIFS('Journey Matrix'!$P$7:$P$204,A36,'Journey Matrix'!$D$7:$D$204,'Read Me + Evidence'!$H$10)</x:f>
        <x:v>6</x:v>
      </x:c>
      <x:c r="J36" s="3" t="str">
        <x:v>Yes</x:v>
      </x:c>
      <x:c r="K36" s="14" t="n">
        <x:f>COUNTIF('Control Index'!$B$7:$B$255,A36)</x:f>
        <x:v>9</x:v>
      </x:c>
    </x:row>
    <x:row r="37" ht="25.5" customHeight="1">
      <x:c r="A37" s="3" t="str">
        <x:v>home-cli</x:v>
      </x:c>
      <x:c r="B37" s="14" t="n">
        <x:f>COUNTIF('Journey Matrix'!$P$7:$P$204,A37)</x:f>
        <x:v>5</x:v>
      </x:c>
      <x:c r="C37" s="14" t="n">
        <x:f>SUMIFS('Journey Matrix'!$T$7:$T$204,'Journey Matrix'!$P$7:$P$204,A37)</x:f>
        <x:v>5</x:v>
      </x:c>
      <x:c r="D37" s="14" t="n">
        <x:f>SUMIFS('Journey Matrix'!$R$7:$R$204,'Journey Matrix'!$P$7:$P$204,A37)</x:f>
        <x:v>3</x:v>
      </x:c>
      <x:c r="E37" s="14" t="n">
        <x:f>SUMIFS('Journey Matrix'!$S$7:$S$204,'Journey Matrix'!$P$7:$P$204,A37)</x:f>
        <x:v>0</x:v>
      </x:c>
      <x:c r="F37" s="14" t="n">
        <x:f>COUNTIFS('Journey Matrix'!$P$7:$P$204,A37,'Journey Matrix'!$D$7:$D$204,'Read Me + Evidence'!$H$8)</x:f>
        <x:v>3</x:v>
      </x:c>
      <x:c r="G37" s="14" t="n">
        <x:f>COUNTIFS('Journey Matrix'!$P$7:$P$204,A37,'Journey Matrix'!$D$7:$D$204,'Read Me + Evidence'!$H$9)</x:f>
        <x:v>0</x:v>
      </x:c>
      <x:c r="H37" s="14" t="n">
        <x:f>COUNTIFS('Journey Matrix'!$P$7:$P$204,A37,'Journey Matrix'!$D$7:$D$204,'Read Me + Evidence'!$H$11)</x:f>
        <x:v>0</x:v>
      </x:c>
      <x:c r="I37" s="14" t="n">
        <x:f>COUNTIFS('Journey Matrix'!$P$7:$P$204,A37,'Journey Matrix'!$D$7:$D$204,'Read Me + Evidence'!$H$10)</x:f>
        <x:v>2</x:v>
      </x:c>
      <x:c r="J37" s="3" t="str">
        <x:v>Yes</x:v>
      </x:c>
      <x:c r="K37" s="14" t="n">
        <x:f>COUNTIF('Control Index'!$B$7:$B$255,A37)</x:f>
        <x:v>0</x:v>
      </x:c>
    </x:row>
    <x:row r="38" ht="25.5" customHeight="1">
      <x:c r="A38" s="3" t="str">
        <x:v>home-gui</x:v>
      </x:c>
      <x:c r="B38" s="14" t="n">
        <x:f>COUNTIF('Journey Matrix'!$P$7:$P$204,A38)</x:f>
        <x:v>16</x:v>
      </x:c>
      <x:c r="C38" s="14" t="n">
        <x:f>SUMIFS('Journey Matrix'!$T$7:$T$204,'Journey Matrix'!$P$7:$P$204,A38)</x:f>
        <x:v>16</x:v>
      </x:c>
      <x:c r="D38" s="14" t="n">
        <x:f>SUMIFS('Journey Matrix'!$R$7:$R$204,'Journey Matrix'!$P$7:$P$204,A38)</x:f>
        <x:v>14</x:v>
      </x:c>
      <x:c r="E38" s="14" t="n">
        <x:f>SUMIFS('Journey Matrix'!$S$7:$S$204,'Journey Matrix'!$P$7:$P$204,A38)</x:f>
        <x:v>4</x:v>
      </x:c>
      <x:c r="F38" s="14" t="n">
        <x:f>COUNTIFS('Journey Matrix'!$P$7:$P$204,A38,'Journey Matrix'!$D$7:$D$204,'Read Me + Evidence'!$H$8)</x:f>
        <x:v>4</x:v>
      </x:c>
      <x:c r="G38" s="14" t="n">
        <x:f>COUNTIFS('Journey Matrix'!$P$7:$P$204,A38,'Journey Matrix'!$D$7:$D$204,'Read Me + Evidence'!$H$9)</x:f>
        <x:v>6</x:v>
      </x:c>
      <x:c r="H38" s="14" t="n">
        <x:f>COUNTIFS('Journey Matrix'!$P$7:$P$204,A38,'Journey Matrix'!$D$7:$D$204,'Read Me + Evidence'!$H$11)</x:f>
        <x:v>0</x:v>
      </x:c>
      <x:c r="I38" s="14" t="n">
        <x:f>COUNTIFS('Journey Matrix'!$P$7:$P$204,A38,'Journey Matrix'!$D$7:$D$204,'Read Me + Evidence'!$H$10)</x:f>
        <x:v>2</x:v>
      </x:c>
      <x:c r="J38" s="3" t="str">
        <x:v>Yes</x:v>
      </x:c>
      <x:c r="K38" s="14" t="n">
        <x:f>COUNTIF('Control Index'!$B$7:$B$255,A38)</x:f>
        <x:v>47</x:v>
      </x:c>
    </x:row>
    <x:row r="39" ht="25.5" customHeight="1">
      <x:c r="A39" s="3" t="str">
        <x:v>inbox</x:v>
      </x:c>
      <x:c r="B39" s="14" t="n">
        <x:f>COUNTIF('Journey Matrix'!$P$7:$P$204,A39)</x:f>
        <x:v>7</x:v>
      </x:c>
      <x:c r="C39" s="14" t="n">
        <x:f>SUMIFS('Journey Matrix'!$T$7:$T$204,'Journey Matrix'!$P$7:$P$204,A39)</x:f>
        <x:v>7</x:v>
      </x:c>
      <x:c r="D39" s="14" t="n">
        <x:f>SUMIFS('Journey Matrix'!$R$7:$R$204,'Journey Matrix'!$P$7:$P$204,A39)</x:f>
        <x:v>2</x:v>
      </x:c>
      <x:c r="E39" s="14" t="n">
        <x:f>SUMIFS('Journey Matrix'!$S$7:$S$204,'Journey Matrix'!$P$7:$P$204,A39)</x:f>
        <x:v>0</x:v>
      </x:c>
      <x:c r="F39" s="14" t="n">
        <x:f>COUNTIFS('Journey Matrix'!$P$7:$P$204,A39,'Journey Matrix'!$D$7:$D$204,'Read Me + Evidence'!$H$8)</x:f>
        <x:v>0</x:v>
      </x:c>
      <x:c r="G39" s="14" t="n">
        <x:f>COUNTIFS('Journey Matrix'!$P$7:$P$204,A39,'Journey Matrix'!$D$7:$D$204,'Read Me + Evidence'!$H$9)</x:f>
        <x:v>2</x:v>
      </x:c>
      <x:c r="H39" s="14" t="n">
        <x:f>COUNTIFS('Journey Matrix'!$P$7:$P$204,A39,'Journey Matrix'!$D$7:$D$204,'Read Me + Evidence'!$H$11)</x:f>
        <x:v>0</x:v>
      </x:c>
      <x:c r="I39" s="14" t="n">
        <x:f>COUNTIFS('Journey Matrix'!$P$7:$P$204,A39,'Journey Matrix'!$D$7:$D$204,'Read Me + Evidence'!$H$10)</x:f>
        <x:v>5</x:v>
      </x:c>
      <x:c r="J39" s="3" t="str">
        <x:v>Yes</x:v>
      </x:c>
      <x:c r="K39" s="14" t="n">
        <x:f>COUNTIF('Control Index'!$B$7:$B$255,A39)</x:f>
        <x:v>3</x:v>
      </x:c>
    </x:row>
    <x:row r="40" ht="25.5" customHeight="1">
      <x:c r="A40" s="3" t="str">
        <x:v>library</x:v>
      </x:c>
      <x:c r="B40" s="14" t="n">
        <x:f>COUNTIF('Journey Matrix'!$P$7:$P$204,A40)</x:f>
        <x:v>24</x:v>
      </x:c>
      <x:c r="C40" s="14" t="n">
        <x:f>SUMIFS('Journey Matrix'!$T$7:$T$204,'Journey Matrix'!$P$7:$P$204,A40)</x:f>
        <x:v>23</x:v>
      </x:c>
      <x:c r="D40" s="14" t="n">
        <x:f>SUMIFS('Journey Matrix'!$R$7:$R$204,'Journey Matrix'!$P$7:$P$204,A40)</x:f>
        <x:v>12</x:v>
      </x:c>
      <x:c r="E40" s="14" t="n">
        <x:f>SUMIFS('Journey Matrix'!$S$7:$S$204,'Journey Matrix'!$P$7:$P$204,A40)</x:f>
        <x:v>3</x:v>
      </x:c>
      <x:c r="F40" s="14" t="n">
        <x:f>COUNTIFS('Journey Matrix'!$P$7:$P$204,A40,'Journey Matrix'!$D$7:$D$204,'Read Me + Evidence'!$H$8)</x:f>
        <x:v>5</x:v>
      </x:c>
      <x:c r="G40" s="14" t="n">
        <x:f>COUNTIFS('Journey Matrix'!$P$7:$P$204,A40,'Journey Matrix'!$D$7:$D$204,'Read Me + Evidence'!$H$9)</x:f>
        <x:v>5</x:v>
      </x:c>
      <x:c r="H40" s="14" t="n">
        <x:f>COUNTIFS('Journey Matrix'!$P$7:$P$204,A40,'Journey Matrix'!$D$7:$D$204,'Read Me + Evidence'!$H$11)</x:f>
        <x:v>0</x:v>
      </x:c>
      <x:c r="I40" s="14" t="n">
        <x:f>COUNTIFS('Journey Matrix'!$P$7:$P$204,A40,'Journey Matrix'!$D$7:$D$204,'Read Me + Evidence'!$H$10)</x:f>
        <x:v>11</x:v>
      </x:c>
      <x:c r="J40" s="3" t="str">
        <x:v>Yes</x:v>
      </x:c>
      <x:c r="K40" s="14" t="n">
        <x:f>COUNTIF('Control Index'!$B$7:$B$255,A40)</x:f>
        <x:v>14</x:v>
      </x:c>
    </x:row>
    <x:row r="41" ht="25.5" customHeight="1">
      <x:c r="A41" s="3" t="str">
        <x:v>marketplace</x:v>
      </x:c>
      <x:c r="B41" s="14" t="n">
        <x:f>COUNTIF('Journey Matrix'!$P$7:$P$204,A41)</x:f>
        <x:v>10</x:v>
      </x:c>
      <x:c r="C41" s="14" t="n">
        <x:f>SUMIFS('Journey Matrix'!$T$7:$T$204,'Journey Matrix'!$P$7:$P$204,A41)</x:f>
        <x:v>8</x:v>
      </x:c>
      <x:c r="D41" s="14" t="n">
        <x:f>SUMIFS('Journey Matrix'!$R$7:$R$204,'Journey Matrix'!$P$7:$P$204,A41)</x:f>
        <x:v>5</x:v>
      </x:c>
      <x:c r="E41" s="14" t="n">
        <x:f>SUMIFS('Journey Matrix'!$S$7:$S$204,'Journey Matrix'!$P$7:$P$204,A41)</x:f>
        <x:v>1</x:v>
      </x:c>
      <x:c r="F41" s="14" t="n">
        <x:f>COUNTIFS('Journey Matrix'!$P$7:$P$204,A41,'Journey Matrix'!$D$7:$D$204,'Read Me + Evidence'!$H$8)</x:f>
        <x:v>4</x:v>
      </x:c>
      <x:c r="G41" s="14" t="n">
        <x:f>COUNTIFS('Journey Matrix'!$P$7:$P$204,A41,'Journey Matrix'!$D$7:$D$204,'Read Me + Evidence'!$H$9)</x:f>
        <x:v>2</x:v>
      </x:c>
      <x:c r="H41" s="14" t="n">
        <x:f>COUNTIFS('Journey Matrix'!$P$7:$P$204,A41,'Journey Matrix'!$D$7:$D$204,'Read Me + Evidence'!$H$11)</x:f>
        <x:v>0</x:v>
      </x:c>
      <x:c r="I41" s="14" t="n">
        <x:f>COUNTIFS('Journey Matrix'!$P$7:$P$204,A41,'Journey Matrix'!$D$7:$D$204,'Read Me + Evidence'!$H$10)</x:f>
        <x:v>3</x:v>
      </x:c>
      <x:c r="J41" s="3" t="str">
        <x:v>Yes</x:v>
      </x:c>
      <x:c r="K41" s="14" t="n">
        <x:f>COUNTIF('Control Index'!$B$7:$B$255,A41)</x:f>
        <x:v>4</x:v>
      </x:c>
    </x:row>
    <x:row r="42" ht="25.5" customHeight="1">
      <x:c r="A42" s="3" t="str">
        <x:v>people</x:v>
      </x:c>
      <x:c r="B42" s="14" t="n">
        <x:f>COUNTIF('Journey Matrix'!$P$7:$P$204,A42)</x:f>
        <x:v>6</x:v>
      </x:c>
      <x:c r="C42" s="14" t="n">
        <x:f>SUMIFS('Journey Matrix'!$T$7:$T$204,'Journey Matrix'!$P$7:$P$204,A42)</x:f>
        <x:v>6</x:v>
      </x:c>
      <x:c r="D42" s="14" t="n">
        <x:f>SUMIFS('Journey Matrix'!$R$7:$R$204,'Journey Matrix'!$P$7:$P$204,A42)</x:f>
        <x:v>3</x:v>
      </x:c>
      <x:c r="E42" s="14" t="n">
        <x:f>SUMIFS('Journey Matrix'!$S$7:$S$204,'Journey Matrix'!$P$7:$P$204,A42)</x:f>
        <x:v>0</x:v>
      </x:c>
      <x:c r="F42" s="14" t="n">
        <x:f>COUNTIFS('Journey Matrix'!$P$7:$P$204,A42,'Journey Matrix'!$D$7:$D$204,'Read Me + Evidence'!$H$8)</x:f>
        <x:v>0</x:v>
      </x:c>
      <x:c r="G42" s="14" t="n">
        <x:f>COUNTIFS('Journey Matrix'!$P$7:$P$204,A42,'Journey Matrix'!$D$7:$D$204,'Read Me + Evidence'!$H$9)</x:f>
        <x:v>3</x:v>
      </x:c>
      <x:c r="H42" s="14" t="n">
        <x:f>COUNTIFS('Journey Matrix'!$P$7:$P$204,A42,'Journey Matrix'!$D$7:$D$204,'Read Me + Evidence'!$H$11)</x:f>
        <x:v>0</x:v>
      </x:c>
      <x:c r="I42" s="14" t="n">
        <x:f>COUNTIFS('Journey Matrix'!$P$7:$P$204,A42,'Journey Matrix'!$D$7:$D$204,'Read Me + Evidence'!$H$10)</x:f>
        <x:v>3</x:v>
      </x:c>
      <x:c r="J42" s="3" t="str">
        <x:v>Yes</x:v>
      </x:c>
      <x:c r="K42" s="14" t="n">
        <x:f>COUNTIF('Control Index'!$B$7:$B$255,A42)</x:f>
        <x:v>6</x:v>
      </x:c>
    </x:row>
    <x:row r="43" ht="25.5" customHeight="1">
      <x:c r="A43" s="3" t="str">
        <x:v>services</x:v>
      </x:c>
      <x:c r="B43" s="14" t="n">
        <x:f>COUNTIF('Journey Matrix'!$P$7:$P$204,A43)</x:f>
        <x:v>6</x:v>
      </x:c>
      <x:c r="C43" s="14" t="n">
        <x:f>SUMIFS('Journey Matrix'!$T$7:$T$204,'Journey Matrix'!$P$7:$P$204,A43)</x:f>
        <x:v>5</x:v>
      </x:c>
      <x:c r="D43" s="14" t="n">
        <x:f>SUMIFS('Journey Matrix'!$R$7:$R$204,'Journey Matrix'!$P$7:$P$204,A43)</x:f>
        <x:v>4</x:v>
      </x:c>
      <x:c r="E43" s="14" t="n">
        <x:f>SUMIFS('Journey Matrix'!$S$7:$S$204,'Journey Matrix'!$P$7:$P$204,A43)</x:f>
        <x:v>0</x:v>
      </x:c>
      <x:c r="F43" s="14" t="n">
        <x:f>COUNTIFS('Journey Matrix'!$P$7:$P$204,A43,'Journey Matrix'!$D$7:$D$204,'Read Me + Evidence'!$H$8)</x:f>
        <x:v>0</x:v>
      </x:c>
      <x:c r="G43" s="14" t="n">
        <x:f>COUNTIFS('Journey Matrix'!$P$7:$P$204,A43,'Journey Matrix'!$D$7:$D$204,'Read Me + Evidence'!$H$9)</x:f>
        <x:v>4</x:v>
      </x:c>
      <x:c r="H43" s="14" t="n">
        <x:f>COUNTIFS('Journey Matrix'!$P$7:$P$204,A43,'Journey Matrix'!$D$7:$D$204,'Read Me + Evidence'!$H$11)</x:f>
        <x:v>0</x:v>
      </x:c>
      <x:c r="I43" s="14" t="n">
        <x:f>COUNTIFS('Journey Matrix'!$P$7:$P$204,A43,'Journey Matrix'!$D$7:$D$204,'Read Me + Evidence'!$H$10)</x:f>
        <x:v>1</x:v>
      </x:c>
      <x:c r="J43" s="3" t="str">
        <x:v>Yes</x:v>
      </x:c>
      <x:c r="K43" s="14" t="n">
        <x:f>COUNTIF('Control Index'!$B$7:$B$255,A43)</x:f>
        <x:v>3</x:v>
      </x:c>
    </x:row>
    <x:row r="44" ht="25.5" customHeight="1">
      <x:c r="A44" s="3" t="str">
        <x:v>system</x:v>
      </x:c>
      <x:c r="B44" s="14" t="n">
        <x:f>COUNTIF('Journey Matrix'!$P$7:$P$204,A44)</x:f>
        <x:v>14</x:v>
      </x:c>
      <x:c r="C44" s="14" t="n">
        <x:f>SUMIFS('Journey Matrix'!$T$7:$T$204,'Journey Matrix'!$P$7:$P$204,A44)</x:f>
        <x:v>14</x:v>
      </x:c>
      <x:c r="D44" s="14" t="n">
        <x:f>SUMIFS('Journey Matrix'!$R$7:$R$204,'Journey Matrix'!$P$7:$P$204,A44)</x:f>
        <x:v>10</x:v>
      </x:c>
      <x:c r="E44" s="14" t="n">
        <x:f>SUMIFS('Journey Matrix'!$S$7:$S$204,'Journey Matrix'!$P$7:$P$204,A44)</x:f>
        <x:v>2</x:v>
      </x:c>
      <x:c r="F44" s="14" t="n">
        <x:f>COUNTIFS('Journey Matrix'!$P$7:$P$204,A44,'Journey Matrix'!$D$7:$D$204,'Read Me + Evidence'!$H$8)</x:f>
        <x:v>2</x:v>
      </x:c>
      <x:c r="G44" s="14" t="n">
        <x:f>COUNTIFS('Journey Matrix'!$P$7:$P$204,A44,'Journey Matrix'!$D$7:$D$204,'Read Me + Evidence'!$H$9)</x:f>
        <x:v>6</x:v>
      </x:c>
      <x:c r="H44" s="14" t="n">
        <x:f>COUNTIFS('Journey Matrix'!$P$7:$P$204,A44,'Journey Matrix'!$D$7:$D$204,'Read Me + Evidence'!$H$11)</x:f>
        <x:v>0</x:v>
      </x:c>
      <x:c r="I44" s="14" t="n">
        <x:f>COUNTIFS('Journey Matrix'!$P$7:$P$204,A44,'Journey Matrix'!$D$7:$D$204,'Read Me + Evidence'!$H$10)</x:f>
        <x:v>4</x:v>
      </x:c>
      <x:c r="J44" s="3" t="str">
        <x:v>Yes</x:v>
      </x:c>
      <x:c r="K44" s="14" t="n">
        <x:f>COUNTIF('Control Index'!$B$7:$B$255,A44)</x:f>
        <x:v>37</x:v>
      </x:c>
    </x:row>
    <x:row r="45" ht="25.5" customHeight="1">
      <x:c r="A45" s="3" t="str">
        <x:v>wallet</x:v>
      </x:c>
      <x:c r="B45" s="14" t="n">
        <x:f>COUNTIF('Journey Matrix'!$P$7:$P$204,A45)</x:f>
        <x:v>15</x:v>
      </x:c>
      <x:c r="C45" s="14" t="n">
        <x:f>SUMIFS('Journey Matrix'!$T$7:$T$204,'Journey Matrix'!$P$7:$P$204,A45)</x:f>
        <x:v>15</x:v>
      </x:c>
      <x:c r="D45" s="14" t="n">
        <x:f>SUMIFS('Journey Matrix'!$R$7:$R$204,'Journey Matrix'!$P$7:$P$204,A45)</x:f>
        <x:v>7</x:v>
      </x:c>
      <x:c r="E45" s="14" t="n">
        <x:f>SUMIFS('Journey Matrix'!$S$7:$S$204,'Journey Matrix'!$P$7:$P$204,A45)</x:f>
        <x:v>0</x:v>
      </x:c>
      <x:c r="F45" s="14" t="n">
        <x:f>COUNTIFS('Journey Matrix'!$P$7:$P$204,A45,'Journey Matrix'!$D$7:$D$204,'Read Me + Evidence'!$H$8)</x:f>
        <x:v>0</x:v>
      </x:c>
      <x:c r="G45" s="14" t="n">
        <x:f>COUNTIFS('Journey Matrix'!$P$7:$P$204,A45,'Journey Matrix'!$D$7:$D$204,'Read Me + Evidence'!$H$9)</x:f>
        <x:v>7</x:v>
      </x:c>
      <x:c r="H45" s="14" t="n">
        <x:f>COUNTIFS('Journey Matrix'!$P$7:$P$204,A45,'Journey Matrix'!$D$7:$D$204,'Read Me + Evidence'!$H$11)</x:f>
        <x:v>0</x:v>
      </x:c>
      <x:c r="I45" s="14" t="n">
        <x:f>COUNTIFS('Journey Matrix'!$P$7:$P$204,A45,'Journey Matrix'!$D$7:$D$204,'Read Me + Evidence'!$H$10)</x:f>
        <x:v>8</x:v>
      </x:c>
      <x:c r="J45" s="3" t="str">
        <x:v>Yes</x:v>
      </x:c>
      <x:c r="K45" s="14" t="n">
        <x:f>COUNTIF('Control Index'!$B$7:$B$255,A45)</x:f>
        <x:v>16</x:v>
      </x:c>
    </x:row>
    <x:row r="46" ht="25.5" customHeight="1">
      <x:c r="A46" s="3" t="str">
        <x:v>wallet-metamask</x:v>
      </x:c>
      <x:c r="B46" s="14" t="n">
        <x:f>COUNTIF('Journey Matrix'!$P$7:$P$204,A46)</x:f>
        <x:v>3</x:v>
      </x:c>
      <x:c r="C46" s="14" t="n">
        <x:f>SUMIFS('Journey Matrix'!$T$7:$T$204,'Journey Matrix'!$P$7:$P$204,A46)</x:f>
        <x:v>3</x:v>
      </x:c>
      <x:c r="D46" s="14" t="n">
        <x:f>SUMIFS('Journey Matrix'!$R$7:$R$204,'Journey Matrix'!$P$7:$P$204,A46)</x:f>
        <x:v>1</x:v>
      </x:c>
      <x:c r="E46" s="14" t="n">
        <x:f>SUMIFS('Journey Matrix'!$S$7:$S$204,'Journey Matrix'!$P$7:$P$204,A46)</x:f>
        <x:v>0</x:v>
      </x:c>
      <x:c r="F46" s="14" t="n">
        <x:f>COUNTIFS('Journey Matrix'!$P$7:$P$204,A46,'Journey Matrix'!$D$7:$D$204,'Read Me + Evidence'!$H$8)</x:f>
        <x:v>0</x:v>
      </x:c>
      <x:c r="G46" s="14" t="n">
        <x:f>COUNTIFS('Journey Matrix'!$P$7:$P$204,A46,'Journey Matrix'!$D$7:$D$204,'Read Me + Evidence'!$H$9)</x:f>
        <x:v>1</x:v>
      </x:c>
      <x:c r="H46" s="14" t="n">
        <x:f>COUNTIFS('Journey Matrix'!$P$7:$P$204,A46,'Journey Matrix'!$D$7:$D$204,'Read Me + Evidence'!$H$11)</x:f>
        <x:v>0</x:v>
      </x:c>
      <x:c r="I46" s="14" t="n">
        <x:f>COUNTIFS('Journey Matrix'!$P$7:$P$204,A46,'Journey Matrix'!$D$7:$D$204,'Read Me + Evidence'!$H$10)</x:f>
        <x:v>2</x:v>
      </x:c>
      <x:c r="J46" s="3" t="str">
        <x:v>Yes</x:v>
      </x:c>
      <x:c r="K46" s="14" t="n">
        <x:f>COUNTIF('Control Index'!$B$7:$B$255,A46)</x:f>
        <x:v>1</x:v>
      </x:c>
    </x:row>
    <x:row r="47" ht="25.5" customHeight="1">
      <x:c r="A47" s="3" t="str">
        <x:v>wallet-unisat</x:v>
      </x:c>
      <x:c r="B47" s="14" t="n">
        <x:f>COUNTIF('Journey Matrix'!$P$7:$P$204,A47)</x:f>
        <x:v>3</x:v>
      </x:c>
      <x:c r="C47" s="14" t="n">
        <x:f>SUMIFS('Journey Matrix'!$T$7:$T$204,'Journey Matrix'!$P$7:$P$204,A47)</x:f>
        <x:v>3</x:v>
      </x:c>
      <x:c r="D47" s="14" t="n">
        <x:f>SUMIFS('Journey Matrix'!$R$7:$R$204,'Journey Matrix'!$P$7:$P$204,A47)</x:f>
        <x:v>1</x:v>
      </x:c>
      <x:c r="E47" s="14" t="n">
        <x:f>SUMIFS('Journey Matrix'!$S$7:$S$204,'Journey Matrix'!$P$7:$P$204,A47)</x:f>
        <x:v>0</x:v>
      </x:c>
      <x:c r="F47" s="14" t="n">
        <x:f>COUNTIFS('Journey Matrix'!$P$7:$P$204,A47,'Journey Matrix'!$D$7:$D$204,'Read Me + Evidence'!$H$8)</x:f>
        <x:v>0</x:v>
      </x:c>
      <x:c r="G47" s="14" t="n">
        <x:f>COUNTIFS('Journey Matrix'!$P$7:$P$204,A47,'Journey Matrix'!$D$7:$D$204,'Read Me + Evidence'!$H$9)</x:f>
        <x:v>1</x:v>
      </x:c>
      <x:c r="H47" s="14" t="n">
        <x:f>COUNTIFS('Journey Matrix'!$P$7:$P$204,A47,'Journey Matrix'!$D$7:$D$204,'Read Me + Evidence'!$H$11)</x:f>
        <x:v>0</x:v>
      </x:c>
      <x:c r="I47" s="14" t="n">
        <x:f>COUNTIFS('Journey Matrix'!$P$7:$P$204,A47,'Journey Matrix'!$D$7:$D$204,'Read Me + Evidence'!$H$10)</x:f>
        <x:v>2</x:v>
      </x:c>
      <x:c r="J47" s="3" t="str">
        <x:v>Yes</x:v>
      </x:c>
      <x:c r="K47" s="14" t="n">
        <x:f>COUNTIF('Control Index'!$B$7:$B$255,A47)</x:f>
        <x:v>1</x:v>
      </x:c>
    </x:row>
    <x:row r="48" ht="25.5" customHeight="1">
      <x:c r="A48" s="3" t="str">
        <x:v>wallet-walletconnect</x:v>
      </x:c>
      <x:c r="B48" s="14" t="n">
        <x:f>COUNTIF('Journey Matrix'!$P$7:$P$204,A48)</x:f>
        <x:v>3</x:v>
      </x:c>
      <x:c r="C48" s="14" t="n">
        <x:f>SUMIFS('Journey Matrix'!$T$7:$T$204,'Journey Matrix'!$P$7:$P$204,A48)</x:f>
        <x:v>3</x:v>
      </x:c>
      <x:c r="D48" s="14" t="n">
        <x:f>SUMIFS('Journey Matrix'!$R$7:$R$204,'Journey Matrix'!$P$7:$P$204,A48)</x:f>
        <x:v>0</x:v>
      </x:c>
      <x:c r="E48" s="14" t="n">
        <x:f>SUMIFS('Journey Matrix'!$S$7:$S$204,'Journey Matrix'!$P$7:$P$204,A48)</x:f>
        <x:v>0</x:v>
      </x:c>
      <x:c r="F48" s="14" t="n">
        <x:f>COUNTIFS('Journey Matrix'!$P$7:$P$204,A48,'Journey Matrix'!$D$7:$D$204,'Read Me + Evidence'!$H$8)</x:f>
        <x:v>0</x:v>
      </x:c>
      <x:c r="G48" s="14" t="n">
        <x:f>COUNTIFS('Journey Matrix'!$P$7:$P$204,A48,'Journey Matrix'!$D$7:$D$204,'Read Me + Evidence'!$H$9)</x:f>
        <x:v>0</x:v>
      </x:c>
      <x:c r="H48" s="14" t="n">
        <x:f>COUNTIFS('Journey Matrix'!$P$7:$P$204,A48,'Journey Matrix'!$D$7:$D$204,'Read Me + Evidence'!$H$11)</x:f>
        <x:v>0</x:v>
      </x:c>
      <x:c r="I48" s="14" t="n">
        <x:f>COUNTIFS('Journey Matrix'!$P$7:$P$204,A48,'Journey Matrix'!$D$7:$D$204,'Read Me + Evidence'!$H$10)</x:f>
        <x:v>3</x:v>
      </x:c>
      <x:c r="J48" s="3" t="str">
        <x:v>Yes</x:v>
      </x:c>
      <x:c r="K48" s="14" t="n">
        <x:f>COUNTIF('Control Index'!$B$7:$B$255,A48)</x:f>
        <x:v>1</x:v>
      </x:c>
    </x:row>
    <x:row r="49" ht="25.5" customHeight="1">
      <x:c r="A49" s="3" t="str">
        <x:v>model-provider</x:v>
      </x:c>
      <x:c r="B49" s="14" t="n">
        <x:f>COUNTIF('Journey Matrix'!$P$7:$P$204,A49)</x:f>
        <x:v>6</x:v>
      </x:c>
      <x:c r="C49" s="14" t="n">
        <x:f>SUMIFS('Journey Matrix'!$T$7:$T$204,'Journey Matrix'!$P$7:$P$204,A49)</x:f>
        <x:v>0</x:v>
      </x:c>
      <x:c r="D49" s="14" t="n">
        <x:f>SUMIFS('Journey Matrix'!$R$7:$R$204,'Journey Matrix'!$P$7:$P$204,A49)</x:f>
        <x:v>0</x:v>
      </x:c>
      <x:c r="E49" s="14" t="n">
        <x:f>SUMIFS('Journey Matrix'!$S$7:$S$204,'Journey Matrix'!$P$7:$P$204,A49)</x:f>
        <x:v>0</x:v>
      </x:c>
      <x:c r="F49" s="14" t="n">
        <x:f>COUNTIFS('Journey Matrix'!$P$7:$P$204,A49,'Journey Matrix'!$D$7:$D$204,'Read Me + Evidence'!$H$8)</x:f>
        <x:v>0</x:v>
      </x:c>
      <x:c r="G49" s="14" t="n">
        <x:f>COUNTIFS('Journey Matrix'!$P$7:$P$204,A49,'Journey Matrix'!$D$7:$D$204,'Read Me + Evidence'!$H$9)</x:f>
        <x:v>1</x:v>
      </x:c>
      <x:c r="H49" s="14" t="n">
        <x:f>COUNTIFS('Journey Matrix'!$P$7:$P$204,A49,'Journey Matrix'!$D$7:$D$204,'Read Me + Evidence'!$H$11)</x:f>
        <x:v>0</x:v>
      </x:c>
      <x:c r="I49" s="14" t="n">
        <x:f>COUNTIFS('Journey Matrix'!$P$7:$P$204,A49,'Journey Matrix'!$D$7:$D$204,'Read Me + Evidence'!$H$10)</x:f>
        <x:v>1</x:v>
      </x:c>
      <x:c r="J49" s="3" t="str">
        <x:v>No</x:v>
      </x:c>
      <x:c r="K49" s="14" t="n">
        <x:f>COUNTIF('Control Index'!$B$7:$B$255,A49)</x:f>
        <x:v>0</x:v>
      </x:c>
    </x:row>
    <x:row r="50" ht="25.5" customHeight="1">
      <x:c r="A50" s="3" t="str">
        <x:v>runtime-services</x:v>
      </x:c>
      <x:c r="B50" s="14" t="n">
        <x:f>COUNTIF('Journey Matrix'!$P$7:$P$204,A50)</x:f>
        <x:v>6</x:v>
      </x:c>
      <x:c r="C50" s="14" t="n">
        <x:f>SUMIFS('Journey Matrix'!$T$7:$T$204,'Journey Matrix'!$P$7:$P$204,A50)</x:f>
        <x:v>0</x:v>
      </x:c>
      <x:c r="D50" s="14" t="n">
        <x:f>SUMIFS('Journey Matrix'!$R$7:$R$204,'Journey Matrix'!$P$7:$P$204,A50)</x:f>
        <x:v>0</x:v>
      </x:c>
      <x:c r="E50" s="14" t="n">
        <x:f>SUMIFS('Journey Matrix'!$S$7:$S$204,'Journey Matrix'!$P$7:$P$204,A50)</x:f>
        <x:v>0</x:v>
      </x:c>
      <x:c r="F50" s="14" t="n">
        <x:f>COUNTIFS('Journey Matrix'!$P$7:$P$204,A50,'Journey Matrix'!$D$7:$D$204,'Read Me + Evidence'!$H$8)</x:f>
        <x:v>1</x:v>
      </x:c>
      <x:c r="G50" s="14" t="n">
        <x:f>COUNTIFS('Journey Matrix'!$P$7:$P$204,A50,'Journey Matrix'!$D$7:$D$204,'Read Me + Evidence'!$H$9)</x:f>
        <x:v>2</x:v>
      </x:c>
      <x:c r="H50" s="14" t="n">
        <x:f>COUNTIFS('Journey Matrix'!$P$7:$P$204,A50,'Journey Matrix'!$D$7:$D$204,'Read Me + Evidence'!$H$11)</x:f>
        <x:v>0</x:v>
      </x:c>
      <x:c r="I50" s="14" t="n">
        <x:f>COUNTIFS('Journey Matrix'!$P$7:$P$204,A50,'Journey Matrix'!$D$7:$D$204,'Read Me + Evidence'!$H$10)</x:f>
        <x:v>3</x:v>
      </x:c>
      <x:c r="J50" s="3" t="str">
        <x:v>No</x:v>
      </x:c>
      <x:c r="K50" s="14" t="n">
        <x:f>COUNTIF('Control Index'!$B$7:$B$255,A50)</x:f>
        <x:v>0</x:v>
      </x:c>
    </x:row>
    <x:row r="51" ht="25.5" customHeight="1">
      <x:c r="A51" s="3" t="str">
        <x:v>shared</x:v>
      </x:c>
      <x:c r="B51" s="14" t="n">
        <x:f>COUNTIF('Journey Matrix'!$P$7:$P$204,A51)</x:f>
        <x:v>3</x:v>
      </x:c>
      <x:c r="C51" s="14" t="n">
        <x:f>SUMIFS('Journey Matrix'!$T$7:$T$204,'Journey Matrix'!$P$7:$P$204,A51)</x:f>
        <x:v>3</x:v>
      </x:c>
      <x:c r="D51" s="14" t="n">
        <x:f>SUMIFS('Journey Matrix'!$R$7:$R$204,'Journey Matrix'!$P$7:$P$204,A51)</x:f>
        <x:v>3</x:v>
      </x:c>
      <x:c r="E51" s="14" t="n">
        <x:f>SUMIFS('Journey Matrix'!$S$7:$S$204,'Journey Matrix'!$P$7:$P$204,A51)</x:f>
        <x:v>0</x:v>
      </x:c>
      <x:c r="F51" s="14" t="n">
        <x:f>COUNTIFS('Journey Matrix'!$P$7:$P$204,A51,'Journey Matrix'!$D$7:$D$204,'Read Me + Evidence'!$H$8)</x:f>
        <x:v>3</x:v>
      </x:c>
      <x:c r="G51" s="14" t="n">
        <x:f>COUNTIFS('Journey Matrix'!$P$7:$P$204,A51,'Journey Matrix'!$D$7:$D$204,'Read Me + Evidence'!$H$9)</x:f>
        <x:v>0</x:v>
      </x:c>
      <x:c r="H51" s="14" t="n">
        <x:f>COUNTIFS('Journey Matrix'!$P$7:$P$204,A51,'Journey Matrix'!$D$7:$D$204,'Read Me + Evidence'!$H$11)</x:f>
        <x:v>0</x:v>
      </x:c>
      <x:c r="I51" s="14" t="n">
        <x:f>COUNTIFS('Journey Matrix'!$P$7:$P$204,A51,'Journey Matrix'!$D$7:$D$204,'Read Me + Evidence'!$H$10)</x:f>
        <x:v>0</x:v>
      </x:c>
      <x:c r="J51" s="3" t="str">
        <x:v>No</x:v>
      </x:c>
      <x:c r="K51" s="14" t="n">
        <x:f>COUNTIF('Control Index'!$B$7:$B$255,A51)</x:f>
        <x:v>0</x:v>
      </x:c>
    </x:row>
    <x:row r="52" ht="25.5" customHeight="1">
      <x:c r="A52" s="3" t="str">
        <x:v>website</x:v>
      </x:c>
      <x:c r="B52" s="3" t="n">
        <x:f>COUNTIF('Journey Matrix'!$P$7:$P$204,A52)</x:f>
        <x:v>2</x:v>
      </x:c>
      <x:c r="C52" s="3" t="n">
        <x:f>SUMIFS('Journey Matrix'!$T$7:$T$204,'Journey Matrix'!$P$7:$P$204,A52)</x:f>
        <x:v>2</x:v>
      </x:c>
      <x:c r="D52" s="3" t="n">
        <x:f>SUMIFS('Journey Matrix'!$R$7:$R$204,'Journey Matrix'!$P$7:$P$204,A52)</x:f>
        <x:v>0</x:v>
      </x:c>
      <x:c r="E52" s="3" t="n">
        <x:f>SUMIFS('Journey Matrix'!$S$7:$S$204,'Journey Matrix'!$P$7:$P$204,A52)</x:f>
        <x:v>0</x:v>
      </x:c>
      <x:c r="F52" s="3" t="n">
        <x:f>COUNTIFS('Journey Matrix'!$P$7:$P$204,A52,'Journey Matrix'!$D$7:$D$204,'Read Me + Evidence'!$H$8)</x:f>
        <x:v>0</x:v>
      </x:c>
      <x:c r="G52" s="3" t="n">
        <x:f>COUNTIFS('Journey Matrix'!$P$7:$P$204,A52,'Journey Matrix'!$D$7:$D$204,'Read Me + Evidence'!$H$9)</x:f>
        <x:v>0</x:v>
      </x:c>
      <x:c r="H52" s="3" t="n">
        <x:f>COUNTIFS('Journey Matrix'!$P$7:$P$204,A52,'Journey Matrix'!$D$7:$D$204,'Read Me + Evidence'!$H$11)</x:f>
        <x:v>0</x:v>
      </x:c>
      <x:c r="I52" s="3" t="n">
        <x:f>COUNTIFS('Journey Matrix'!$P$7:$P$204,A52,'Journey Matrix'!$D$7:$D$204,'Read Me + Evidence'!$H$10)</x:f>
        <x:v>0</x:v>
      </x:c>
      <x:c r="J52" s="3" t="str">
        <x:v>No</x:v>
      </x:c>
      <x:c r="K52" s="3" t="n">
        <x:f>COUNTIF('Control Index'!$B$7:$B$255,A52)</x:f>
        <x:v>0</x:v>
      </x:c>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cbd83dd80bfd49d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str">
        <x:v>Home separates a passkey account label from the later public Profile. Runtime creates the account only after user passkey consent.</x:v>
      </x:c>
      <x:c r="F7" s="12" t="str">
        <x:v>Creating a first account needs a fresh target and a user-operated passkey. Existing accounts and passkeys were preserved.</x:v>
      </x:c>
      <x:c r="G7" s="3" t="str">
        <x:v>controlled-identity</x:v>
      </x:c>
      <x:c r="H7" s="3" t="str">
        <x:v>implemented-source</x:v>
      </x:c>
      <x:c r="I7" s="3" t="str">
        <x:v>Name; Create admin passkey</x:v>
      </x:c>
      <x:c r="J7" s="3" t="str">
        <x:v>1. Open Home signed out
2. Enter name
3. Inspect creation prompt</x:v>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str">
        <x:v>Brave resumes the existing authenticated session. A fresh passkey sign-in was not forced because it would disturb the current session.</x:v>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Sign-out ends session authority and returns to signed-out /home/. Relock protects Home. Prior app frames retain no privileged access.</x:v>
      </x:c>
      <x:c r="F11" s="12" t="str">
        <x:v>Sign-out/relock would end the shared authenticated Home session. A disposable sign-in target is required; existing user tabs stay authenticated.</x:v>
      </x:c>
      <x:c r="G11" s="3" t="str">
        <x:v>controlled-session</x:v>
      </x:c>
      <x:c r="H11" s="3" t="str">
        <x:v>implemented-source</x:v>
      </x:c>
      <x:c r="I11" s="3" t="str">
        <x:v>Sign out; Lock</x:v>
      </x:c>
      <x:c r="J11" s="3" t="str">
        <x:v>1. Save disposable work
2. Sign out
3. Confirm signed-out /home/
4. Revisit prior frame and check denied access
5. Repeat relock separately</x:v>
      </x:c>
      <x:c r="K11" s="3" t="str">
        <x:v>Disposable signed-in session; user-controlled passkey; matching installed Home and Runtime receipt</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v>R2, 2026-09-10: canonical Home entry is /home/. Existing live verdict and evidence remain historical. Repeat sign-out/relock on the exact installed candidate.</x:v>
      </x:c>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exposes 16 named apps. Grid/list, Search, Escape, and focus return have prior live proof. E-108 confirms that every current launcher target opens through Home search on the isolated candidate install.</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 E-108</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str">
        <x:v>Accounts shows the existing current passkey account and role. Role/removal dispatch is excluded to preserve ownership; disposable-account authorization required for remaining branches.</x:v>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str">
        <x:v>Technical Details expands and lists49objects. Archive Manager is selected with bounded identifier/author/type/role/version and explicit Unverified status. Operator effect preview/approval remains untested; no request dispatched. E103 independently verifies read-only Refresh and unchanged inventory.</x:v>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 E-108</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tr"/>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tr"/>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The installed candidate starts model-provider through the shared Init contract and confirms readiness. The release and installed provider artifacts match. Assistant reaches the truthful zero-offer state; one approved compatible offer is the next setup requirement.</x:v>
      </x:c>
      <x:c r="G163" s="3" t="str">
        <x:v>safe-read-only</x:v>
      </x:c>
      <x:c r="H163" s="3" t="str">
        <x:v>implemented-config-gated</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 E-108</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tr">
        <x:v>The provider lifecycle is installed and healthy. Model execution begins after an operator selects and configures an approved offer.</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tr">
        <x:v>First-model selection/download UX is proposed and needs a decision. source-home installs model-provider but selects neither weights nor a model backend; this end-user flow is not built or tested.</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 E-108</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tr">
        <x:v>Missing configuration is a valid zero-offer state. Invalid configuration remains a separate failure branch; useful setup guidance still needs live review.</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tr">
        <x:v>CID integrity does not supply service permission or loader compatibility. End-user model artifact retrieval/loading and its UI need a reviewed decision; not built or tested as this flow.</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Runtime admits page and engine; unavailable engine/network is explicit rather than a blank success.</x:v>
      </x:c>
      <x:c r="F169" s="12" t="str">
        <x: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x:v>
      </x:c>
      <x:c r="G169" s="3" t="str">
        <x:v>controlled-network</x:v>
      </x:c>
      <x:c r="H169" s="3" t="str">
        <x:v>implemented-source</x:v>
      </x:c>
      <x:c r="I169" s="3" t="str">
        <x:v>Address; Navigate/Enter; Loading/status</x:v>
      </x:c>
      <x:c r="J169" s="3" t="str">
        <x:v>1. Open Browser
2. Use approved harmless URL</x:v>
      </x:c>
      <x:c r="K169" s="3" t="str">
        <x:v>Approved public page; Running Browser substrate</x:v>
      </x:c>
      <x:c r="L169" s="3" t="str">
        <x:v>F-13; F-43; F-52</x:v>
      </x:c>
      <x:c r="M169" s="3" t="str"/>
      <x:c r="N169" s="3" t="str">
        <x:v>E-053; E-060; E-064; E-108</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engine/Exit from projected offers; capsule receives no peer/route authority.</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implemented-source</x:v>
      </x:c>
      <x:c r="I171" s="3" t="str">
        <x:v>Settings; Browser Engine; Exit</x:v>
      </x:c>
      <x:c r="J171" s="3" t="str">
        <x:v>1. Inspect local/remote choices
2. Change only controlled available service</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the authenticated Home session and returns to signed-out /home/.</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Desktop with q/Esc
2. Save disposable work
3. Use the separate sign-out action
4. Confirm signed-out /home/ and denied prior-frame access</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v>R2, 2026-09-10: sign-out now names /home/. The existing Fail verdict, F-44/F-53 dispositions and installed evidence stay unchanged until their required proof passes.</x:v>
      </x:c>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 E-108</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row r="202" ht="153" customHeight="1">
      <x:c r="A202" s="3" t="str">
        <x:v>AUTH-11</x:v>
      </x:c>
      <x:c r="B202" s="3" t="str">
        <x:v>Home / entry</x:v>
      </x:c>
      <x:c r="C202" s="3" t="str">
        <x:v>Canonical Home and old bookmarks</x:v>
      </x:c>
      <x:c r="D202" s="3" t="str">
        <x:v>Not run</x:v>
      </x:c>
      <x:c r="E202" s="3" t="str">
        <x:v>/home redirects to /home/. Old Home roots reach that entry; prior assets remain usable. Both manifest URLs retain installed app id /apps/home/ with /home/ start and scope. Existing installed shortcuts reach usable Home. Runtime keeps capsule and API authority.</x:v>
      </x:c>
      <x:c r="F202" s="58" t="str">
        <x:v>Pending target proof for R2. Route source is under review; the register has no installed verdict for this candidate.</x:v>
      </x:c>
      <x:c r="G202" s="3" t="str">
        <x:v>controlled-session</x:v>
      </x:c>
      <x:c r="H202" s="3" t="str">
        <x:v>implemented-source</x:v>
      </x:c>
      <x:c r="I202" s="3" t="str">
        <x:v>Open Home; old bookmark; reload; ordinary app</x:v>
      </x:c>
      <x:c r="J202" s="3" t="str">
        <x:v>1. Open /home and old Home roots with a harmless query
2. Check modules and both manifest URLs
3. Check retained asset URL
4. Launch an existing installed shortcut
5. Sign in, open app, check API/events and reload</x:v>
      </x:c>
      <x:c r="K202" s="3" t="str">
        <x:v>Approved target and matching artifact receipt; existing installed shortcut; disposable session; user-controlled sign-in</x:v>
      </x:c>
      <x:c r="L202" s="3" t="str"/>
      <x:c r="M202" s="3" t="str"/>
      <x:c r="N202" s="3" t="str"/>
      <x:c r="O202" s="3" t="str">
        <x:v>docs/EXECUTION.md; elastos/crates/elastos-server/src/api/browser_capsules.rs</x:v>
      </x:c>
      <x:c r="P202" s="3" t="str">
        <x:v>home</x:v>
      </x:c>
      <x:c r="Q202" s="3" t="str">
        <x:f>IF(OR(H202='Read Me + Evidence'!$K$6,H202='Read Me + Evidence'!$K$7,H202='Read Me + Evidence'!$K$8,P202='Read Me + Evidence'!$K$9,P202='Read Me + Evidence'!$K$10),'Read Me + Evidence'!$K$12,'Read Me + Evidence'!$K$11)</x:f>
        <x:v>GUI</x:v>
      </x:c>
      <x:c r="R202" s="14" t="n">
        <x:f>IF(AND(Q202='Read Me + Evidence'!$K$11,OR(D202='Read Me + Evidence'!$H$7,D202='Read Me + Evidence'!$H$8,D202='Read Me + Evidence'!$H$9)),1,0)</x:f>
        <x:v>0</x:v>
      </x:c>
      <x:c r="S202" s="14" t="n">
        <x:f>IF(AND(Q202='Read Me + Evidence'!$K$11,D202='Read Me + Evidence'!$H$7),1,0)</x:f>
        <x:v>0</x:v>
      </x:c>
      <x:c r="T202" s="14" t="n">
        <x:f>IF(AND(Q202='Read Me + Evidence'!$K$11,D202&lt;&gt;'Read Me + Evidence'!$H$12),1,0)</x:f>
        <x:v>1</x:v>
      </x:c>
      <x:c r="U202" s="3" t="str">
        <x:v>R2, 2026-09-10. C1-home/C1-seed. Installed-shortcut migration needs target proof. Preserve AUTH-04, AUTH-05 and CLI-05 proof boundaries.</x:v>
      </x:c>
    </x:row>
    <x:row r="203" ht="153" customHeight="1">
      <x:c r="A203" s="3" t="str">
        <x:v>SITE-01</x:v>
      </x:c>
      <x:c r="B203" s="3" t="str">
        <x:v>Public website</x:v>
      </x:c>
      <x:c r="C203" s="3" t="str">
        <x:v>Read storefront and open Home</x:v>
      </x:c>
      <x:c r="D203" s="3" t="str">
        <x:v>Not run</x:v>
      </x:c>
      <x:c r="E203" s="3" t="str">
        <x:v>The storefront explains available use and keeps hosted Home, source and public download facts distinct. Open Home uses same-origin /home/. Desktop, mobile and keyboard actions remain clear and usable.</x:v>
      </x:c>
      <x:c r="F203" s="58" t="str">
        <x:v>Pending target proof for R2. A source draft or local preview alone does not prove the seed serves this candidate.</x:v>
      </x:c>
      <x:c r="G203" s="3" t="str">
        <x:v>safe-read-only</x:v>
      </x:c>
      <x:c r="H203" s="3" t="str">
        <x:v>implemented-source</x:v>
      </x:c>
      <x:c r="I203" s="3" t="str">
        <x:v>Open Home; source guide; release evidence; keyboard navigation</x:v>
      </x:c>
      <x:c r="J203" s="3" t="str">
        <x:v>1. Open the public root at desktop and mobile widths
2. Use keyboard focus and links
3. Select Open Home and confirm same-origin /home/
4. Follow the source guide and release evidence links</x:v>
      </x:c>
      <x:c r="K203" s="3" t="str">
        <x:v>Reviewed site on approved target; served artifact receipt; desktop/mobile browser and keyboard; public Home entry</x:v>
      </x:c>
      <x:c r="L203" s="3" t="str"/>
      <x:c r="M203" s="3" t="str"/>
      <x:c r="N203" s="3" t="str"/>
      <x:c r="O203" s="3" t="str">
        <x:v>docs/EXECUTION.md; website/elastos/index.html; website/elastos/site.mjs</x:v>
      </x:c>
      <x:c r="P203" s="3" t="str">
        <x:v>website</x:v>
      </x:c>
      <x:c r="Q203" s="3" t="str">
        <x:f>IF(OR(H203='Read Me + Evidence'!$K$6,H203='Read Me + Evidence'!$K$7,H203='Read Me + Evidence'!$K$8,P203='Read Me + Evidence'!$K$9,P203='Read Me + Evidence'!$K$10),'Read Me + Evidence'!$K$12,'Read Me + Evidence'!$K$11)</x:f>
        <x:v>GUI</x:v>
      </x:c>
      <x:c r="R203" s="14" t="n">
        <x:f>IF(AND(Q203='Read Me + Evidence'!$K$11,OR(D203='Read Me + Evidence'!$H$7,D203='Read Me + Evidence'!$H$8,D203='Read Me + Evidence'!$H$9)),1,0)</x:f>
        <x:v>0</x:v>
      </x:c>
      <x:c r="S203" s="14" t="n">
        <x:f>IF(AND(Q203='Read Me + Evidence'!$K$11,D203='Read Me + Evidence'!$H$7),1,0)</x:f>
        <x:v>0</x:v>
      </x:c>
      <x:c r="T203" s="14" t="n">
        <x:f>IF(AND(Q203='Read Me + Evidence'!$K$11,D203&lt;&gt;'Read Me + Evidence'!$H$12),1,0)</x:f>
        <x:v>1</x:v>
      </x:c>
      <x:c r="U203" s="3" t="str">
        <x:v>R2, 2026-09-10. C1-site/C1-seed. Full release and installer acceptance stay in J1-J5/C6.</x:v>
      </x:c>
    </x:row>
    <x:row r="204" ht="153" customHeight="1">
      <x:c r="A204" s="3" t="str">
        <x:v>SITE-02</x:v>
      </x:c>
      <x:c r="B204" s="3" t="str">
        <x:v>Public website</x:v>
      </x:c>
      <x:c r="C204" s="3" t="str">
        <x:v>Installer metadata and failure states</x:v>
      </x:c>
      <x:c r="D204" s="3" t="str">
        <x:v>Not run</x:v>
      </x:c>
      <x:c r="E204" s="3" t="str">
        <x:v>Installer availability needs matching release facts, the selected platform and its recorded install proof. Missing, malformed, inconsistent or unsupported data leaves an honest usable action. A displayed SHA-256 is a checksum; installer signature verification has its own claim.</x:v>
      </x:c>
      <x:c r="F204" s="58" t="str">
        <x:v>Pending target proof for R2. Controlled metadata responses must be observed through the rendered page before a live verdict.</x:v>
      </x:c>
      <x:c r="G204" s="3" t="str">
        <x:v>safe-read-only</x:v>
      </x:c>
      <x:c r="H204" s="3" t="str">
        <x:v>implemented-source</x:v>
      </x:c>
      <x:c r="I204" s="3" t="str">
        <x:v>Platform selector; installer action; source guide; metadata and checksum</x:v>
      </x:c>
      <x:c r="J204" s="3" t="str">
        <x:v>1. Inspect matching release/platform with and without install proof
2. Select an unsupported platform
3. Exercise missing, malformed and mismatched metadata
4. Confirm unavailable installer action and usable source/Home links
5. Check checksum wording</x:v>
      </x:c>
      <x:c r="K204" s="3" t="str">
        <x:v>Isolated response fixtures on the reviewed page; approved target smoke with its real metadata; avoid changing the public publisher</x:v>
      </x:c>
      <x:c r="L204" s="3" t="str"/>
      <x:c r="M204" s="3" t="str"/>
      <x:c r="N204" s="3" t="str"/>
      <x:c r="O204" s="3" t="str">
        <x:v>docs/EXECUTION.md; website/elastos/site.mjs; website/elastos/claims.json</x:v>
      </x:c>
      <x:c r="P204" s="3" t="str">
        <x:v>website</x:v>
      </x:c>
      <x:c r="Q204" s="3" t="str">
        <x:f>IF(OR(H204='Read Me + Evidence'!$K$6,H204='Read Me + Evidence'!$K$7,H204='Read Me + Evidence'!$K$8,P204='Read Me + Evidence'!$K$9,P204='Read Me + Evidence'!$K$10),'Read Me + Evidence'!$K$12,'Read Me + Evidence'!$K$11)</x:f>
        <x:v>GUI</x:v>
      </x:c>
      <x:c r="R204" s="14" t="n">
        <x:f>IF(AND(Q204='Read Me + Evidence'!$K$11,OR(D204='Read Me + Evidence'!$H$7,D204='Read Me + Evidence'!$H$8,D204='Read Me + Evidence'!$H$9)),1,0)</x:f>
        <x:v>0</x:v>
      </x:c>
      <x:c r="S204" s="14" t="n">
        <x:f>IF(AND(Q204='Read Me + Evidence'!$K$11,D204='Read Me + Evidence'!$H$7),1,0)</x:f>
        <x:v>0</x:v>
      </x:c>
      <x:c r="T204" s="14" t="n">
        <x:f>IF(AND(Q204='Read Me + Evidence'!$K$11,D204&lt;&gt;'Read Me + Evidence'!$H$12),1,0)</x:f>
        <x:v>1</x:v>
      </x:c>
      <x:c r="U204" s="3" t="str">
        <x:v>R2, 2026-09-10. C1-site/C1-proof. Fixtures prove page behavior; record real served metadata and installer acceptance separately.</x:v>
      </x:c>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conditionalFormatting sqref="D202:D204">
    <x:cfRule type="cellIs" dxfId="37" priority="7" operator="equal">
      <x:formula>"Pass"</x:formula>
    </x:cfRule>
    <x:cfRule type="cellIs" dxfId="38" priority="8" operator="equal">
      <x:formula>"Fail"</x:formula>
    </x:cfRule>
    <x:cfRule type="cellIs" dxfId="39" priority="9" operator="equal">
      <x:formula>"Partially observed"</x:formula>
    </x:cfRule>
    <x:cfRule type="cellIs" dxfId="40" priority="10" operator="equal">
      <x:formula>"Blocked prerequisite"</x:formula>
    </x:cfRule>
    <x:cfRule type="cellIs" dxfId="41" priority="11" operator="equal">
      <x:formula>"Blocked tool"</x:formula>
    </x:cfRule>
    <x:cfRule type="cellIs" dxfId="42" priority="12" operator="equal">
      <x:formula>"Not run"</x:formula>
    </x:cfRule>
  </x:conditionalFormatting>
  <x:dataValidations count="2">
    <x:dataValidation type="list" sqref="D7:D201">
      <x:formula1>"Not run,Pass,Fail,Partially observed,Blocked prerequisite,Blocked tool,Not applicable"</x:formula1>
    </x:dataValidation>
    <x:dataValidation type="list" sqref="D202:D204">
      <x:formula1>"Not run,Pass,Fail,Partially observed,Blocked prerequisite,Blocked tool,Not applicable"</x:formula1>
    </x:dataValidation>
  </x:dataValidations>
  <x:pageMargins left="0.7" right="0.7" top="0.75" bottom="0.75" header="0.3" footer="0.3"/>
  <x:tableParts count="1">
    <x:tablePart xmlns:r="http://schemas.openxmlformats.org/officeDocument/2006/relationships" r:id="Rc0dbeacf9bbe4b8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35a34facaec94985"/>
    <x:tablePart xmlns:r="http://schemas.openxmlformats.org/officeDocument/2006/relationships" r:id="R9c2f776b02f847f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1bd54ba27e3849c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c5c8594e64cb47d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CURRENT INSTALLED AUDIT | This workbook separates source coverage from observed product behavior.</x:v>
      </x:c>
      <x:c r="B2" s="9" t="str">
        <x:v>CURRENT INSTALLED AUDIT | This workbook separates source coverage from observed product behavior.</x:v>
      </x:c>
      <x:c r="C2" s="9" t="str">
        <x:v>CURRENT INSTALLED AUDIT | This workbook separates source coverage from observed product behavior.</x:v>
      </x:c>
      <x:c r="D2" s="9" t="str">
        <x:v>CURRENT INSTALLED AUDIT | This workbook separates source coverage from observed product behavior.</x:v>
      </x:c>
      <x:c r="E2" s="9" t="str">
        <x:v>CURRENT INSTALLED AUDIT | This workbook separates source coverage from observed product behavior.</x:v>
      </x:c>
      <x:c r="F2" s="9" t="str">
        <x:v>CURRENT INSTALLED AUDIT | This workbook separates source coverage from observed product behavior.</x:v>
      </x:c>
      <x:c r="G2" s="3"/>
      <x:c r="H2" s="3"/>
      <x:c r="I2" s="3"/>
      <x:c r="J2" s="3"/>
      <x:c r="K2" s="3"/>
      <x:c r="L2" s="3"/>
    </x:row>
    <x:row r="3" ht="16.5" customHeight="1">
      <x:c r="A3" s="9" t="str">
        <x:v>CURRENT INSTALLED AUDIT | This workbook separates source coverage from observed product behavior.</x:v>
      </x:c>
      <x:c r="B3" s="9" t="str">
        <x:v>CURRENT INSTALLED AUDIT | This workbook separates source coverage from observed product behavior.</x:v>
      </x:c>
      <x:c r="C3" s="9" t="str">
        <x:v>CURRENT INSTALLED AUDIT | This workbook separates source coverage from observed product behavior.</x:v>
      </x:c>
      <x:c r="D3" s="9" t="str">
        <x:v>CURRENT INSTALLED AUDIT | This workbook separates source coverage from observed product behavior.</x:v>
      </x:c>
      <x:c r="E3" s="9" t="str">
        <x:v>CURRENT INSTALLED AUDIT | This workbook separates source coverage from observed product behavior.</x:v>
      </x:c>
      <x:c r="F3" s="9" t="str">
        <x:v>CURRENT INSTALLED AUDIT | This workbook separates source coverage from observed product behavior.</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feat/0.7.1-candidate @ 37b4195acb5dd9db3cef2bc0ba225af1c368529b | tree 368714246c7f227f63cc1c7548b90eacd6631585</x:v>
      </x:c>
      <x:c r="D6" s="23" t="str">
        <x:v>feat/0.7.1-candidate @ 37b4195acb5dd9db3cef2bc0ba225af1c368529b | tree 368714246c7f227f63cc1c7548b90eacd6631585</x:v>
      </x:c>
      <x:c r="E6" s="23" t="str">
        <x:v>feat/0.7.1-candidate @ 37b4195acb5dd9db3cef2bc0ba225af1c368529b | tree 368714246c7f227f63cc1c7548b90eacd6631585</x:v>
      </x:c>
      <x:c r="F6" s="23" t="str">
        <x:v>feat/0.7.1-candidate @ 37b4195acb5dd9db3cef2bc0ba225af1c368529b | tree 368714246c7f227f63cc1c7548b90eacd6631585</x:v>
      </x:c>
      <x:c r="G6" s="3"/>
      <x:c r="H6" s="3" t="str">
        <x:v>Not run</x:v>
      </x:c>
      <x:c r="I6" s="14" t="n">
        <x:v>0</x:v>
      </x:c>
      <x:c r="J6" s="3"/>
      <x:c r="K6" s="3" t="str">
        <x:v>planned</x:v>
      </x:c>
      <x:c r="L6" s="3" t="str">
        <x:v>Source only</x:v>
      </x:c>
    </x:row>
    <x:row r="7" ht="36" customHeight="1">
      <x:c r="A7" s="19" t="str">
        <x:v>Installed baseline</x:v>
      </x:c>
      <x:c r="B7" s="19" t="str">
        <x:v>Installed baseline</x:v>
      </x:c>
      <x:c r="C7" s="23" t="str">
        <x:v>Isolated source-home install on localhost:61380: 33 installed capsule manifests and 16 launcher targets. Existing account, passkey, Wallet, and user data remain in the isolated test root.</x:v>
      </x:c>
      <x:c r="D7" s="23" t="str">
        <x:v>Isolated source-home install on localhost:61380: 33 installed capsule manifests and 16 launcher targets. Existing account, passkey, Wallet, and user data remain in the isolated test root.</x:v>
      </x:c>
      <x:c r="E7" s="23" t="str">
        <x:v>Isolated source-home install on localhost:61380: 33 installed capsule manifests and 16 launcher targets. Existing account, passkey, Wallet, and user data remain in the isolated test root.</x:v>
      </x:c>
      <x:c r="F7" s="23" t="str">
        <x:v>Isolated source-home install on localhost:61380: 33 installed capsule manifests and 16 launcher targets. Existing account, passkey, Wallet, and user data remain in the isolated test root.</x:v>
      </x:c>
      <x:c r="G7" s="3"/>
      <x:c r="H7" s="3" t="str">
        <x:v>Pass</x:v>
      </x:c>
      <x:c r="I7" s="14" t="n">
        <x:v>1</x:v>
      </x:c>
      <x:c r="J7" s="3"/>
      <x:c r="K7" s="3" t="str">
        <x:v>runtime-only-no-ui</x:v>
      </x:c>
      <x:c r="L7" s="3" t="str">
        <x:v>Source only</x:v>
      </x:c>
    </x:row>
    <x:row r="8" ht="36" customHeight="1">
      <x:c r="A8" s="19" t="str">
        <x:v>Manifest SHA-256</x:v>
      </x:c>
      <x:c r="B8" s="19" t="str">
        <x:v>Manifest SHA-256</x:v>
      </x:c>
      <x:c r="C8" s="23" t="str">
        <x:v>76eb9ed880aebf6a0e71256c88d38e2966eaee96be34b998475e3ddca2f79dc6</x:v>
      </x:c>
      <x:c r="D8" s="23" t="str">
        <x:v>76eb9ed880aebf6a0e71256c88d38e2966eaee96be34b998475e3ddca2f79dc6</x:v>
      </x:c>
      <x:c r="E8" s="23" t="str">
        <x:v>76eb9ed880aebf6a0e71256c88d38e2966eaee96be34b998475e3ddca2f79dc6</x:v>
      </x:c>
      <x:c r="F8" s="23" t="str">
        <x:v>76eb9ed880aebf6a0e71256c88d38e2966eaee96be34b998475e3ddca2f79dc6</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uses the existing signed-in test session. Computer Use reached Home through accessibility controls at 100% zoom. Existing tabs and account data were preserved; tool-control errors remain separate from product results.</x:v>
      </x:c>
      <x:c r="D10" s="23" t="str">
        <x:v>Brave uses the existing signed-in test session. Computer Use reached Home through accessibility controls at 100% zoom. Existing tabs and account data were preserved; tool-control errors remain separate from product results.</x:v>
      </x:c>
      <x:c r="E10" s="23" t="str">
        <x:v>Brave uses the existing signed-in test session. Computer Use reached Home through accessibility controls at 100% zoom. Existing tabs and account data were preserved; tool-control errors remain separate from product results.</x:v>
      </x:c>
      <x:c r="F10" s="23" t="str">
        <x:v>Brave uses the existing signed-in test session. Computer Use reached Home through accessibility controls at 100% zoom. Existing tabs and account data were preserved; tool-control errors remain separate from product results.</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The installed candidate starts model-provider through the shared Init contract and reaches a truthful zero-offer state. Model execution needs one approved compatible offer. Remote Profile offers and content-addressed model retrieval remain separate journeys.</x:v>
      </x:c>
      <x:c r="D17" s="23" t="str">
        <x:v>The installed candidate starts model-provider through the shared Init contract and reaches a truthful zero-offer state. Model execution needs one approved compatible offer. Remote Profile offers and content-addressed model retrieval remain separate journeys.</x:v>
      </x:c>
      <x:c r="E17" s="23" t="str">
        <x:v>The installed candidate starts model-provider through the shared Init contract and reaches a truthful zero-offer state. Model execution needs one approved compatible offer. Remote Profile offers and content-addressed model retrieval remain separate journeys.</x:v>
      </x:c>
      <x:c r="F17" s="23" t="str">
        <x:v>The installed candidate starts model-provider through the shared Init contract and reaches a truthful zero-offer state. Model execution needs one approved compatible offer. Remote Profile offers and content-addressed model retrieval remain separate journeys.</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candidate snapshot: 37b4195a / tree 36871424. Runtime SHA-256 d9c9378b881072c0adc1b534429d7dd87c9cb8240849e677fb8c16c3d1ddc5a8; Home asset SHA-256 7bbffd989be301c9851ee3561bddc4182ec23ced8c502c3f01cdab4f7bb808f7. E-108 records current installed proof.</x:v>
      </x:c>
      <x:c r="D21" s="23" t="str">
        <x:v>Installed candidate snapshot: 37b4195a / tree 36871424. Runtime SHA-256 d9c9378b881072c0adc1b534429d7dd87c9cb8240849e677fb8c16c3d1ddc5a8; Home asset SHA-256 7bbffd989be301c9851ee3561bddc4182ec23ced8c502c3f01cdab4f7bb808f7. E-108 records current installed proof.</x:v>
      </x:c>
      <x:c r="E21" s="23" t="str">
        <x:v>Installed candidate snapshot: 37b4195a / tree 36871424. Runtime SHA-256 d9c9378b881072c0adc1b534429d7dd87c9cb8240849e677fb8c16c3d1ddc5a8; Home asset SHA-256 7bbffd989be301c9851ee3561bddc4182ec23ced8c502c3f01cdab4f7bb808f7. E-108 records current installed proof.</x:v>
      </x:c>
      <x:c r="F21" s="23" t="str">
        <x:v>Installed candidate snapshot: 37b4195a / tree 36871424. Runtime SHA-256 d9c9378b881072c0adc1b534429d7dd87c9cb8240849e677fb8c16c3d1ddc5a8; Home asset SHA-256 7bbffd989be301c9851ee3561bddc4182ec23ced8c502c3f01cdab4f7bb808f7. E-108 records current installed proof.</x:v>
      </x:c>
      <x:c r="G21" s="3"/>
      <x:c r="H21" s="3"/>
      <x:c r="I21" s="3"/>
      <x:c r="J21" s="3"/>
      <x:c r="K21" s="3"/>
      <x:c r="L21" s="3"/>
    </x:row>
    <x:row r="22" ht="36" customHeight="1">
      <x:c r="A22" s="19" t="str">
        <x:v>Known live evidence</x:v>
      </x:c>
      <x:c r="B22" s="19" t="str">
        <x:v>Known live evidence</x:v>
      </x:c>
      <x:c r="C22" s="23" t="str">
        <x:v>The workbook retains 61 product findings. E-108 adds current installed evidence without changing older outcomes that still need a direct retest.</x:v>
      </x:c>
      <x:c r="D22" s="23" t="str">
        <x:v>The workbook retains 61 product findings. E-108 adds current installed evidence without changing older outcomes that still need a direct retest.</x:v>
      </x:c>
      <x:c r="E22" s="23" t="str">
        <x:v>The workbook retains 61 product findings. E-108 adds current installed evidence without changing older outcomes that still need a direct retest.</x:v>
      </x:c>
      <x:c r="F22" s="23" t="str">
        <x:v>The workbook retains 61 product findings. E-108 adds current installed evidence without changing older outcomes that still need a direct retest.</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row r="333">
      <x:c r="A333" t="str">
        <x:v>E-108</x:v>
      </x:c>
      <x:c r="B333" t="str">
        <x:v>Current candidate installed acceptance</x:v>
      </x:c>
      <x:c r="C333" t="str">
        <x:v>Managed provider resolution, launcher coverage, model readiness, Library visibility, and Browser close cleanup</x:v>
      </x:c>
      <x:c r="D333" t="str">
        <x:v>Direct source, installed hashes, Runtime logs, Brave accessibility state, and process inspection</x:v>
      </x:c>
      <x:c r="E333" t="str">
        <x:v>Clean 37b4195a / tree 36871424; localhost:61380; gateway 97275; managed Runtime 97650</x:v>
      </x:c>
      <x:c r="F333" t="str">
        <x:v>Runtime and Home hashes match the isolated install. All 16 launcher targets open. Browser reached Ready in 38.5 seconds and left zero VM, VZ, TURN, or QEMU process residue after Home Close. Existing account and user data were preserved.</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ecef94be20804f9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b72d2226f11342bb"/>
  </x:tableParts>
</x:worksheet>
</file>