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2da734eecf6472a" /></Relationships>
</file>

<file path=xl/workbook.xml><?xml version="1.0" encoding="utf-8"?>
<x:workbook xmlns:x="http://schemas.openxmlformats.org/spreadsheetml/2006/main">
  <x:sheets>
    <x:sheet xmlns:r="http://schemas.openxmlformats.org/officeDocument/2006/relationships" name="Coverage" sheetId="1" r:id="R91e8907e4cab47a7"/>
    <x:sheet xmlns:r="http://schemas.openxmlformats.org/officeDocument/2006/relationships" name="Journey Matrix" sheetId="2" r:id="Rf04a8686ad4c4448"/>
    <x:sheet xmlns:r="http://schemas.openxmlformats.org/officeDocument/2006/relationships" name="Control Index" sheetId="3" r:id="R4ed5471b78d34685"/>
    <x:sheet xmlns:r="http://schemas.openxmlformats.org/officeDocument/2006/relationships" name="Findings" sheetId="4" r:id="R50034081886f4038"/>
    <x:sheet xmlns:r="http://schemas.openxmlformats.org/officeDocument/2006/relationships" name="Prioritized Plan" sheetId="5" r:id="Rf59f7f48194d4eca"/>
    <x:sheet xmlns:r="http://schemas.openxmlformats.org/officeDocument/2006/relationships" name="Read Me + Evidence" sheetId="6" r:id="R8f30d66bb1384936"/>
    <x:sheet xmlns:r="http://schemas.openxmlformats.org/officeDocument/2006/relationships" name="Principles Review" sheetId="7" r:id="Rb4601da5e97e4ce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3">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
      <x:patternFill patternType="solid">
        <x:fgColor rgb="FFF2F8FE"/>
      </x:patternFill>
    </x:fill>
  </x:fills>
  <x:borders count="1">
    <x:border/>
  </x:borders>
  <x:cellStyleXfs count="1">
    <x:xf numFmtId="0" fontId="0" fillId="0" borderId="0"/>
  </x:cellStyleXfs>
  <x:cellXfs count="59">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xf numFmtId="0" fontId="1" fillId="12" borderId="0" xfId="0" applyNumberFormat="1" applyFont="1" applyFill="1" applyBorder="1" applyAlignment="1">
      <x:alignment vertical="top" wrapText="1"/>
    </x:xf>
  </x:cellXfs>
  <x:cellStyles count="1">
    <x:cellStyle name="Normal" xfId="0"/>
  </x:cellStyles>
  <x:dxfs count="43">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color rgb="FF256545"/>
      </x:font>
      <x:fill>
        <x:patternFill patternType="solid">
          <x:bgColor rgb="FFE8F4EC"/>
        </x:patternFill>
      </x:fill>
    </x:dxf>
    <x:dxf>
      <x:font>
        <x:color rgb="FFA4262C"/>
      </x:font>
      <x:fill>
        <x:patternFill patternType="solid">
          <x:bgColor rgb="FFFCEBED"/>
        </x:patternFill>
      </x:fill>
    </x:dxf>
    <x:dxf>
      <x:font>
        <x:color rgb="FF865A12"/>
      </x:font>
      <x:fill>
        <x:patternFill patternType="solid">
          <x:bgColor rgb="FFFFF3D9"/>
        </x:patternFill>
      </x:fill>
    </x:dxf>
    <x:dxf>
      <x:font>
        <x:color rgb="FF865A12"/>
      </x:font>
      <x:fill>
        <x:patternFill patternType="solid">
          <x:bgColor rgb="FFFFF3D9"/>
        </x:patternFill>
      </x:fill>
    </x:dxf>
    <x:dxf>
      <x:font>
        <x:color rgb="FF65477E"/>
      </x:font>
      <x:fill>
        <x:patternFill patternType="solid">
          <x:bgColor rgb="FFF0EAF7"/>
        </x:patternFill>
      </x:fill>
    </x:dxf>
    <x:dxf>
      <x:font>
        <x:color rgb="FF55666A"/>
      </x:font>
      <x:fill>
        <x:patternFill patternType="solid">
          <x:bgColor rgb="FFF3F5F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7e79ef130c14353" /><Relationship Type="http://schemas.openxmlformats.org/officeDocument/2006/relationships/theme" Target="/xl/theme/theme1.xml" Id="R39a9d32bcd8947cf" /><Relationship Type="http://schemas.openxmlformats.org/officeDocument/2006/relationships/sharedStrings" Target="/xl/sharedStrings.xml" Id="R576f0781d1f04d8d" /><Relationship Type="http://schemas.openxmlformats.org/officeDocument/2006/relationships/worksheet" Target="/xl/worksheets/sheet1.xml" Id="R91e8907e4cab47a7" /><Relationship Type="http://schemas.openxmlformats.org/officeDocument/2006/relationships/worksheet" Target="/xl/worksheets/sheet2.xml" Id="Rf04a8686ad4c4448" /><Relationship Type="http://schemas.openxmlformats.org/officeDocument/2006/relationships/worksheet" Target="/xl/worksheets/sheet3.xml" Id="R4ed5471b78d34685" /><Relationship Type="http://schemas.openxmlformats.org/officeDocument/2006/relationships/worksheet" Target="/xl/worksheets/sheet4.xml" Id="R50034081886f4038" /><Relationship Type="http://schemas.openxmlformats.org/officeDocument/2006/relationships/worksheet" Target="/xl/worksheets/sheet5.xml" Id="Rf59f7f48194d4eca" /><Relationship Type="http://schemas.openxmlformats.org/officeDocument/2006/relationships/worksheet" Target="/xl/worksheets/sheet6.xml" Id="R8f30d66bb1384936" /><Relationship Type="http://schemas.openxmlformats.org/officeDocument/2006/relationships/worksheet" Target="/xl/worksheets/sheet7.xml" Id="Rb4601da5e97e4ce6" /></Relationships>
</file>

<file path=xl/tables/table1.xml><?xml version="1.0" encoding="utf-8"?>
<x:table xmlns:x="http://schemas.openxmlformats.org/spreadsheetml/2006/main" id="7" name="CoverageByCapsule" displayName="CoverageByCapsule" ref="A26:K52" headerRowCount="1" totalsRowCount="0" totalsRowShown="0">
  <x:autoFilter ref="A26:K52"/>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4" headerRowCount="1" totalsRowCount="0" totalsRowShown="0">
  <x:autoFilter ref="A6:U204"/>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bd83dd80bfd49df" /></Relationships>
</file>

<file path=xl/worksheets/_rels/sheet2.xml.rels>&#65279;<?xml version="1.0" encoding="utf-8"?><Relationships xmlns="http://schemas.openxmlformats.org/package/2006/relationships"><Relationship Type="http://schemas.openxmlformats.org/officeDocument/2006/relationships/table" Target="/xl/tables/table2.xml" Id="Rc0dbeacf9bbe4b87" /></Relationships>
</file>

<file path=xl/worksheets/_rels/sheet3.xml.rels>&#65279;<?xml version="1.0" encoding="utf-8"?><Relationships xmlns="http://schemas.openxmlformats.org/package/2006/relationships"><Relationship Type="http://schemas.openxmlformats.org/officeDocument/2006/relationships/table" Target="/xl/tables/table3.xml" Id="R35a34facaec94985" /><Relationship Type="http://schemas.openxmlformats.org/officeDocument/2006/relationships/table" Target="/xl/tables/table4.xml" Id="R9c2f776b02f847fb" /></Relationships>
</file>

<file path=xl/worksheets/_rels/sheet4.xml.rels>&#65279;<?xml version="1.0" encoding="utf-8"?><Relationships xmlns="http://schemas.openxmlformats.org/package/2006/relationships"><Relationship Type="http://schemas.openxmlformats.org/officeDocument/2006/relationships/table" Target="/xl/tables/table5.xml" Id="R1bd54ba27e3849cd" /></Relationships>
</file>

<file path=xl/worksheets/_rels/sheet5.xml.rels>&#65279;<?xml version="1.0" encoding="utf-8"?><Relationships xmlns="http://schemas.openxmlformats.org/package/2006/relationships"><Relationship Type="http://schemas.openxmlformats.org/officeDocument/2006/relationships/table" Target="/xl/tables/table6.xml" Id="Rc5c8594e64cb47d7" /></Relationships>
</file>

<file path=xl/worksheets/_rels/sheet6.xml.rels>&#65279;<?xml version="1.0" encoding="utf-8"?><Relationships xmlns="http://schemas.openxmlformats.org/package/2006/relationships"><Relationship Type="http://schemas.openxmlformats.org/officeDocument/2006/relationships/table" Target="/xl/tables/table7.xml" Id="Recef94be20804f93" /></Relationships>
</file>

<file path=xl/worksheets/_rels/sheet7.xml.rels>&#65279;<?xml version="1.0" encoding="utf-8"?><Relationships xmlns="http://schemas.openxmlformats.org/package/2006/relationships"><Relationship Type="http://schemas.openxmlformats.org/officeDocument/2006/relationships/table" Target="/xl/tables/table8.xml" Id="Rb72d2226f11342bb"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CURRENT INSTALLED AUDIT | Source coverage and observed product behavior remain separate measures.</x:v>
      </x:c>
      <x:c r="B2" s="9" t="str">
        <x:v>CURRENT INSTALLED AUDIT | Source coverage and observed product behavior remain separate measures.</x:v>
      </x:c>
      <x:c r="C2" s="9" t="str">
        <x:v>CURRENT INSTALLED AUDIT | Source coverage and observed product behavior remain separate measures.</x:v>
      </x:c>
      <x:c r="D2" s="9" t="str">
        <x:v>CURRENT INSTALLED AUDIT | Source coverage and observed product behavior remain separate measures.</x:v>
      </x:c>
      <x:c r="E2" s="9" t="str">
        <x:v>CURRENT INSTALLED AUDIT | Source coverage and observed product behavior remain separate measures.</x:v>
      </x:c>
      <x:c r="F2" s="9" t="str">
        <x:v>CURRENT INSTALLED AUDIT | Source coverage and observed product behavior remain separate measures.</x:v>
      </x:c>
      <x:c r="G2" s="3"/>
      <x:c r="H2" s="3"/>
      <x:c r="I2" s="3"/>
      <x:c r="J2" s="3"/>
      <x:c r="K2" s="3"/>
    </x:row>
    <x:row r="3" ht="16.5" customHeight="1">
      <x:c r="A3" s="9" t="str">
        <x:v>CURRENT INSTALLED AUDIT | Source coverage and observed product behavior remain separate measures.</x:v>
      </x:c>
      <x:c r="B3" s="9" t="str">
        <x:v>CURRENT INSTALLED AUDIT | Source coverage and observed product behavior remain separate measures.</x:v>
      </x:c>
      <x:c r="C3" s="9" t="str">
        <x:v>CURRENT INSTALLED AUDIT | Source coverage and observed product behavior remain separate measures.</x:v>
      </x:c>
      <x:c r="D3" s="9" t="str">
        <x:v>CURRENT INSTALLED AUDIT | Source coverage and observed product behavior remain separate measures.</x:v>
      </x:c>
      <x:c r="E3" s="9" t="str">
        <x:v>CURRENT INSTALLED AUDIT | Source coverage and observed product behavior remain separate measures.</x:v>
      </x:c>
      <x:c r="F3" s="9" t="str">
        <x:v>CURRENT INSTALLED AUDIT | Source coverage and observed product behavior remain separate measures.</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Matrix'!$A$7:$A$204)</x:f>
        <x:v>198</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COUNTIFS(J27:J52,"Yes",B27:B52,"&gt;0")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IFERROR(C7/COUNTIF(J27:J52,"Yes"),0)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Matrix'!$T$7:$T$204)</x:f>
        <x:v>182</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Matrix'!$R$7:$R$204)</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Matrix'!$S$7:$S$204)</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0.5824175824175825</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Matrix'!$D$7:$D$204,'Read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Matrix'!$D$7:$D$204,'Read Me + Evidence'!$H$10)</x:f>
        <x:v>76</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Matrix'!$Q$7:$Q$204,'Read Me + Evidence'!$K$11,'Journey Matrix'!$D$7:$D$204,'Read Me + Evidence'!$H$7)+COUNTIFS('Journey Matrix'!$Q$7:$Q$204,'Read Me + Evidence'!$K$11,'Journey Matrix'!$D$7:$D$204,'Read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0.2967032967032967</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Matrix'!$P$7:$P$204,A27)</x:f>
        <x:v>6</x:v>
      </x:c>
      <x:c r="C27" s="14" t="n">
        <x:f>SUMIFS('Journey Matrix'!$T$7:$T$204,'Journey Matrix'!$P$7:$P$204,A27)</x:f>
        <x:v>6</x:v>
      </x:c>
      <x:c r="D27" s="14" t="n">
        <x:f>SUMIFS('Journey Matrix'!$R$7:$R$204,'Journey Matrix'!$P$7:$P$204,A27)</x:f>
        <x:v>5</x:v>
      </x:c>
      <x:c r="E27" s="14" t="n">
        <x:f>SUMIFS('Journey Matrix'!$S$7:$S$204,'Journey Matrix'!$P$7:$P$204,A27)</x:f>
        <x:v>0</x:v>
      </x:c>
      <x:c r="F27" s="14" t="n">
        <x:f>COUNTIFS('Journey Matrix'!$P$7:$P$204,A27,'Journey Matrix'!$D$7:$D$204,'Read Me + Evidence'!$H$8)</x:f>
        <x:v>3</x:v>
      </x:c>
      <x:c r="G27" s="14" t="n">
        <x:f>COUNTIFS('Journey Matrix'!$P$7:$P$204,A27,'Journey Matrix'!$D$7:$D$204,'Read Me + Evidence'!$H$9)</x:f>
        <x:v>2</x:v>
      </x:c>
      <x:c r="H27" s="14" t="n">
        <x:f>COUNTIFS('Journey Matrix'!$P$7:$P$204,A27,'Journey Matrix'!$D$7:$D$204,'Read Me + Evidence'!$H$11)</x:f>
        <x:v>0</x:v>
      </x:c>
      <x:c r="I27" s="14" t="n">
        <x:f>COUNTIFS('Journey Matrix'!$P$7:$P$204,A27,'Journey Matrix'!$D$7:$D$204,'Read Me + Evidence'!$H$10)</x:f>
        <x:v>1</x:v>
      </x:c>
      <x:c r="J27" s="3" t="str">
        <x:v>Yes</x:v>
      </x:c>
      <x:c r="K27" s="14" t="n">
        <x:f>COUNTIF('Control Index'!$B$7:$B$255,A27)</x:f>
        <x:v>11</x:v>
      </x:c>
    </x:row>
    <x:row r="28" ht="25.5" customHeight="1">
      <x:c r="A28" s="3" t="str">
        <x:v>assistant</x:v>
      </x:c>
      <x:c r="B28" s="14" t="n">
        <x:f>COUNTIF('Journey Matrix'!$P$7:$P$204,A28)</x:f>
        <x:v>12</x:v>
      </x:c>
      <x:c r="C28" s="14" t="n">
        <x:f>SUMIFS('Journey Matrix'!$T$7:$T$204,'Journey Matrix'!$P$7:$P$204,A28)</x:f>
        <x:v>12</x:v>
      </x:c>
      <x:c r="D28" s="14" t="n">
        <x:f>SUMIFS('Journey Matrix'!$R$7:$R$204,'Journey Matrix'!$P$7:$P$204,A28)</x:f>
        <x:v>5</x:v>
      </x:c>
      <x:c r="E28" s="14" t="n">
        <x:f>SUMIFS('Journey Matrix'!$S$7:$S$204,'Journey Matrix'!$P$7:$P$204,A28)</x:f>
        <x:v>2</x:v>
      </x:c>
      <x:c r="F28" s="14" t="n">
        <x:f>COUNTIFS('Journey Matrix'!$P$7:$P$204,A28,'Journey Matrix'!$D$7:$D$204,'Read Me + Evidence'!$H$8)</x:f>
        <x:v>0</x:v>
      </x:c>
      <x:c r="G28" s="14" t="n">
        <x:f>COUNTIFS('Journey Matrix'!$P$7:$P$204,A28,'Journey Matrix'!$D$7:$D$204,'Read Me + Evidence'!$H$9)</x:f>
        <x:v>3</x:v>
      </x:c>
      <x:c r="H28" s="14" t="n">
        <x:f>COUNTIFS('Journey Matrix'!$P$7:$P$204,A28,'Journey Matrix'!$D$7:$D$204,'Read Me + Evidence'!$H$11)</x:f>
        <x:v>0</x:v>
      </x:c>
      <x:c r="I28" s="14" t="n">
        <x:f>COUNTIFS('Journey Matrix'!$P$7:$P$204,A28,'Journey Matrix'!$D$7:$D$204,'Read Me + Evidence'!$H$10)</x:f>
        <x:v>7</x:v>
      </x:c>
      <x:c r="J28" s="3" t="str">
        <x:v>Yes</x:v>
      </x:c>
      <x:c r="K28" s="14" t="n">
        <x:f>COUNTIF('Control Index'!$B$7:$B$255,A28)</x:f>
        <x:v>10</x:v>
      </x:c>
    </x:row>
    <x:row r="29" ht="25.5" customHeight="1">
      <x:c r="A29" s="3" t="str">
        <x:v>browser</x:v>
      </x:c>
      <x:c r="B29" s="14" t="n">
        <x:f>COUNTIF('Journey Matrix'!$P$7:$P$204,A29)</x:f>
        <x:v>12</x:v>
      </x:c>
      <x:c r="C29" s="14" t="n">
        <x:f>SUMIFS('Journey Matrix'!$T$7:$T$204,'Journey Matrix'!$P$7:$P$204,A29)</x:f>
        <x:v>12</x:v>
      </x:c>
      <x:c r="D29" s="14" t="n">
        <x:f>SUMIFS('Journey Matrix'!$R$7:$R$204,'Journey Matrix'!$P$7:$P$204,A29)</x:f>
        <x:v>8</x:v>
      </x:c>
      <x:c r="E29" s="14" t="n">
        <x:f>SUMIFS('Journey Matrix'!$S$7:$S$204,'Journey Matrix'!$P$7:$P$204,A29)</x:f>
        <x:v>0</x:v>
      </x:c>
      <x:c r="F29" s="14" t="n">
        <x:f>COUNTIFS('Journey Matrix'!$P$7:$P$204,A29,'Journey Matrix'!$D$7:$D$204,'Read Me + Evidence'!$H$8)</x:f>
        <x:v>5</x:v>
      </x:c>
      <x:c r="G29" s="14" t="n">
        <x:f>COUNTIFS('Journey Matrix'!$P$7:$P$204,A29,'Journey Matrix'!$D$7:$D$204,'Read Me + Evidence'!$H$9)</x:f>
        <x:v>3</x:v>
      </x:c>
      <x:c r="H29" s="14" t="n">
        <x:f>COUNTIFS('Journey Matrix'!$P$7:$P$204,A29,'Journey Matrix'!$D$7:$D$204,'Read Me + Evidence'!$H$11)</x:f>
        <x:v>1</x:v>
      </x:c>
      <x:c r="I29" s="14" t="n">
        <x:f>COUNTIFS('Journey Matrix'!$P$7:$P$204,A29,'Journey Matrix'!$D$7:$D$204,'Read Me + Evidence'!$H$10)</x:f>
        <x:v>3</x:v>
      </x:c>
      <x:c r="J29" s="3" t="str">
        <x:v>Yes</x:v>
      </x:c>
      <x:c r="K29" s="14" t="n">
        <x:f>COUNTIF('Control Index'!$B$7:$B$255,A29)</x:f>
        <x:v>10</x:v>
      </x:c>
    </x:row>
    <x:row r="30" ht="25.5" customHeight="1">
      <x:c r="A30" s="3" t="str">
        <x:v>chat-room</x:v>
      </x:c>
      <x:c r="B30" s="14" t="n">
        <x:f>COUNTIF('Journey Matrix'!$P$7:$P$204,A30)</x:f>
        <x:v>8</x:v>
      </x:c>
      <x:c r="C30" s="14" t="n">
        <x:f>SUMIFS('Journey Matrix'!$T$7:$T$204,'Journey Matrix'!$P$7:$P$204,A30)</x:f>
        <x:v>8</x:v>
      </x:c>
      <x:c r="D30" s="14" t="n">
        <x:f>SUMIFS('Journey Matrix'!$R$7:$R$204,'Journey Matrix'!$P$7:$P$204,A30)</x:f>
        <x:v>4</x:v>
      </x:c>
      <x:c r="E30" s="14" t="n">
        <x:f>SUMIFS('Journey Matrix'!$S$7:$S$204,'Journey Matrix'!$P$7:$P$204,A30)</x:f>
        <x:v>1</x:v>
      </x:c>
      <x:c r="F30" s="14" t="n">
        <x:f>COUNTIFS('Journey Matrix'!$P$7:$P$204,A30,'Journey Matrix'!$D$7:$D$204,'Read Me + Evidence'!$H$8)</x:f>
        <x:v>1</x:v>
      </x:c>
      <x:c r="G30" s="14" t="n">
        <x:f>COUNTIFS('Journey Matrix'!$P$7:$P$204,A30,'Journey Matrix'!$D$7:$D$204,'Read Me + Evidence'!$H$9)</x:f>
        <x:v>2</x:v>
      </x:c>
      <x:c r="H30" s="14" t="n">
        <x:f>COUNTIFS('Journey Matrix'!$P$7:$P$204,A30,'Journey Matrix'!$D$7:$D$204,'Read Me + Evidence'!$H$11)</x:f>
        <x:v>0</x:v>
      </x:c>
      <x:c r="I30" s="14" t="n">
        <x:f>COUNTIFS('Journey Matrix'!$P$7:$P$204,A30,'Journey Matrix'!$D$7:$D$204,'Read Me + Evidence'!$H$10)</x:f>
        <x:v>4</x:v>
      </x:c>
      <x:c r="J30" s="3" t="str">
        <x:v>Yes</x:v>
      </x:c>
      <x:c r="K30" s="14" t="n">
        <x:f>COUNTIF('Control Index'!$B$7:$B$255,A30)</x:f>
        <x:v>27</x:v>
      </x:c>
    </x:row>
    <x:row r="31" ht="25.5" customHeight="1">
      <x:c r="A31" s="3" t="str">
        <x:v>documents</x:v>
      </x:c>
      <x:c r="B31" s="14" t="n">
        <x:f>COUNTIF('Journey Matrix'!$P$7:$P$204,A31)</x:f>
        <x:v>11</x:v>
      </x:c>
      <x:c r="C31" s="14" t="n">
        <x:f>SUMIFS('Journey Matrix'!$T$7:$T$204,'Journey Matrix'!$P$7:$P$204,A31)</x:f>
        <x:v>11</x:v>
      </x:c>
      <x:c r="D31" s="14" t="n">
        <x:f>SUMIFS('Journey Matrix'!$R$7:$R$204,'Journey Matrix'!$P$7:$P$204,A31)</x:f>
        <x:v>10</x:v>
      </x:c>
      <x:c r="E31" s="14" t="n">
        <x:f>SUMIFS('Journey Matrix'!$S$7:$S$204,'Journey Matrix'!$P$7:$P$204,A31)</x:f>
        <x:v>6</x:v>
      </x:c>
      <x:c r="F31" s="14" t="n">
        <x:f>COUNTIFS('Journey Matrix'!$P$7:$P$204,A31,'Journey Matrix'!$D$7:$D$204,'Read Me + Evidence'!$H$8)</x:f>
        <x:v>2</x:v>
      </x:c>
      <x:c r="G31" s="14" t="n">
        <x:f>COUNTIFS('Journey Matrix'!$P$7:$P$204,A31,'Journey Matrix'!$D$7:$D$204,'Read Me + Evidence'!$H$9)</x:f>
        <x:v>2</x:v>
      </x:c>
      <x:c r="H31" s="14" t="n">
        <x:f>COUNTIFS('Journey Matrix'!$P$7:$P$204,A31,'Journey Matrix'!$D$7:$D$204,'Read Me + Evidence'!$H$11)</x:f>
        <x:v>0</x:v>
      </x:c>
      <x:c r="I31" s="14" t="n">
        <x:f>COUNTIFS('Journey Matrix'!$P$7:$P$204,A31,'Journey Matrix'!$D$7:$D$204,'Read Me + Evidence'!$H$10)</x:f>
        <x:v>1</x:v>
      </x:c>
      <x:c r="J31" s="3" t="str">
        <x:v>Yes</x:v>
      </x:c>
      <x:c r="K31" s="14" t="n">
        <x:f>COUNTIF('Control Index'!$B$7:$B$255,A31)</x:f>
        <x:v>27</x:v>
      </x:c>
    </x:row>
    <x:row r="32" ht="25.5" customHeight="1">
      <x:c r="A32" s="3" t="str">
        <x:v>elacity-player</x:v>
      </x:c>
      <x:c r="B32" s="14" t="n">
        <x:f>COUNTIF('Journey Matrix'!$P$7:$P$204,A32)</x:f>
        <x:v>5</x:v>
      </x:c>
      <x:c r="C32" s="14" t="n">
        <x:f>SUMIFS('Journey Matrix'!$T$7:$T$204,'Journey Matrix'!$P$7:$P$204,A32)</x:f>
        <x:v>5</x:v>
      </x:c>
      <x:c r="D32" s="14" t="n">
        <x:f>SUMIFS('Journey Matrix'!$R$7:$R$204,'Journey Matrix'!$P$7:$P$204,A32)</x:f>
        <x:v>1</x:v>
      </x:c>
      <x:c r="E32" s="14" t="n">
        <x:f>SUMIFS('Journey Matrix'!$S$7:$S$204,'Journey Matrix'!$P$7:$P$204,A32)</x:f>
        <x:v>0</x:v>
      </x:c>
      <x:c r="F32" s="14" t="n">
        <x:f>COUNTIFS('Journey Matrix'!$P$7:$P$204,A32,'Journey Matrix'!$D$7:$D$204,'Read Me + Evidence'!$H$8)</x:f>
        <x:v>0</x:v>
      </x:c>
      <x:c r="G32" s="14" t="n">
        <x:f>COUNTIFS('Journey Matrix'!$P$7:$P$204,A32,'Journey Matrix'!$D$7:$D$204,'Read Me + Evidence'!$H$9)</x:f>
        <x:v>1</x:v>
      </x:c>
      <x:c r="H32" s="14" t="n">
        <x:f>COUNTIFS('Journey Matrix'!$P$7:$P$204,A32,'Journey Matrix'!$D$7:$D$204,'Read Me + Evidence'!$H$11)</x:f>
        <x:v>0</x:v>
      </x:c>
      <x:c r="I32" s="14" t="n">
        <x:f>COUNTIFS('Journey Matrix'!$P$7:$P$204,A32,'Journey Matrix'!$D$7:$D$204,'Read Me + Evidence'!$H$10)</x:f>
        <x:v>4</x:v>
      </x:c>
      <x:c r="J32" s="3" t="str">
        <x:v>Yes</x:v>
      </x:c>
      <x:c r="K32" s="14" t="n">
        <x:f>COUNTIF('Control Index'!$B$7:$B$255,A32)</x:f>
        <x:v>0</x:v>
      </x:c>
    </x:row>
    <x:row r="33" ht="25.5" customHeight="1">
      <x:c r="A33" s="3" t="str">
        <x:v>gba-emulator</x:v>
      </x:c>
      <x:c r="B33" s="14" t="n">
        <x:f>COUNTIF('Journey Matrix'!$P$7:$P$204,A33)</x:f>
        <x:v>5</x:v>
      </x:c>
      <x:c r="C33" s="14" t="n">
        <x:f>SUMIFS('Journey Matrix'!$T$7:$T$204,'Journey Matrix'!$P$7:$P$204,A33)</x:f>
        <x:v>5</x:v>
      </x:c>
      <x:c r="D33" s="14" t="n">
        <x:f>SUMIFS('Journey Matrix'!$R$7:$R$204,'Journey Matrix'!$P$7:$P$204,A33)</x:f>
        <x:v>5</x:v>
      </x:c>
      <x:c r="E33" s="14" t="n">
        <x:f>SUMIFS('Journey Matrix'!$S$7:$S$204,'Journey Matrix'!$P$7:$P$204,A33)</x:f>
        <x:v>0</x:v>
      </x:c>
      <x:c r="F33" s="14" t="n">
        <x:f>COUNTIFS('Journey Matrix'!$P$7:$P$204,A33,'Journey Matrix'!$D$7:$D$204,'Read Me + Evidence'!$H$8)</x:f>
        <x:v>3</x:v>
      </x:c>
      <x:c r="G33" s="14" t="n">
        <x:f>COUNTIFS('Journey Matrix'!$P$7:$P$204,A33,'Journey Matrix'!$D$7:$D$204,'Read Me + Evidence'!$H$9)</x:f>
        <x:v>2</x:v>
      </x:c>
      <x:c r="H33" s="14" t="n">
        <x:f>COUNTIFS('Journey Matrix'!$P$7:$P$204,A33,'Journey Matrix'!$D$7:$D$204,'Read Me + Evidence'!$H$11)</x:f>
        <x:v>0</x:v>
      </x:c>
      <x:c r="I33" s="14" t="n">
        <x:f>COUNTIFS('Journey Matrix'!$P$7:$P$204,A33,'Journey Matrix'!$D$7:$D$204,'Read Me + Evidence'!$H$10)</x:f>
        <x:v>0</x:v>
      </x:c>
      <x:c r="J33" s="3" t="str">
        <x:v>Yes</x:v>
      </x:c>
      <x:c r="K33" s="14" t="n">
        <x:f>COUNTIF('Control Index'!$B$7:$B$255,A33)</x:f>
        <x:v>22</x:v>
      </x:c>
    </x:row>
    <x:row r="34" ht="25.5" customHeight="1">
      <x:c r="A34" s="3" t="str">
        <x:v>gba-nonogram</x:v>
      </x:c>
      <x:c r="B34" s="14" t="n">
        <x:f>COUNTIF('Journey Matrix'!$P$7:$P$204,A34)</x:f>
        <x:v>1</x:v>
      </x:c>
      <x:c r="C34" s="14" t="n">
        <x:f>SUMIFS('Journey Matrix'!$T$7:$T$204,'Journey Matrix'!$P$7:$P$204,A34)</x:f>
        <x:v>1</x:v>
      </x:c>
      <x:c r="D34" s="14" t="n">
        <x:f>SUMIFS('Journey Matrix'!$R$7:$R$204,'Journey Matrix'!$P$7:$P$204,A34)</x:f>
        <x:v>1</x:v>
      </x:c>
      <x:c r="E34" s="14" t="n">
        <x:f>SUMIFS('Journey Matrix'!$S$7:$S$204,'Journey Matrix'!$P$7:$P$204,A34)</x:f>
        <x:v>0</x:v>
      </x:c>
      <x:c r="F34" s="14" t="n">
        <x:f>COUNTIFS('Journey Matrix'!$P$7:$P$204,A34,'Journey Matrix'!$D$7:$D$204,'Read Me + Evidence'!$H$8)</x:f>
        <x:v>0</x:v>
      </x:c>
      <x:c r="G34" s="14" t="n">
        <x:f>COUNTIFS('Journey Matrix'!$P$7:$P$204,A34,'Journey Matrix'!$D$7:$D$204,'Read Me + Evidence'!$H$9)</x:f>
        <x:v>1</x:v>
      </x:c>
      <x:c r="H34" s="14" t="n">
        <x:f>COUNTIFS('Journey Matrix'!$P$7:$P$204,A34,'Journey Matrix'!$D$7:$D$204,'Read Me + Evidence'!$H$11)</x:f>
        <x:v>0</x:v>
      </x:c>
      <x:c r="I34" s="14" t="n">
        <x:f>COUNTIFS('Journey Matrix'!$P$7:$P$204,A34,'Journey Matrix'!$D$7:$D$204,'Read Me + Evidence'!$H$10)</x:f>
        <x:v>0</x:v>
      </x:c>
      <x:c r="J34" s="3" t="str">
        <x:v>Yes</x:v>
      </x:c>
      <x:c r="K34" s="14" t="n">
        <x:f>COUNTIF('Control Index'!$B$7:$B$255,A34)</x:f>
        <x:v>0</x:v>
      </x:c>
    </x:row>
    <x:row r="35" ht="25.5" customHeight="1">
      <x:c r="A35" s="3" t="str">
        <x:v>gba-ucity</x:v>
      </x:c>
      <x:c r="B35" s="14" t="n">
        <x:f>COUNTIF('Journey Matrix'!$P$7:$P$204,A35)</x:f>
        <x:v>1</x:v>
      </x:c>
      <x:c r="C35" s="14" t="n">
        <x:f>SUMIFS('Journey Matrix'!$T$7:$T$204,'Journey Matrix'!$P$7:$P$204,A35)</x:f>
        <x:v>1</x:v>
      </x:c>
      <x:c r="D35" s="14" t="n">
        <x:f>SUMIFS('Journey Matrix'!$R$7:$R$204,'Journey Matrix'!$P$7:$P$204,A35)</x:f>
        <x:v>1</x:v>
      </x:c>
      <x:c r="E35" s="14" t="n">
        <x:f>SUMIFS('Journey Matrix'!$S$7:$S$204,'Journey Matrix'!$P$7:$P$204,A35)</x:f>
        <x:v>0</x:v>
      </x:c>
      <x:c r="F35" s="14" t="n">
        <x:f>COUNTIFS('Journey Matrix'!$P$7:$P$204,A35,'Journey Matrix'!$D$7:$D$204,'Read Me + Evidence'!$H$8)</x:f>
        <x:v>1</x:v>
      </x:c>
      <x:c r="G35" s="14" t="n">
        <x:f>COUNTIFS('Journey Matrix'!$P$7:$P$204,A35,'Journey Matrix'!$D$7:$D$204,'Read Me + Evidence'!$H$9)</x:f>
        <x:v>0</x:v>
      </x:c>
      <x:c r="H35" s="14" t="n">
        <x:f>COUNTIFS('Journey Matrix'!$P$7:$P$204,A35,'Journey Matrix'!$D$7:$D$204,'Read Me + Evidence'!$H$11)</x:f>
        <x:v>0</x:v>
      </x:c>
      <x:c r="I35" s="14" t="n">
        <x:f>COUNTIFS('Journey Matrix'!$P$7:$P$204,A35,'Journey Matrix'!$D$7:$D$204,'Read Me + Evidence'!$H$10)</x:f>
        <x:v>0</x:v>
      </x:c>
      <x:c r="J35" s="3" t="str">
        <x:v>Yes</x:v>
      </x:c>
      <x:c r="K35" s="14" t="n">
        <x:f>COUNTIF('Control Index'!$B$7:$B$255,A35)</x:f>
        <x:v>0</x:v>
      </x:c>
    </x:row>
    <x:row r="36" ht="25.5" customHeight="1">
      <x:c r="A36" s="3" t="str">
        <x:v>home</x:v>
      </x:c>
      <x:c r="B36" s="14" t="n">
        <x:f>COUNTIF('Journey Matrix'!$P$7:$P$204,A36)</x:f>
        <x:v>8</x:v>
      </x:c>
      <x:c r="C36" s="14" t="n">
        <x:f>SUMIFS('Journey Matrix'!$T$7:$T$204,'Journey Matrix'!$P$7:$P$204,A36)</x:f>
        <x:v>8</x:v>
      </x:c>
      <x:c r="D36" s="14" t="n">
        <x:f>SUMIFS('Journey Matrix'!$R$7:$R$204,'Journey Matrix'!$P$7:$P$204,A36)</x:f>
        <x:v>1</x:v>
      </x:c>
      <x:c r="E36" s="14" t="n">
        <x:f>SUMIFS('Journey Matrix'!$S$7:$S$204,'Journey Matrix'!$P$7:$P$204,A36)</x:f>
        <x:v>0</x:v>
      </x:c>
      <x:c r="F36" s="14" t="n">
        <x:f>COUNTIFS('Journey Matrix'!$P$7:$P$204,A36,'Journey Matrix'!$D$7:$D$204,'Read Me + Evidence'!$H$8)</x:f>
        <x:v>0</x:v>
      </x:c>
      <x:c r="G36" s="14" t="n">
        <x:f>COUNTIFS('Journey Matrix'!$P$7:$P$204,A36,'Journey Matrix'!$D$7:$D$204,'Read Me + Evidence'!$H$9)</x:f>
        <x:v>1</x:v>
      </x:c>
      <x:c r="H36" s="14" t="n">
        <x:f>COUNTIFS('Journey Matrix'!$P$7:$P$204,A36,'Journey Matrix'!$D$7:$D$204,'Read Me + Evidence'!$H$11)</x:f>
        <x:v>0</x:v>
      </x:c>
      <x:c r="I36" s="14" t="n">
        <x:f>COUNTIFS('Journey Matrix'!$P$7:$P$204,A36,'Journey Matrix'!$D$7:$D$204,'Read Me + Evidence'!$H$10)</x:f>
        <x:v>6</x:v>
      </x:c>
      <x:c r="J36" s="3" t="str">
        <x:v>Yes</x:v>
      </x:c>
      <x:c r="K36" s="14" t="n">
        <x:f>COUNTIF('Control Index'!$B$7:$B$255,A36)</x:f>
        <x:v>9</x:v>
      </x:c>
    </x:row>
    <x:row r="37" ht="25.5" customHeight="1">
      <x:c r="A37" s="3" t="str">
        <x:v>home-cli</x:v>
      </x:c>
      <x:c r="B37" s="14" t="n">
        <x:f>COUNTIF('Journey Matrix'!$P$7:$P$204,A37)</x:f>
        <x:v>5</x:v>
      </x:c>
      <x:c r="C37" s="14" t="n">
        <x:f>SUMIFS('Journey Matrix'!$T$7:$T$204,'Journey Matrix'!$P$7:$P$204,A37)</x:f>
        <x:v>5</x:v>
      </x:c>
      <x:c r="D37" s="14" t="n">
        <x:f>SUMIFS('Journey Matrix'!$R$7:$R$204,'Journey Matrix'!$P$7:$P$204,A37)</x:f>
        <x:v>3</x:v>
      </x:c>
      <x:c r="E37" s="14" t="n">
        <x:f>SUMIFS('Journey Matrix'!$S$7:$S$204,'Journey Matrix'!$P$7:$P$204,A37)</x:f>
        <x:v>0</x:v>
      </x:c>
      <x:c r="F37" s="14" t="n">
        <x:f>COUNTIFS('Journey Matrix'!$P$7:$P$204,A37,'Journey Matrix'!$D$7:$D$204,'Read Me + Evidence'!$H$8)</x:f>
        <x:v>3</x:v>
      </x:c>
      <x:c r="G37" s="14" t="n">
        <x:f>COUNTIFS('Journey Matrix'!$P$7:$P$204,A37,'Journey Matrix'!$D$7:$D$204,'Read Me + Evidence'!$H$9)</x:f>
        <x:v>0</x:v>
      </x:c>
      <x:c r="H37" s="14" t="n">
        <x:f>COUNTIFS('Journey Matrix'!$P$7:$P$204,A37,'Journey Matrix'!$D$7:$D$204,'Read Me + Evidence'!$H$11)</x:f>
        <x:v>0</x:v>
      </x:c>
      <x:c r="I37" s="14" t="n">
        <x:f>COUNTIFS('Journey Matrix'!$P$7:$P$204,A37,'Journey Matrix'!$D$7:$D$204,'Read Me + Evidence'!$H$10)</x:f>
        <x:v>2</x:v>
      </x:c>
      <x:c r="J37" s="3" t="str">
        <x:v>Yes</x:v>
      </x:c>
      <x:c r="K37" s="14" t="n">
        <x:f>COUNTIF('Control Index'!$B$7:$B$255,A37)</x:f>
        <x:v>0</x:v>
      </x:c>
    </x:row>
    <x:row r="38" ht="25.5" customHeight="1">
      <x:c r="A38" s="3" t="str">
        <x:v>home-gui</x:v>
      </x:c>
      <x:c r="B38" s="14" t="n">
        <x:f>COUNTIF('Journey Matrix'!$P$7:$P$204,A38)</x:f>
        <x:v>16</x:v>
      </x:c>
      <x:c r="C38" s="14" t="n">
        <x:f>SUMIFS('Journey Matrix'!$T$7:$T$204,'Journey Matrix'!$P$7:$P$204,A38)</x:f>
        <x:v>16</x:v>
      </x:c>
      <x:c r="D38" s="14" t="n">
        <x:f>SUMIFS('Journey Matrix'!$R$7:$R$204,'Journey Matrix'!$P$7:$P$204,A38)</x:f>
        <x:v>14</x:v>
      </x:c>
      <x:c r="E38" s="14" t="n">
        <x:f>SUMIFS('Journey Matrix'!$S$7:$S$204,'Journey Matrix'!$P$7:$P$204,A38)</x:f>
        <x:v>4</x:v>
      </x:c>
      <x:c r="F38" s="14" t="n">
        <x:f>COUNTIFS('Journey Matrix'!$P$7:$P$204,A38,'Journey Matrix'!$D$7:$D$204,'Read Me + Evidence'!$H$8)</x:f>
        <x:v>4</x:v>
      </x:c>
      <x:c r="G38" s="14" t="n">
        <x:f>COUNTIFS('Journey Matrix'!$P$7:$P$204,A38,'Journey Matrix'!$D$7:$D$204,'Read Me + Evidence'!$H$9)</x:f>
        <x:v>6</x:v>
      </x:c>
      <x:c r="H38" s="14" t="n">
        <x:f>COUNTIFS('Journey Matrix'!$P$7:$P$204,A38,'Journey Matrix'!$D$7:$D$204,'Read Me + Evidence'!$H$11)</x:f>
        <x:v>0</x:v>
      </x:c>
      <x:c r="I38" s="14" t="n">
        <x:f>COUNTIFS('Journey Matrix'!$P$7:$P$204,A38,'Journey Matrix'!$D$7:$D$204,'Read Me + Evidence'!$H$10)</x:f>
        <x:v>2</x:v>
      </x:c>
      <x:c r="J38" s="3" t="str">
        <x:v>Yes</x:v>
      </x:c>
      <x:c r="K38" s="14" t="n">
        <x:f>COUNTIF('Control Index'!$B$7:$B$255,A38)</x:f>
        <x:v>47</x:v>
      </x:c>
    </x:row>
    <x:row r="39" ht="25.5" customHeight="1">
      <x:c r="A39" s="3" t="str">
        <x:v>inbox</x:v>
      </x:c>
      <x:c r="B39" s="14" t="n">
        <x:f>COUNTIF('Journey Matrix'!$P$7:$P$204,A39)</x:f>
        <x:v>7</x:v>
      </x:c>
      <x:c r="C39" s="14" t="n">
        <x:f>SUMIFS('Journey Matrix'!$T$7:$T$204,'Journey Matrix'!$P$7:$P$204,A39)</x:f>
        <x:v>7</x:v>
      </x:c>
      <x:c r="D39" s="14" t="n">
        <x:f>SUMIFS('Journey Matrix'!$R$7:$R$204,'Journey Matrix'!$P$7:$P$204,A39)</x:f>
        <x:v>2</x:v>
      </x:c>
      <x:c r="E39" s="14" t="n">
        <x:f>SUMIFS('Journey Matrix'!$S$7:$S$204,'Journey Matrix'!$P$7:$P$204,A39)</x:f>
        <x:v>0</x:v>
      </x:c>
      <x:c r="F39" s="14" t="n">
        <x:f>COUNTIFS('Journey Matrix'!$P$7:$P$204,A39,'Journey Matrix'!$D$7:$D$204,'Read Me + Evidence'!$H$8)</x:f>
        <x:v>0</x:v>
      </x:c>
      <x:c r="G39" s="14" t="n">
        <x:f>COUNTIFS('Journey Matrix'!$P$7:$P$204,A39,'Journey Matrix'!$D$7:$D$204,'Read Me + Evidence'!$H$9)</x:f>
        <x:v>2</x:v>
      </x:c>
      <x:c r="H39" s="14" t="n">
        <x:f>COUNTIFS('Journey Matrix'!$P$7:$P$204,A39,'Journey Matrix'!$D$7:$D$204,'Read Me + Evidence'!$H$11)</x:f>
        <x:v>0</x:v>
      </x:c>
      <x:c r="I39" s="14" t="n">
        <x:f>COUNTIFS('Journey Matrix'!$P$7:$P$204,A39,'Journey Matrix'!$D$7:$D$204,'Read Me + Evidence'!$H$10)</x:f>
        <x:v>5</x:v>
      </x:c>
      <x:c r="J39" s="3" t="str">
        <x:v>Yes</x:v>
      </x:c>
      <x:c r="K39" s="14" t="n">
        <x:f>COUNTIF('Control Index'!$B$7:$B$255,A39)</x:f>
        <x:v>3</x:v>
      </x:c>
    </x:row>
    <x:row r="40" ht="25.5" customHeight="1">
      <x:c r="A40" s="3" t="str">
        <x:v>library</x:v>
      </x:c>
      <x:c r="B40" s="14" t="n">
        <x:f>COUNTIF('Journey Matrix'!$P$7:$P$204,A40)</x:f>
        <x:v>24</x:v>
      </x:c>
      <x:c r="C40" s="14" t="n">
        <x:f>SUMIFS('Journey Matrix'!$T$7:$T$204,'Journey Matrix'!$P$7:$P$204,A40)</x:f>
        <x:v>23</x:v>
      </x:c>
      <x:c r="D40" s="14" t="n">
        <x:f>SUMIFS('Journey Matrix'!$R$7:$R$204,'Journey Matrix'!$P$7:$P$204,A40)</x:f>
        <x:v>12</x:v>
      </x:c>
      <x:c r="E40" s="14" t="n">
        <x:f>SUMIFS('Journey Matrix'!$S$7:$S$204,'Journey Matrix'!$P$7:$P$204,A40)</x:f>
        <x:v>3</x:v>
      </x:c>
      <x:c r="F40" s="14" t="n">
        <x:f>COUNTIFS('Journey Matrix'!$P$7:$P$204,A40,'Journey Matrix'!$D$7:$D$204,'Read Me + Evidence'!$H$8)</x:f>
        <x:v>5</x:v>
      </x:c>
      <x:c r="G40" s="14" t="n">
        <x:f>COUNTIFS('Journey Matrix'!$P$7:$P$204,A40,'Journey Matrix'!$D$7:$D$204,'Read Me + Evidence'!$H$9)</x:f>
        <x:v>5</x:v>
      </x:c>
      <x:c r="H40" s="14" t="n">
        <x:f>COUNTIFS('Journey Matrix'!$P$7:$P$204,A40,'Journey Matrix'!$D$7:$D$204,'Read Me + Evidence'!$H$11)</x:f>
        <x:v>0</x:v>
      </x:c>
      <x:c r="I40" s="14" t="n">
        <x:f>COUNTIFS('Journey Matrix'!$P$7:$P$204,A40,'Journey Matrix'!$D$7:$D$204,'Read Me + Evidence'!$H$10)</x:f>
        <x:v>11</x:v>
      </x:c>
      <x:c r="J40" s="3" t="str">
        <x:v>Yes</x:v>
      </x:c>
      <x:c r="K40" s="14" t="n">
        <x:f>COUNTIF('Control Index'!$B$7:$B$255,A40)</x:f>
        <x:v>14</x:v>
      </x:c>
    </x:row>
    <x:row r="41" ht="25.5" customHeight="1">
      <x:c r="A41" s="3" t="str">
        <x:v>marketplace</x:v>
      </x:c>
      <x:c r="B41" s="14" t="n">
        <x:f>COUNTIF('Journey Matrix'!$P$7:$P$204,A41)</x:f>
        <x:v>10</x:v>
      </x:c>
      <x:c r="C41" s="14" t="n">
        <x:f>SUMIFS('Journey Matrix'!$T$7:$T$204,'Journey Matrix'!$P$7:$P$204,A41)</x:f>
        <x:v>8</x:v>
      </x:c>
      <x:c r="D41" s="14" t="n">
        <x:f>SUMIFS('Journey Matrix'!$R$7:$R$204,'Journey Matrix'!$P$7:$P$204,A41)</x:f>
        <x:v>5</x:v>
      </x:c>
      <x:c r="E41" s="14" t="n">
        <x:f>SUMIFS('Journey Matrix'!$S$7:$S$204,'Journey Matrix'!$P$7:$P$204,A41)</x:f>
        <x:v>1</x:v>
      </x:c>
      <x:c r="F41" s="14" t="n">
        <x:f>COUNTIFS('Journey Matrix'!$P$7:$P$204,A41,'Journey Matrix'!$D$7:$D$204,'Read Me + Evidence'!$H$8)</x:f>
        <x:v>4</x:v>
      </x:c>
      <x:c r="G41" s="14" t="n">
        <x:f>COUNTIFS('Journey Matrix'!$P$7:$P$204,A41,'Journey Matrix'!$D$7:$D$204,'Read Me + Evidence'!$H$9)</x:f>
        <x:v>2</x:v>
      </x:c>
      <x:c r="H41" s="14" t="n">
        <x:f>COUNTIFS('Journey Matrix'!$P$7:$P$204,A41,'Journey Matrix'!$D$7:$D$204,'Read Me + Evidence'!$H$11)</x:f>
        <x:v>0</x:v>
      </x:c>
      <x:c r="I41" s="14" t="n">
        <x:f>COUNTIFS('Journey Matrix'!$P$7:$P$204,A41,'Journey Matrix'!$D$7:$D$204,'Read Me + Evidence'!$H$10)</x:f>
        <x:v>3</x:v>
      </x:c>
      <x:c r="J41" s="3" t="str">
        <x:v>Yes</x:v>
      </x:c>
      <x:c r="K41" s="14" t="n">
        <x:f>COUNTIF('Control Index'!$B$7:$B$255,A41)</x:f>
        <x:v>4</x:v>
      </x:c>
    </x:row>
    <x:row r="42" ht="25.5" customHeight="1">
      <x:c r="A42" s="3" t="str">
        <x:v>people</x:v>
      </x:c>
      <x:c r="B42" s="14" t="n">
        <x:f>COUNTIF('Journey Matrix'!$P$7:$P$204,A42)</x:f>
        <x:v>6</x:v>
      </x:c>
      <x:c r="C42" s="14" t="n">
        <x:f>SUMIFS('Journey Matrix'!$T$7:$T$204,'Journey Matrix'!$P$7:$P$204,A42)</x:f>
        <x:v>6</x:v>
      </x:c>
      <x:c r="D42" s="14" t="n">
        <x:f>SUMIFS('Journey Matrix'!$R$7:$R$204,'Journey Matrix'!$P$7:$P$204,A42)</x:f>
        <x:v>3</x:v>
      </x:c>
      <x:c r="E42" s="14" t="n">
        <x:f>SUMIFS('Journey Matrix'!$S$7:$S$204,'Journey Matrix'!$P$7:$P$204,A42)</x:f>
        <x:v>0</x:v>
      </x:c>
      <x:c r="F42" s="14" t="n">
        <x:f>COUNTIFS('Journey Matrix'!$P$7:$P$204,A42,'Journey Matrix'!$D$7:$D$204,'Read Me + Evidence'!$H$8)</x:f>
        <x:v>0</x:v>
      </x:c>
      <x:c r="G42" s="14" t="n">
        <x:f>COUNTIFS('Journey Matrix'!$P$7:$P$204,A42,'Journey Matrix'!$D$7:$D$204,'Read Me + Evidence'!$H$9)</x:f>
        <x:v>3</x:v>
      </x:c>
      <x:c r="H42" s="14" t="n">
        <x:f>COUNTIFS('Journey Matrix'!$P$7:$P$204,A42,'Journey Matrix'!$D$7:$D$204,'Read Me + Evidence'!$H$11)</x:f>
        <x:v>0</x:v>
      </x:c>
      <x:c r="I42" s="14" t="n">
        <x:f>COUNTIFS('Journey Matrix'!$P$7:$P$204,A42,'Journey Matrix'!$D$7:$D$204,'Read Me + Evidence'!$H$10)</x:f>
        <x:v>3</x:v>
      </x:c>
      <x:c r="J42" s="3" t="str">
        <x:v>Yes</x:v>
      </x:c>
      <x:c r="K42" s="14" t="n">
        <x:f>COUNTIF('Control Index'!$B$7:$B$255,A42)</x:f>
        <x:v>6</x:v>
      </x:c>
    </x:row>
    <x:row r="43" ht="25.5" customHeight="1">
      <x:c r="A43" s="3" t="str">
        <x:v>services</x:v>
      </x:c>
      <x:c r="B43" s="14" t="n">
        <x:f>COUNTIF('Journey Matrix'!$P$7:$P$204,A43)</x:f>
        <x:v>6</x:v>
      </x:c>
      <x:c r="C43" s="14" t="n">
        <x:f>SUMIFS('Journey Matrix'!$T$7:$T$204,'Journey Matrix'!$P$7:$P$204,A43)</x:f>
        <x:v>5</x:v>
      </x:c>
      <x:c r="D43" s="14" t="n">
        <x:f>SUMIFS('Journey Matrix'!$R$7:$R$204,'Journey Matrix'!$P$7:$P$204,A43)</x:f>
        <x:v>4</x:v>
      </x:c>
      <x:c r="E43" s="14" t="n">
        <x:f>SUMIFS('Journey Matrix'!$S$7:$S$204,'Journey Matrix'!$P$7:$P$204,A43)</x:f>
        <x:v>0</x:v>
      </x:c>
      <x:c r="F43" s="14" t="n">
        <x:f>COUNTIFS('Journey Matrix'!$P$7:$P$204,A43,'Journey Matrix'!$D$7:$D$204,'Read Me + Evidence'!$H$8)</x:f>
        <x:v>0</x:v>
      </x:c>
      <x:c r="G43" s="14" t="n">
        <x:f>COUNTIFS('Journey Matrix'!$P$7:$P$204,A43,'Journey Matrix'!$D$7:$D$204,'Read Me + Evidence'!$H$9)</x:f>
        <x:v>4</x:v>
      </x:c>
      <x:c r="H43" s="14" t="n">
        <x:f>COUNTIFS('Journey Matrix'!$P$7:$P$204,A43,'Journey Matrix'!$D$7:$D$204,'Read Me + Evidence'!$H$11)</x:f>
        <x:v>0</x:v>
      </x:c>
      <x:c r="I43" s="14" t="n">
        <x:f>COUNTIFS('Journey Matrix'!$P$7:$P$204,A43,'Journey Matrix'!$D$7:$D$204,'Read Me + Evidence'!$H$10)</x:f>
        <x:v>1</x:v>
      </x:c>
      <x:c r="J43" s="3" t="str">
        <x:v>Yes</x:v>
      </x:c>
      <x:c r="K43" s="14" t="n">
        <x:f>COUNTIF('Control Index'!$B$7:$B$255,A43)</x:f>
        <x:v>3</x:v>
      </x:c>
    </x:row>
    <x:row r="44" ht="25.5" customHeight="1">
      <x:c r="A44" s="3" t="str">
        <x:v>system</x:v>
      </x:c>
      <x:c r="B44" s="14" t="n">
        <x:f>COUNTIF('Journey Matrix'!$P$7:$P$204,A44)</x:f>
        <x:v>14</x:v>
      </x:c>
      <x:c r="C44" s="14" t="n">
        <x:f>SUMIFS('Journey Matrix'!$T$7:$T$204,'Journey Matrix'!$P$7:$P$204,A44)</x:f>
        <x:v>14</x:v>
      </x:c>
      <x:c r="D44" s="14" t="n">
        <x:f>SUMIFS('Journey Matrix'!$R$7:$R$204,'Journey Matrix'!$P$7:$P$204,A44)</x:f>
        <x:v>10</x:v>
      </x:c>
      <x:c r="E44" s="14" t="n">
        <x:f>SUMIFS('Journey Matrix'!$S$7:$S$204,'Journey Matrix'!$P$7:$P$204,A44)</x:f>
        <x:v>2</x:v>
      </x:c>
      <x:c r="F44" s="14" t="n">
        <x:f>COUNTIFS('Journey Matrix'!$P$7:$P$204,A44,'Journey Matrix'!$D$7:$D$204,'Read Me + Evidence'!$H$8)</x:f>
        <x:v>2</x:v>
      </x:c>
      <x:c r="G44" s="14" t="n">
        <x:f>COUNTIFS('Journey Matrix'!$P$7:$P$204,A44,'Journey Matrix'!$D$7:$D$204,'Read Me + Evidence'!$H$9)</x:f>
        <x:v>6</x:v>
      </x:c>
      <x:c r="H44" s="14" t="n">
        <x:f>COUNTIFS('Journey Matrix'!$P$7:$P$204,A44,'Journey Matrix'!$D$7:$D$204,'Read Me + Evidence'!$H$11)</x:f>
        <x:v>0</x:v>
      </x:c>
      <x:c r="I44" s="14" t="n">
        <x:f>COUNTIFS('Journey Matrix'!$P$7:$P$204,A44,'Journey Matrix'!$D$7:$D$204,'Read Me + Evidence'!$H$10)</x:f>
        <x:v>4</x:v>
      </x:c>
      <x:c r="J44" s="3" t="str">
        <x:v>Yes</x:v>
      </x:c>
      <x:c r="K44" s="14" t="n">
        <x:f>COUNTIF('Control Index'!$B$7:$B$255,A44)</x:f>
        <x:v>37</x:v>
      </x:c>
    </x:row>
    <x:row r="45" ht="25.5" customHeight="1">
      <x:c r="A45" s="3" t="str">
        <x:v>wallet</x:v>
      </x:c>
      <x:c r="B45" s="14" t="n">
        <x:f>COUNTIF('Journey Matrix'!$P$7:$P$204,A45)</x:f>
        <x:v>15</x:v>
      </x:c>
      <x:c r="C45" s="14" t="n">
        <x:f>SUMIFS('Journey Matrix'!$T$7:$T$204,'Journey Matrix'!$P$7:$P$204,A45)</x:f>
        <x:v>15</x:v>
      </x:c>
      <x:c r="D45" s="14" t="n">
        <x:f>SUMIFS('Journey Matrix'!$R$7:$R$204,'Journey Matrix'!$P$7:$P$204,A45)</x:f>
        <x:v>7</x:v>
      </x:c>
      <x:c r="E45" s="14" t="n">
        <x:f>SUMIFS('Journey Matrix'!$S$7:$S$204,'Journey Matrix'!$P$7:$P$204,A45)</x:f>
        <x:v>0</x:v>
      </x:c>
      <x:c r="F45" s="14" t="n">
        <x:f>COUNTIFS('Journey Matrix'!$P$7:$P$204,A45,'Journey Matrix'!$D$7:$D$204,'Read Me + Evidence'!$H$8)</x:f>
        <x:v>0</x:v>
      </x:c>
      <x:c r="G45" s="14" t="n">
        <x:f>COUNTIFS('Journey Matrix'!$P$7:$P$204,A45,'Journey Matrix'!$D$7:$D$204,'Read Me + Evidence'!$H$9)</x:f>
        <x:v>7</x:v>
      </x:c>
      <x:c r="H45" s="14" t="n">
        <x:f>COUNTIFS('Journey Matrix'!$P$7:$P$204,A45,'Journey Matrix'!$D$7:$D$204,'Read Me + Evidence'!$H$11)</x:f>
        <x:v>0</x:v>
      </x:c>
      <x:c r="I45" s="14" t="n">
        <x:f>COUNTIFS('Journey Matrix'!$P$7:$P$204,A45,'Journey Matrix'!$D$7:$D$204,'Read Me + Evidence'!$H$10)</x:f>
        <x:v>8</x:v>
      </x:c>
      <x:c r="J45" s="3" t="str">
        <x:v>Yes</x:v>
      </x:c>
      <x:c r="K45" s="14" t="n">
        <x:f>COUNTIF('Control Index'!$B$7:$B$255,A45)</x:f>
        <x:v>16</x:v>
      </x:c>
    </x:row>
    <x:row r="46" ht="25.5" customHeight="1">
      <x:c r="A46" s="3" t="str">
        <x:v>wallet-metamask</x:v>
      </x:c>
      <x:c r="B46" s="14" t="n">
        <x:f>COUNTIF('Journey Matrix'!$P$7:$P$204,A46)</x:f>
        <x:v>3</x:v>
      </x:c>
      <x:c r="C46" s="14" t="n">
        <x:f>SUMIFS('Journey Matrix'!$T$7:$T$204,'Journey Matrix'!$P$7:$P$204,A46)</x:f>
        <x:v>3</x:v>
      </x:c>
      <x:c r="D46" s="14" t="n">
        <x:f>SUMIFS('Journey Matrix'!$R$7:$R$204,'Journey Matrix'!$P$7:$P$204,A46)</x:f>
        <x:v>1</x:v>
      </x:c>
      <x:c r="E46" s="14" t="n">
        <x:f>SUMIFS('Journey Matrix'!$S$7:$S$204,'Journey Matrix'!$P$7:$P$204,A46)</x:f>
        <x:v>0</x:v>
      </x:c>
      <x:c r="F46" s="14" t="n">
        <x:f>COUNTIFS('Journey Matrix'!$P$7:$P$204,A46,'Journey Matrix'!$D$7:$D$204,'Read Me + Evidence'!$H$8)</x:f>
        <x:v>0</x:v>
      </x:c>
      <x:c r="G46" s="14" t="n">
        <x:f>COUNTIFS('Journey Matrix'!$P$7:$P$204,A46,'Journey Matrix'!$D$7:$D$204,'Read Me + Evidence'!$H$9)</x:f>
        <x:v>1</x:v>
      </x:c>
      <x:c r="H46" s="14" t="n">
        <x:f>COUNTIFS('Journey Matrix'!$P$7:$P$204,A46,'Journey Matrix'!$D$7:$D$204,'Read Me + Evidence'!$H$11)</x:f>
        <x:v>0</x:v>
      </x:c>
      <x:c r="I46" s="14" t="n">
        <x:f>COUNTIFS('Journey Matrix'!$P$7:$P$204,A46,'Journey Matrix'!$D$7:$D$204,'Read Me + Evidence'!$H$10)</x:f>
        <x:v>2</x:v>
      </x:c>
      <x:c r="J46" s="3" t="str">
        <x:v>Yes</x:v>
      </x:c>
      <x:c r="K46" s="14" t="n">
        <x:f>COUNTIF('Control Index'!$B$7:$B$255,A46)</x:f>
        <x:v>1</x:v>
      </x:c>
    </x:row>
    <x:row r="47" ht="25.5" customHeight="1">
      <x:c r="A47" s="3" t="str">
        <x:v>wallet-unisat</x:v>
      </x:c>
      <x:c r="B47" s="14" t="n">
        <x:f>COUNTIF('Journey Matrix'!$P$7:$P$204,A47)</x:f>
        <x:v>3</x:v>
      </x:c>
      <x:c r="C47" s="14" t="n">
        <x:f>SUMIFS('Journey Matrix'!$T$7:$T$204,'Journey Matrix'!$P$7:$P$204,A47)</x:f>
        <x:v>3</x:v>
      </x:c>
      <x:c r="D47" s="14" t="n">
        <x:f>SUMIFS('Journey Matrix'!$R$7:$R$204,'Journey Matrix'!$P$7:$P$204,A47)</x:f>
        <x:v>1</x:v>
      </x:c>
      <x:c r="E47" s="14" t="n">
        <x:f>SUMIFS('Journey Matrix'!$S$7:$S$204,'Journey Matrix'!$P$7:$P$204,A47)</x:f>
        <x:v>0</x:v>
      </x:c>
      <x:c r="F47" s="14" t="n">
        <x:f>COUNTIFS('Journey Matrix'!$P$7:$P$204,A47,'Journey Matrix'!$D$7:$D$204,'Read Me + Evidence'!$H$8)</x:f>
        <x:v>0</x:v>
      </x:c>
      <x:c r="G47" s="14" t="n">
        <x:f>COUNTIFS('Journey Matrix'!$P$7:$P$204,A47,'Journey Matrix'!$D$7:$D$204,'Read Me + Evidence'!$H$9)</x:f>
        <x:v>1</x:v>
      </x:c>
      <x:c r="H47" s="14" t="n">
        <x:f>COUNTIFS('Journey Matrix'!$P$7:$P$204,A47,'Journey Matrix'!$D$7:$D$204,'Read Me + Evidence'!$H$11)</x:f>
        <x:v>0</x:v>
      </x:c>
      <x:c r="I47" s="14" t="n">
        <x:f>COUNTIFS('Journey Matrix'!$P$7:$P$204,A47,'Journey Matrix'!$D$7:$D$204,'Read Me + Evidence'!$H$10)</x:f>
        <x:v>2</x:v>
      </x:c>
      <x:c r="J47" s="3" t="str">
        <x:v>Yes</x:v>
      </x:c>
      <x:c r="K47" s="14" t="n">
        <x:f>COUNTIF('Control Index'!$B$7:$B$255,A47)</x:f>
        <x:v>1</x:v>
      </x:c>
    </x:row>
    <x:row r="48" ht="25.5" customHeight="1">
      <x:c r="A48" s="3" t="str">
        <x:v>wallet-walletconnect</x:v>
      </x:c>
      <x:c r="B48" s="14" t="n">
        <x:f>COUNTIF('Journey Matrix'!$P$7:$P$204,A48)</x:f>
        <x:v>3</x:v>
      </x:c>
      <x:c r="C48" s="14" t="n">
        <x:f>SUMIFS('Journey Matrix'!$T$7:$T$204,'Journey Matrix'!$P$7:$P$204,A48)</x:f>
        <x:v>3</x:v>
      </x:c>
      <x:c r="D48" s="14" t="n">
        <x:f>SUMIFS('Journey Matrix'!$R$7:$R$204,'Journey Matrix'!$P$7:$P$204,A48)</x:f>
        <x:v>0</x:v>
      </x:c>
      <x:c r="E48" s="14" t="n">
        <x:f>SUMIFS('Journey Matrix'!$S$7:$S$204,'Journey Matrix'!$P$7:$P$204,A48)</x:f>
        <x:v>0</x:v>
      </x:c>
      <x:c r="F48" s="14" t="n">
        <x:f>COUNTIFS('Journey Matrix'!$P$7:$P$204,A48,'Journey Matrix'!$D$7:$D$204,'Read Me + Evidence'!$H$8)</x:f>
        <x:v>0</x:v>
      </x:c>
      <x:c r="G48" s="14" t="n">
        <x:f>COUNTIFS('Journey Matrix'!$P$7:$P$204,A48,'Journey Matrix'!$D$7:$D$204,'Read Me + Evidence'!$H$9)</x:f>
        <x:v>0</x:v>
      </x:c>
      <x:c r="H48" s="14" t="n">
        <x:f>COUNTIFS('Journey Matrix'!$P$7:$P$204,A48,'Journey Matrix'!$D$7:$D$204,'Read Me + Evidence'!$H$11)</x:f>
        <x:v>0</x:v>
      </x:c>
      <x:c r="I48" s="14" t="n">
        <x:f>COUNTIFS('Journey Matrix'!$P$7:$P$204,A48,'Journey Matrix'!$D$7:$D$204,'Read Me + Evidence'!$H$10)</x:f>
        <x:v>3</x:v>
      </x:c>
      <x:c r="J48" s="3" t="str">
        <x:v>Yes</x:v>
      </x:c>
      <x:c r="K48" s="14" t="n">
        <x:f>COUNTIF('Control Index'!$B$7:$B$255,A48)</x:f>
        <x:v>1</x:v>
      </x:c>
    </x:row>
    <x:row r="49" ht="25.5" customHeight="1">
      <x:c r="A49" s="3" t="str">
        <x:v>model-provider</x:v>
      </x:c>
      <x:c r="B49" s="14" t="n">
        <x:f>COUNTIF('Journey Matrix'!$P$7:$P$204,A49)</x:f>
        <x:v>6</x:v>
      </x:c>
      <x:c r="C49" s="14" t="n">
        <x:f>SUMIFS('Journey Matrix'!$T$7:$T$204,'Journey Matrix'!$P$7:$P$204,A49)</x:f>
        <x:v>0</x:v>
      </x:c>
      <x:c r="D49" s="14" t="n">
        <x:f>SUMIFS('Journey Matrix'!$R$7:$R$204,'Journey Matrix'!$P$7:$P$204,A49)</x:f>
        <x:v>0</x:v>
      </x:c>
      <x:c r="E49" s="14" t="n">
        <x:f>SUMIFS('Journey Matrix'!$S$7:$S$204,'Journey Matrix'!$P$7:$P$204,A49)</x:f>
        <x:v>0</x:v>
      </x:c>
      <x:c r="F49" s="14" t="n">
        <x:f>COUNTIFS('Journey Matrix'!$P$7:$P$204,A49,'Journey Matrix'!$D$7:$D$204,'Read Me + Evidence'!$H$8)</x:f>
        <x:v>0</x:v>
      </x:c>
      <x:c r="G49" s="14" t="n">
        <x:f>COUNTIFS('Journey Matrix'!$P$7:$P$204,A49,'Journey Matrix'!$D$7:$D$204,'Read Me + Evidence'!$H$9)</x:f>
        <x:v>1</x:v>
      </x:c>
      <x:c r="H49" s="14" t="n">
        <x:f>COUNTIFS('Journey Matrix'!$P$7:$P$204,A49,'Journey Matrix'!$D$7:$D$204,'Read Me + Evidence'!$H$11)</x:f>
        <x:v>0</x:v>
      </x:c>
      <x:c r="I49" s="14" t="n">
        <x:f>COUNTIFS('Journey Matrix'!$P$7:$P$204,A49,'Journey Matrix'!$D$7:$D$204,'Read Me + Evidence'!$H$10)</x:f>
        <x:v>1</x:v>
      </x:c>
      <x:c r="J49" s="3" t="str">
        <x:v>No</x:v>
      </x:c>
      <x:c r="K49" s="14" t="n">
        <x:f>COUNTIF('Control Index'!$B$7:$B$255,A49)</x:f>
        <x:v>0</x:v>
      </x:c>
    </x:row>
    <x:row r="50" ht="25.5" customHeight="1">
      <x:c r="A50" s="3" t="str">
        <x:v>runtime-services</x:v>
      </x:c>
      <x:c r="B50" s="14" t="n">
        <x:f>COUNTIF('Journey Matrix'!$P$7:$P$204,A50)</x:f>
        <x:v>6</x:v>
      </x:c>
      <x:c r="C50" s="14" t="n">
        <x:f>SUMIFS('Journey Matrix'!$T$7:$T$204,'Journey Matrix'!$P$7:$P$204,A50)</x:f>
        <x:v>0</x:v>
      </x:c>
      <x:c r="D50" s="14" t="n">
        <x:f>SUMIFS('Journey Matrix'!$R$7:$R$204,'Journey Matrix'!$P$7:$P$204,A50)</x:f>
        <x:v>0</x:v>
      </x:c>
      <x:c r="E50" s="14" t="n">
        <x:f>SUMIFS('Journey Matrix'!$S$7:$S$204,'Journey Matrix'!$P$7:$P$204,A50)</x:f>
        <x:v>0</x:v>
      </x:c>
      <x:c r="F50" s="14" t="n">
        <x:f>COUNTIFS('Journey Matrix'!$P$7:$P$204,A50,'Journey Matrix'!$D$7:$D$204,'Read Me + Evidence'!$H$8)</x:f>
        <x:v>1</x:v>
      </x:c>
      <x:c r="G50" s="14" t="n">
        <x:f>COUNTIFS('Journey Matrix'!$P$7:$P$204,A50,'Journey Matrix'!$D$7:$D$204,'Read Me + Evidence'!$H$9)</x:f>
        <x:v>2</x:v>
      </x:c>
      <x:c r="H50" s="14" t="n">
        <x:f>COUNTIFS('Journey Matrix'!$P$7:$P$204,A50,'Journey Matrix'!$D$7:$D$204,'Read Me + Evidence'!$H$11)</x:f>
        <x:v>0</x:v>
      </x:c>
      <x:c r="I50" s="14" t="n">
        <x:f>COUNTIFS('Journey Matrix'!$P$7:$P$204,A50,'Journey Matrix'!$D$7:$D$204,'Read Me + Evidence'!$H$10)</x:f>
        <x:v>3</x:v>
      </x:c>
      <x:c r="J50" s="3" t="str">
        <x:v>No</x:v>
      </x:c>
      <x:c r="K50" s="14" t="n">
        <x:f>COUNTIF('Control Index'!$B$7:$B$255,A50)</x:f>
        <x:v>0</x:v>
      </x:c>
    </x:row>
    <x:row r="51" ht="25.5" customHeight="1">
      <x:c r="A51" s="3" t="str">
        <x:v>shared</x:v>
      </x:c>
      <x:c r="B51" s="14" t="n">
        <x:f>COUNTIF('Journey Matrix'!$P$7:$P$204,A51)</x:f>
        <x:v>3</x:v>
      </x:c>
      <x:c r="C51" s="14" t="n">
        <x:f>SUMIFS('Journey Matrix'!$T$7:$T$204,'Journey Matrix'!$P$7:$P$204,A51)</x:f>
        <x:v>3</x:v>
      </x:c>
      <x:c r="D51" s="14" t="n">
        <x:f>SUMIFS('Journey Matrix'!$R$7:$R$204,'Journey Matrix'!$P$7:$P$204,A51)</x:f>
        <x:v>3</x:v>
      </x:c>
      <x:c r="E51" s="14" t="n">
        <x:f>SUMIFS('Journey Matrix'!$S$7:$S$204,'Journey Matrix'!$P$7:$P$204,A51)</x:f>
        <x:v>0</x:v>
      </x:c>
      <x:c r="F51" s="14" t="n">
        <x:f>COUNTIFS('Journey Matrix'!$P$7:$P$204,A51,'Journey Matrix'!$D$7:$D$204,'Read Me + Evidence'!$H$8)</x:f>
        <x:v>3</x:v>
      </x:c>
      <x:c r="G51" s="14" t="n">
        <x:f>COUNTIFS('Journey Matrix'!$P$7:$P$204,A51,'Journey Matrix'!$D$7:$D$204,'Read Me + Evidence'!$H$9)</x:f>
        <x:v>0</x:v>
      </x:c>
      <x:c r="H51" s="14" t="n">
        <x:f>COUNTIFS('Journey Matrix'!$P$7:$P$204,A51,'Journey Matrix'!$D$7:$D$204,'Read Me + Evidence'!$H$11)</x:f>
        <x:v>0</x:v>
      </x:c>
      <x:c r="I51" s="14" t="n">
        <x:f>COUNTIFS('Journey Matrix'!$P$7:$P$204,A51,'Journey Matrix'!$D$7:$D$204,'Read Me + Evidence'!$H$10)</x:f>
        <x:v>0</x:v>
      </x:c>
      <x:c r="J51" s="3" t="str">
        <x:v>No</x:v>
      </x:c>
      <x:c r="K51" s="14" t="n">
        <x:f>COUNTIF('Control Index'!$B$7:$B$255,A51)</x:f>
        <x:v>0</x:v>
      </x:c>
    </x:row>
    <x:row r="52" ht="25.5" customHeight="1">
      <x:c r="A52" s="3" t="str">
        <x:v>website</x:v>
      </x:c>
      <x:c r="B52" s="3" t="n">
        <x:f>COUNTIF('Journey Matrix'!$P$7:$P$204,A52)</x:f>
        <x:v>2</x:v>
      </x:c>
      <x:c r="C52" s="3" t="n">
        <x:f>SUMIFS('Journey Matrix'!$T$7:$T$204,'Journey Matrix'!$P$7:$P$204,A52)</x:f>
        <x:v>2</x:v>
      </x:c>
      <x:c r="D52" s="3" t="n">
        <x:f>SUMIFS('Journey Matrix'!$R$7:$R$204,'Journey Matrix'!$P$7:$P$204,A52)</x:f>
        <x:v>0</x:v>
      </x:c>
      <x:c r="E52" s="3" t="n">
        <x:f>SUMIFS('Journey Matrix'!$S$7:$S$204,'Journey Matrix'!$P$7:$P$204,A52)</x:f>
        <x:v>0</x:v>
      </x:c>
      <x:c r="F52" s="3" t="n">
        <x:f>COUNTIFS('Journey Matrix'!$P$7:$P$204,A52,'Journey Matrix'!$D$7:$D$204,'Read Me + Evidence'!$H$8)</x:f>
        <x:v>0</x:v>
      </x:c>
      <x:c r="G52" s="3" t="n">
        <x:f>COUNTIFS('Journey Matrix'!$P$7:$P$204,A52,'Journey Matrix'!$D$7:$D$204,'Read Me + Evidence'!$H$9)</x:f>
        <x:v>0</x:v>
      </x:c>
      <x:c r="H52" s="3" t="n">
        <x:f>COUNTIFS('Journey Matrix'!$P$7:$P$204,A52,'Journey Matrix'!$D$7:$D$204,'Read Me + Evidence'!$H$11)</x:f>
        <x:v>0</x:v>
      </x:c>
      <x:c r="I52" s="3" t="n">
        <x:f>COUNTIFS('Journey Matrix'!$P$7:$P$204,A52,'Journey Matrix'!$D$7:$D$204,'Read Me + Evidence'!$H$10)</x:f>
        <x:v>0</x:v>
      </x:c>
      <x:c r="J52" s="3" t="str">
        <x:v>No</x:v>
      </x:c>
      <x:c r="K52" s="3" t="n">
        <x:f>COUNTIF('Control Index'!$B$7:$B$255,A52)</x:f>
        <x:v>0</x:v>
      </x:c>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cbd83dd80bfd49d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7.329999923706055" hidden="0" customWidth="1"/>
    <x:col min="3" max="3" width="23.559999465942383" hidden="0" customWidth="1"/>
    <x:col min="4" max="4" width="14.670000076293945" hidden="0" customWidth="1"/>
    <x:col min="5" max="5" width="38.88999938964844" hidden="0" customWidth="1"/>
    <x:col min="6" max="6" width="38.88999938964844" hidden="0" customWidth="1"/>
    <x:col min="7" max="7" width="16.219999313354492" hidden="0" customWidth="1"/>
    <x:col min="8" max="8" width="19.329999923706055" hidden="0" customWidth="1"/>
    <x:col min="9" max="9" width="27.110000610351562" hidden="0" customWidth="1"/>
    <x:col min="10" max="10" width="36.66999816894531" hidden="0" customWidth="1"/>
    <x:col min="11" max="11" width="29.559999465942383" hidden="0" customWidth="1"/>
    <x:col min="12" max="12" width="11.670000076293945" hidden="0" customWidth="1"/>
    <x:col min="13" max="13" width="38.33000183105469" hidden="0" customWidth="1"/>
    <x:col min="14" max="14" width="20.559999465942383" hidden="0" customWidth="1"/>
    <x:col min="15" max="15" width="18.889999389648438" hidden="0" customWidth="1"/>
    <x:col min="16" max="16" width="16.889999389648438" hidden="0" customWidth="1"/>
    <x:col min="17" max="17" width="12.4399995803833" hidden="0" customWidth="1"/>
    <x:col min="18" max="18" width="10.4399995803833" hidden="0" customWidth="1"/>
    <x:col min="19" max="19" width="8.890000343322754" hidden="0" customWidth="1"/>
    <x:col min="20" max="20" width="11.670000076293945" hidden="0" customWidth="1"/>
    <x:col min="21" max="21" width="40.560001373291016" hidden="0" customWidth="1"/>
  </x:cols>
  <x:sheetData>
    <x:row r="1" ht="31.5" customHeight="1">
      <x:c r="A1" s="6" t="str">
        <x:v>Journey Matrix</x:v>
      </x:c>
      <x:c r="B1" s="6" t="str">
        <x:v>Journey Matrix</x:v>
      </x:c>
      <x:c r="C1" s="6" t="str">
        <x:v>Journey Matrix</x:v>
      </x:c>
      <x:c r="D1" s="6" t="str">
        <x:v>Journey Matrix</x:v>
      </x:c>
      <x:c r="E1" s="6" t="str">
        <x:v>Journey Matrix</x:v>
      </x:c>
      <x:c r="F1" s="6" t="str">
        <x:v>Journey Matrix</x:v>
      </x:c>
      <x:c r="G1" s="3"/>
      <x:c r="H1" s="3"/>
      <x:c r="I1" s="3"/>
      <x:c r="J1" s="3"/>
      <x:c r="K1" s="3"/>
      <x:c r="L1" s="3"/>
      <x:c r="M1" s="3"/>
      <x:c r="N1" s="3"/>
      <x:c r="O1" s="3"/>
      <x:c r="P1" s="3"/>
      <x:c r="Q1" s="3"/>
      <x:c r="R1" s="3"/>
      <x:c r="S1" s="3"/>
      <x:c r="T1" s="3"/>
      <x:c r="U1" s="3"/>
    </x:row>
    <x:row r="2" ht="16.5" customHeight="1">
      <x:c r="A2" s="9" t="str">
        <x:v>PARTIAL LIVE AUDIT / BASELINE | Filter Area, Live status or Safety. Expected behavior is separate from current defects and proposed flows.</x:v>
      </x:c>
      <x:c r="B2" s="9" t="str">
        <x:v>PARTIAL LIVE AUDIT / BASELINE | Filter Area, Live status or Safety. Expected behavior is separate from current defects and proposed flows.</x:v>
      </x:c>
      <x:c r="C2" s="9" t="str">
        <x:v>PARTIAL LIVE AUDIT / BASELINE | Filter Area, Live status or Safety. Expected behavior is separate from current defects and proposed flows.</x:v>
      </x:c>
      <x:c r="D2" s="9" t="str">
        <x:v>PARTIAL LIVE AUDIT / BASELINE | Filter Area, Live status or Safety. Expected behavior is separate from current defects and proposed flows.</x:v>
      </x:c>
      <x:c r="E2" s="9" t="str">
        <x:v>PARTIAL LIVE AUDIT / BASELINE | Filter Area, Live status or Safety. Expected behavior is separate from current defects and proposed flows.</x:v>
      </x:c>
      <x:c r="F2" s="9" t="str">
        <x:v>PARTIAL LIVE AUDIT / BASELINE | Filter Area, Live status or Safety. Expected behavior is separate from current defects and proposed flows.</x:v>
      </x:c>
      <x:c r="G2" s="3"/>
      <x:c r="H2" s="3"/>
      <x:c r="I2" s="3"/>
      <x:c r="J2" s="3"/>
      <x:c r="K2" s="3"/>
      <x:c r="L2" s="3"/>
      <x:c r="M2" s="3"/>
      <x:c r="N2" s="3"/>
      <x:c r="O2" s="3"/>
      <x:c r="P2" s="3"/>
      <x:c r="Q2" s="3"/>
      <x:c r="R2" s="3"/>
      <x:c r="S2" s="3"/>
      <x:c r="T2" s="3"/>
      <x:c r="U2" s="3"/>
    </x:row>
    <x:row r="3" ht="16.5" customHeight="1">
      <x:c r="A3" s="9" t="str">
        <x:v>PARTIAL LIVE AUDIT / BASELINE | Filter Area, Live status or Safety. Expected behavior is separate from current defects and proposed flows.</x:v>
      </x:c>
      <x:c r="B3" s="9" t="str">
        <x:v>PARTIAL LIVE AUDIT / BASELINE | Filter Area, Live status or Safety. Expected behavior is separate from current defects and proposed flows.</x:v>
      </x:c>
      <x:c r="C3" s="9" t="str">
        <x:v>PARTIAL LIVE AUDIT / BASELINE | Filter Area, Live status or Safety. Expected behavior is separate from current defects and proposed flows.</x:v>
      </x:c>
      <x:c r="D3" s="9" t="str">
        <x:v>PARTIAL LIVE AUDIT / BASELINE | Filter Area, Live status or Safety. Expected behavior is separate from current defects and proposed flows.</x:v>
      </x:c>
      <x:c r="E3" s="9" t="str">
        <x:v>PARTIAL LIVE AUDIT / BASELINE | Filter Area, Live status or Safety. Expected behavior is separate from current defects and proposed flows.</x:v>
      </x:c>
      <x:c r="F3" s="9" t="str">
        <x:v>PARTIAL LIVE AUDIT / BASELINE | Filter Area, Live status or Safety. Expected behavior is separate from current defects and proposed flows.</x:v>
      </x:c>
      <x:c r="G3" s="3"/>
      <x:c r="H3" s="3"/>
      <x:c r="I3" s="3"/>
      <x:c r="J3" s="3"/>
      <x:c r="K3" s="3"/>
      <x:c r="L3" s="3"/>
      <x:c r="M3" s="3"/>
      <x:c r="N3" s="3"/>
      <x:c r="O3" s="3"/>
      <x:c r="P3" s="3"/>
      <x:c r="Q3" s="3"/>
      <x:c r="R3" s="3"/>
      <x:c r="S3" s="3"/>
      <x:c r="T3" s="3"/>
      <x:c r="U3" s="3"/>
    </x:row>
    <x:row r="4" ht="9" customHeight="1">
      <x:c r="A4" s="3"/>
      <x:c r="B4" s="3"/>
      <x:c r="C4" s="3"/>
      <x:c r="D4" s="3"/>
      <x:c r="E4" s="3"/>
      <x:c r="F4" s="3"/>
      <x:c r="G4" s="3"/>
      <x:c r="H4" s="3"/>
      <x:c r="I4" s="3"/>
      <x:c r="J4" s="3"/>
      <x:c r="K4" s="3"/>
      <x:c r="L4" s="3"/>
      <x:c r="M4" s="3"/>
      <x:c r="N4" s="3"/>
      <x:c r="O4" s="3"/>
      <x:c r="P4" s="3"/>
      <x:c r="Q4" s="3"/>
      <x:c r="R4" s="3"/>
      <x:c r="S4" s="3"/>
      <x:c r="T4" s="3"/>
      <x:c r="U4" s="3"/>
    </x:row>
    <x:row r="5">
      <x:c r="A5" s="3"/>
      <x:c r="B5" s="3"/>
      <x:c r="C5" s="3"/>
      <x:c r="D5" s="3"/>
      <x:c r="E5" s="3"/>
      <x:c r="F5" s="3"/>
      <x:c r="G5" s="3"/>
      <x:c r="H5" s="3"/>
      <x:c r="I5" s="3"/>
      <x:c r="J5" s="3"/>
      <x:c r="K5" s="3"/>
      <x:c r="L5" s="3"/>
      <x:c r="M5" s="3"/>
      <x:c r="N5" s="3"/>
      <x:c r="O5" s="3"/>
      <x:c r="P5" s="3"/>
      <x:c r="Q5" s="3"/>
      <x:c r="R5" s="3"/>
      <x:c r="S5" s="3"/>
      <x:c r="T5" s="3"/>
      <x:c r="U5" s="3"/>
    </x:row>
    <x:row r="6" ht="28.5" customHeight="1">
      <x:c r="A6" s="11" t="str">
        <x:v>ID</x:v>
      </x:c>
      <x:c r="B6" s="11" t="str">
        <x:v>Area</x:v>
      </x:c>
      <x:c r="C6" s="11" t="str">
        <x:v>Journey</x:v>
      </x:c>
      <x:c r="D6" s="11" t="str">
        <x:v>Live status</x:v>
      </x:c>
      <x:c r="E6" s="11" t="str">
        <x:v>Expected behavior</x:v>
      </x:c>
      <x:c r="F6" s="11" t="str">
        <x:v>Actual / exact scope</x:v>
      </x:c>
      <x:c r="G6" s="11" t="str">
        <x:v>Safety</x:v>
      </x:c>
      <x:c r="H6" s="11" t="str">
        <x:v>Source state</x:v>
      </x:c>
      <x:c r="I6" s="11" t="str">
        <x:v>Controls / branches</x:v>
      </x:c>
      <x:c r="J6" s="11" t="str">
        <x:v>Steps</x:v>
      </x:c>
      <x:c r="K6" s="11" t="str">
        <x:v>Prerequisites</x:v>
      </x:c>
      <x:c r="L6" s="11" t="str">
        <x:v>Findings</x:v>
      </x:c>
      <x:c r="M6" s="11" t="str">
        <x:v>Prior evidence only</x:v>
      </x:c>
      <x:c r="N6" s="11" t="str">
        <x:v>Live evidence</x:v>
      </x:c>
      <x:c r="O6" s="11" t="str">
        <x:v>Source refs</x:v>
      </x:c>
      <x:c r="P6" s="11" t="str">
        <x:v>Capsule</x:v>
      </x:c>
      <x:c r="Q6" s="11" t="str">
        <x:v>Scope</x:v>
      </x:c>
      <x:c r="R6" s="11" t="str">
        <x:v>Observed?</x:v>
      </x:c>
      <x:c r="S6" s="11" t="str">
        <x:v>Pass?</x:v>
      </x:c>
      <x:c r="T6" s="11" t="str">
        <x:v>GUI base?</x:v>
      </x:c>
      <x:c r="U6" s="11" t="str">
        <x:v>Source notes / current gap</x:v>
      </x:c>
    </x:row>
    <x:row r="7" ht="153" customHeight="1">
      <x:c r="A7" s="3" t="str">
        <x:v>AUTH-01</x:v>
      </x:c>
      <x:c r="B7" s="3" t="str">
        <x:v>Home / sign-in</x:v>
      </x:c>
      <x:c r="C7" s="3" t="str">
        <x:v>First account</x:v>
      </x:c>
      <x:c r="D7" s="13" t="str">
        <x:v>Blocked prerequisite</x:v>
      </x:c>
      <x:c r="E7" s="3" t="inlineStr">
        <x:is>
          <x:t xml:space="preserve">Create stores the protected Profile and name before exporting a complete Recovery Kit. Recover selects a kit first, then sets up a passkey and restores the original Profile DID and exact name.</x:t>
        </x:is>
      </x:c>
      <x:c r="F7" s="12" t="str">
        <x:v>Creating a first account needs a fresh target and a user-operated passkey. Existing accounts and passkeys were preserved.</x:v>
      </x:c>
      <x:c r="G7" s="3" t="str">
        <x:v>controlled-identity</x:v>
      </x:c>
      <x:c r="H7" s="3" t="str">
        <x:v>implemented-source</x:v>
      </x:c>
      <x:c r="I7" s="3" t="inlineStr">
        <x:is>
          <x:t xml:space="preserve">Create; Recover; kit picker; passkey setup; System recovery</x:t>
        </x:is>
      </x:c>
      <x:c r="J7" s="3" t="inlineStr">
        <x:is>
          <x:t xml:space="preserve">1. Create Profile/name; save a complete kit
2. Recover on a fresh Home: kit picker first, then passkey and import
3. Check exact original DID/name
4. Wrong password; preserve data; retry
5. Reload; sign in and continue in System</x:t>
        </x:is>
      </x:c>
      <x:c r="K7" s="3" t="str">
        <x:v>Fresh Home; User-operated passkey</x:v>
      </x:c>
      <x:c r="L7" s="3" t="str"/>
      <x:c r="M7" s="3" t="str">
        <x:v>User independently viewed the new Home setup and passkey screen in Brave. [User report: real localhost:61380 window and screenshot reviewed. No account record inspected by inventory author.]</x:v>
      </x:c>
      <x:c r="N7" s="3" t="str">
        <x:v>E-043; E-053</x:v>
      </x:c>
      <x:c r="O7" s="3" t="str">
        <x:v>S-001</x:v>
      </x:c>
      <x:c r="P7" s="3" t="str">
        <x:v>home</x:v>
      </x:c>
      <x:c r="Q7" s="3" t="str">
        <x:f>IF(OR(H7='Read Me + Evidence'!$K$6,H7='Read Me + Evidence'!$K$7,H7='Read Me + Evidence'!$K$8,P7='Read Me + Evidence'!$K$9,P7='Read Me + Evidence'!$K$10),'Read Me + Evidence'!$K$12,'Read Me + Evidence'!$K$11)</x:f>
        <x:v>GUI</x:v>
      </x:c>
      <x:c r="R7" s="14" t="n">
        <x:f>IF(AND(Q7='Read Me + Evidence'!$K$11,OR(D7='Read Me + Evidence'!$H$7,D7='Read Me + Evidence'!$H$8,D7='Read Me + Evidence'!$H$9)),1,0)</x:f>
        <x:v>0</x:v>
      </x:c>
      <x:c r="S7" s="14" t="n">
        <x:f>IF(AND(Q7='Read Me + Evidence'!$K$11,D7='Read Me + Evidence'!$H$7),1,0)</x:f>
        <x:v>0</x:v>
      </x:c>
      <x:c r="T7" s="14" t="n">
        <x:f>IF(AND(Q7='Read Me + Evidence'!$K$11,D7&lt;&gt;'Read Me + Evidence'!$H$12),1,0)</x:f>
        <x:v>1</x:v>
      </x:c>
      <x:c r="U7" s="3" t="str"/>
    </x:row>
    <x:row r="8" ht="153" customHeight="1">
      <x:c r="A8" s="3" t="str">
        <x:v>AUTH-02</x:v>
      </x:c>
      <x:c r="B8" s="3" t="str">
        <x:v>Home / sign-in</x:v>
      </x:c>
      <x:c r="C8" s="3" t="str">
        <x:v>Returning sign-in</x:v>
      </x:c>
      <x:c r="D8" s="13" t="str">
        <x:v>Blocked prerequisite</x:v>
      </x:c>
      <x:c r="E8" s="3" t="str">
        <x:v>Valid passkey opens that principal's shell; cancellation leaves Home locked.</x:v>
      </x:c>
      <x:c r="F8" s="12" t="str">
        <x:v>Brave resumes the existing authenticated session. A fresh passkey sign-in was not forced because it would disturb the current session.</x:v>
      </x:c>
      <x:c r="G8" s="3" t="str">
        <x:v>controlled-identity</x:v>
      </x:c>
      <x:c r="H8" s="3" t="str">
        <x:v>implemented-source</x:v>
      </x:c>
      <x:c r="I8" s="3" t="str">
        <x:v>Use passkey; Account picker</x:v>
      </x:c>
      <x:c r="J8" s="3" t="str">
        <x:v>1. Open signed-out Home
2. Choose existing account
3. Use passkey</x:v>
      </x:c>
      <x:c r="K8" s="3" t="str">
        <x:v>Existing disposable test account</x:v>
      </x:c>
      <x:c r="L8" s="3" t="str"/>
      <x:c r="M8" s="3" t="str"/>
      <x:c r="N8" s="3" t="str">
        <x:v>E-043; E-053</x:v>
      </x:c>
      <x:c r="O8" s="3" t="str">
        <x:v>S-002</x:v>
      </x:c>
      <x:c r="P8" s="3" t="str">
        <x:v>home</x:v>
      </x:c>
      <x:c r="Q8" s="3" t="str">
        <x:f>IF(OR(H8='Read Me + Evidence'!$K$6,H8='Read Me + Evidence'!$K$7,H8='Read Me + Evidence'!$K$8,P8='Read Me + Evidence'!$K$9,P8='Read Me + Evidence'!$K$10),'Read Me + Evidence'!$K$12,'Read Me + Evidence'!$K$11)</x:f>
        <x:v>GUI</x:v>
      </x:c>
      <x:c r="R8" s="14" t="n">
        <x:f>IF(AND(Q8='Read Me + Evidence'!$K$11,OR(D8='Read Me + Evidence'!$H$7,D8='Read Me + Evidence'!$H$8,D8='Read Me + Evidence'!$H$9)),1,0)</x:f>
        <x:v>0</x:v>
      </x:c>
      <x:c r="S8" s="14" t="n">
        <x:f>IF(AND(Q8='Read Me + Evidence'!$K$11,D8='Read Me + Evidence'!$H$7),1,0)</x:f>
        <x:v>0</x:v>
      </x:c>
      <x:c r="T8" s="14" t="n">
        <x:f>IF(AND(Q8='Read Me + Evidence'!$K$11,D8&lt;&gt;'Read Me + Evidence'!$H$12),1,0)</x:f>
        <x:v>1</x:v>
      </x:c>
      <x:c r="U8" s="3" t="str"/>
    </x:row>
    <x:row r="9" ht="153" customHeight="1">
      <x:c r="A9" s="3" t="str">
        <x:v>AUTH-03</x:v>
      </x:c>
      <x:c r="B9" s="3" t="str">
        <x:v>Home / sign-in</x:v>
      </x:c>
      <x:c r="C9" s="3" t="str">
        <x:v>Guest admission</x:v>
      </x:c>
      <x:c r="D9" s="13" t="str">
        <x:v>Blocked prerequisite</x:v>
      </x:c>
      <x:c r="E9" s="3" t="str">
        <x:v>Operator guest policy controls admission; unavailable registration is explained.</x:v>
      </x:c>
      <x:c r="F9" s="12" t="str">
        <x:v>System shows guest admission disabled. Enabled/disabled signed-out admission needs explicit administrator policy testing on a disposable target.</x:v>
      </x:c>
      <x:c r="G9" s="3" t="str">
        <x:v>controlled-identity</x:v>
      </x:c>
      <x:c r="H9" s="3" t="str">
        <x:v>implemented-source</x:v>
      </x:c>
      <x:c r="I9" s="3" t="str">
        <x:v>Create guest passkey</x:v>
      </x:c>
      <x:c r="J9" s="3" t="str">
        <x:v>1. Inspect guest choice enabled and disabled
2. Cancel before creation</x:v>
      </x:c>
      <x:c r="K9" s="3" t="str">
        <x:v>Owner-configured guest policy</x:v>
      </x:c>
      <x:c r="L9" s="3" t="str"/>
      <x:c r="M9" s="3" t="str"/>
      <x:c r="N9" s="3" t="str">
        <x:v>E-043; E-053</x:v>
      </x:c>
      <x:c r="O9" s="3" t="str">
        <x:v>S-003</x:v>
      </x:c>
      <x:c r="P9" s="3" t="str">
        <x:v>home</x:v>
      </x:c>
      <x:c r="Q9" s="3" t="str">
        <x:f>IF(OR(H9='Read Me + Evidence'!$K$6,H9='Read Me + Evidence'!$K$7,H9='Read Me + Evidence'!$K$8,P9='Read Me + Evidence'!$K$9,P9='Read Me + Evidence'!$K$10),'Read Me + Evidence'!$K$12,'Read Me + Evidence'!$K$11)</x:f>
        <x:v>GUI</x:v>
      </x:c>
      <x:c r="R9" s="14" t="n">
        <x:f>IF(AND(Q9='Read Me + Evidence'!$K$11,OR(D9='Read Me + Evidence'!$H$7,D9='Read Me + Evidence'!$H$8,D9='Read Me + Evidence'!$H$9)),1,0)</x:f>
        <x:v>0</x:v>
      </x:c>
      <x:c r="S9" s="14" t="n">
        <x:f>IF(AND(Q9='Read Me + Evidence'!$K$11,D9='Read Me + Evidence'!$H$7),1,0)</x:f>
        <x:v>0</x:v>
      </x:c>
      <x:c r="T9" s="14" t="n">
        <x:f>IF(AND(Q9='Read Me + Evidence'!$K$11,D9&lt;&gt;'Read Me + Evidence'!$H$12),1,0)</x:f>
        <x:v>1</x:v>
      </x:c>
      <x:c r="U9" s="3" t="str"/>
    </x:row>
    <x:row r="10" ht="153" customHeight="1">
      <x:c r="A10" s="3" t="str">
        <x:v>AUTH-04</x:v>
      </x:c>
      <x:c r="B10" s="3" t="str">
        <x:v>Home / sign-in</x:v>
      </x:c>
      <x:c r="C10" s="3" t="str">
        <x:v>Shell handoff</x:v>
      </x:c>
      <x:c r="D10" s="13" t="str">
        <x:v>Partially observed</x:v>
      </x:c>
      <x:c r="E10" s="3" t="str">
        <x:v>Home mounts the selected shell with Runtime authority; a broken shell gets an explicit recovery surface.</x:v>
      </x:c>
      <x:c r="F10" s="12" t="str">
        <x: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x:v>
      </x:c>
      <x:c r="G10" s="3" t="str">
        <x:v>safe-read-only</x:v>
      </x:c>
      <x:c r="H10" s="3" t="str">
        <x:v>implemented-source</x:v>
      </x:c>
      <x:c r="I10" s="3" t="str">
        <x:v>Desktop recovery; Reload Home</x:v>
      </x:c>
      <x:c r="J10" s="3" t="str">
        <x:v>1. Inspect shell load
2. Use recovery only if shell fails</x:v>
      </x:c>
      <x:c r="K10" s="3" t="str">
        <x:v>Signed-in Home</x:v>
      </x:c>
      <x:c r="L10" s="3" t="str"/>
      <x:c r="M10" s="3" t="str"/>
      <x:c r="N10" s="3" t="str">
        <x:v>E-053; E-058</x:v>
      </x:c>
      <x:c r="O10" s="3" t="str">
        <x:v>S-004</x:v>
      </x:c>
      <x:c r="P10" s="3" t="str">
        <x:v>home</x:v>
      </x:c>
      <x:c r="Q10" s="3" t="str">
        <x:f>IF(OR(H10='Read Me + Evidence'!$K$6,H10='Read Me + Evidence'!$K$7,H10='Read Me + Evidence'!$K$8,P10='Read Me + Evidence'!$K$9,P10='Read Me + Evidence'!$K$10),'Read Me + Evidence'!$K$12,'Read Me + Evidence'!$K$11)</x:f>
        <x:v>GUI</x:v>
      </x:c>
      <x:c r="R10" s="14" t="n">
        <x:f>IF(AND(Q10='Read Me + Evidence'!$K$11,OR(D10='Read Me + Evidence'!$H$7,D10='Read Me + Evidence'!$H$8,D10='Read Me + Evidence'!$H$9)),1,0)</x:f>
        <x:v>1</x:v>
      </x:c>
      <x:c r="S10" s="14" t="n">
        <x:f>IF(AND(Q10='Read Me + Evidence'!$K$11,D10='Read Me + Evidence'!$H$7),1,0)</x:f>
        <x:v>0</x:v>
      </x:c>
      <x:c r="T10" s="14" t="n">
        <x:f>IF(AND(Q10='Read Me + Evidence'!$K$11,D10&lt;&gt;'Read Me + Evidence'!$H$12),1,0)</x:f>
        <x:v>1</x:v>
      </x:c>
      <x:c r="U10" s="3" t="str"/>
    </x:row>
    <x:row r="11" ht="153" customHeight="1">
      <x:c r="A11" s="3" t="str">
        <x:v>AUTH-05</x:v>
      </x:c>
      <x:c r="B11" s="3" t="str">
        <x:v>Home / sign-in</x:v>
      </x:c>
      <x:c r="C11" s="3" t="str">
        <x:v>Sign-out and relock</x:v>
      </x:c>
      <x:c r="D11" s="13" t="str">
        <x:v>Blocked prerequisite</x:v>
      </x:c>
      <x:c r="E11" s="3" t="str">
        <x:v>Sign-out ends session authority and returns to signed-out /home/. Relock protects Home. Prior app frames retain no privileged access.</x:v>
      </x:c>
      <x:c r="F11" s="12" t="str">
        <x:v>Sign-out/relock would end the shared authenticated Home session. A disposable sign-in target is required; existing user tabs stay authenticated.</x:v>
      </x:c>
      <x:c r="G11" s="3" t="str">
        <x:v>controlled-session</x:v>
      </x:c>
      <x:c r="H11" s="3" t="str">
        <x:v>implemented-source</x:v>
      </x:c>
      <x:c r="I11" s="3" t="str">
        <x:v>Sign out; Lock</x:v>
      </x:c>
      <x:c r="J11" s="3" t="str">
        <x:v>1. Save disposable work
2. Sign out
3. Confirm signed-out /home/
4. Revisit prior frame and check denied access
5. Repeat relock separately</x:v>
      </x:c>
      <x:c r="K11" s="3" t="str">
        <x:v>Disposable signed-in session; user-controlled passkey; matching installed Home and Runtime receipt</x:v>
      </x:c>
      <x:c r="L11" s="3" t="str"/>
      <x:c r="M11" s="3" t="str"/>
      <x:c r="N11" s="3" t="str">
        <x:v>E-043; E-053</x:v>
      </x:c>
      <x:c r="O11" s="3" t="str">
        <x:v>S-005</x:v>
      </x:c>
      <x:c r="P11" s="3" t="str">
        <x:v>home</x:v>
      </x:c>
      <x:c r="Q11" s="3" t="str">
        <x:f>IF(OR(H11='Read Me + Evidence'!$K$6,H11='Read Me + Evidence'!$K$7,H11='Read Me + Evidence'!$K$8,P11='Read Me + Evidence'!$K$9,P11='Read Me + Evidence'!$K$10),'Read Me + Evidence'!$K$12,'Read Me + Evidence'!$K$11)</x:f>
        <x:v>GUI</x:v>
      </x:c>
      <x:c r="R11" s="14" t="n">
        <x:f>IF(AND(Q11='Read Me + Evidence'!$K$11,OR(D11='Read Me + Evidence'!$H$7,D11='Read Me + Evidence'!$H$8,D11='Read Me + Evidence'!$H$9)),1,0)</x:f>
        <x:v>0</x:v>
      </x:c>
      <x:c r="S11" s="14" t="n">
        <x:f>IF(AND(Q11='Read Me + Evidence'!$K$11,D11='Read Me + Evidence'!$H$7),1,0)</x:f>
        <x:v>0</x:v>
      </x:c>
      <x:c r="T11" s="14" t="n">
        <x:f>IF(AND(Q11='Read Me + Evidence'!$K$11,D11&lt;&gt;'Read Me + Evidence'!$H$12),1,0)</x:f>
        <x:v>1</x:v>
      </x:c>
      <x:c r="U11" s="3" t="str">
        <x:v>R2, 2026-09-10: canonical Home entry is /home/. Existing live verdict and evidence remain historical. Repeat sign-out/relock on the exact installed candidate.</x:v>
      </x:c>
    </x:row>
    <x:row r="12" ht="153" customHeight="1">
      <x:c r="A12" s="3" t="str">
        <x:v>AUTH-06</x:v>
      </x:c>
      <x:c r="B12" s="3" t="str">
        <x:v>Home / sign-in</x:v>
      </x:c>
      <x:c r="C12" s="3" t="str">
        <x:v>Cancelled or failed authentication</x:v>
      </x:c>
      <x:c r="D12" s="13" t="str">
        <x:v>Blocked prerequisite</x:v>
      </x:c>
      <x:c r="E12" s="3" t="str">
        <x:v>Failure remains locked, preserves understandable feedback, and does not silently create another account.</x:v>
      </x:c>
      <x:c r="F12" s="12" t="str">
        <x:v>Passkey cancellation/failure requires a user-operated disposable authentication attempt. No passkey prompt or account creation was forced.</x:v>
      </x:c>
      <x:c r="G12" s="3" t="str">
        <x:v>controlled-identity</x:v>
      </x:c>
      <x:c r="H12" s="3" t="str">
        <x:v>implemented-source</x:v>
      </x:c>
      <x:c r="I12" s="3" t="str">
        <x:v>Passkey dialog; Error state</x:v>
      </x:c>
      <x:c r="J12" s="3" t="str">
        <x:v>1. Cancel passkey prompt
2. Retry deliberately</x:v>
      </x:c>
      <x:c r="K12" s="3" t="str">
        <x:v>Disposable sign-in attempt</x:v>
      </x:c>
      <x:c r="L12" s="3" t="str"/>
      <x:c r="M12" s="3" t="str"/>
      <x:c r="N12" s="3" t="str">
        <x:v>E-043; E-053</x:v>
      </x:c>
      <x:c r="O12" s="3" t="str">
        <x:v>S-002</x:v>
      </x:c>
      <x:c r="P12" s="3" t="str">
        <x:v>home</x:v>
      </x:c>
      <x:c r="Q12" s="3" t="str">
        <x:f>IF(OR(H12='Read Me + Evidence'!$K$6,H12='Read Me + Evidence'!$K$7,H12='Read Me + Evidence'!$K$8,P12='Read Me + Evidence'!$K$9,P12='Read Me + Evidence'!$K$10),'Read Me + Evidence'!$K$12,'Read Me + Evidence'!$K$11)</x:f>
        <x:v>GUI</x:v>
      </x:c>
      <x:c r="R12" s="14" t="n">
        <x:f>IF(AND(Q12='Read Me + Evidence'!$K$11,OR(D12='Read Me + Evidence'!$H$7,D12='Read Me + Evidence'!$H$8,D12='Read Me + Evidence'!$H$9)),1,0)</x:f>
        <x:v>0</x:v>
      </x:c>
      <x:c r="S12" s="14" t="n">
        <x:f>IF(AND(Q12='Read Me + Evidence'!$K$11,D12='Read Me + Evidence'!$H$7),1,0)</x:f>
        <x:v>0</x:v>
      </x:c>
      <x:c r="T12" s="14" t="n">
        <x:f>IF(AND(Q12='Read Me + Evidence'!$K$11,D12&lt;&gt;'Read Me + Evidence'!$H$12),1,0)</x:f>
        <x:v>1</x:v>
      </x:c>
      <x:c r="U12" s="3" t="str"/>
    </x:row>
    <x:row r="13" ht="153" customHeight="1">
      <x:c r="A13" s="3" t="str">
        <x:v>AUTH-07</x:v>
      </x:c>
      <x:c r="B13" s="3" t="str">
        <x:v>Home / sign-in</x:v>
      </x:c>
      <x:c r="C13" s="3" t="str">
        <x:v>Host clipboard consent</x:v>
      </x:c>
      <x:c r="D13" s="13" t="str">
        <x:v>Blocked prerequisite</x:v>
      </x:c>
      <x:c r="E13" s="3" t="str">
        <x:v>Only the exact authenticated app intent reaches host Clipboard; cancellation has no clipboard effect.</x:v>
      </x:c>
      <x:c r="F13" s="12" t="str">
        <x:v>A controlled consent/cancel fixture is still needed. Recovered Desktop is usable after the separate F-44 reload workaround. Host Clipboard contents remain preserved; the inspected headless fixture uses the real Clipboard and was not run.</x:v>
      </x:c>
      <x:c r="G13" s="3" t="str">
        <x:v>controlled-clipboard</x:v>
      </x:c>
      <x:c r="H13" s="3" t="str">
        <x:v>implemented-source</x:v>
      </x:c>
      <x:c r="I13" s="3" t="str">
        <x:v>Continue; Cancel</x:v>
      </x:c>
      <x:c r="J13" s="3" t="str">
        <x:v>1. Request test-text clipboard action from app
2. Inspect host consent
3. Cancel/allow explicitly</x:v>
      </x:c>
      <x:c r="K13" s="3" t="str">
        <x:v>Harmless test text</x:v>
      </x:c>
      <x:c r="L13" s="3" t="str"/>
      <x:c r="M13" s="3" t="str"/>
      <x:c r="N13" s="3" t="str">
        <x:v>E-054</x:v>
      </x:c>
      <x:c r="O13" s="3" t="str">
        <x:v>S-006</x:v>
      </x:c>
      <x:c r="P13" s="3" t="str">
        <x:v>home</x:v>
      </x:c>
      <x:c r="Q13" s="3" t="str">
        <x:f>IF(OR(H13='Read Me + Evidence'!$K$6,H13='Read Me + Evidence'!$K$7,H13='Read Me + Evidence'!$K$8,P13='Read Me + Evidence'!$K$9,P13='Read Me + Evidence'!$K$10),'Read Me + Evidence'!$K$12,'Read Me + Evidence'!$K$11)</x:f>
        <x:v>GUI</x:v>
      </x:c>
      <x:c r="R13" s="14" t="n">
        <x:f>IF(AND(Q13='Read Me + Evidence'!$K$11,OR(D13='Read Me + Evidence'!$H$7,D13='Read Me + Evidence'!$H$8,D13='Read Me + Evidence'!$H$9)),1,0)</x:f>
        <x:v>0</x:v>
      </x:c>
      <x:c r="S13" s="14" t="n">
        <x:f>IF(AND(Q13='Read Me + Evidence'!$K$11,D13='Read Me + Evidence'!$H$7),1,0)</x:f>
        <x:v>0</x:v>
      </x:c>
      <x:c r="T13" s="14" t="n">
        <x:f>IF(AND(Q13='Read Me + Evidence'!$K$11,D13&lt;&gt;'Read Me + Evidence'!$H$12),1,0)</x:f>
        <x:v>1</x:v>
      </x:c>
      <x:c r="U13" s="3" t="str"/>
    </x:row>
    <x:row r="14" ht="153" customHeight="1">
      <x:c r="A14" s="3" t="str">
        <x:v>GUI-01</x:v>
      </x:c>
      <x:c r="B14" s="3" t="str">
        <x:v>Home / desktop and windows</x:v>
      </x:c>
      <x:c r="C14" s="3" t="str">
        <x:v>Setup progression</x:v>
      </x:c>
      <x:c r="D14" s="13" t="str">
        <x:v>Blocked prerequisite</x:v>
      </x:c>
      <x:c r="E14" s="3" t="str">
        <x:v>Setup reflects actual recovery/Profile readiness; completion must not overstate coverage of the downloaded kit.</x:v>
      </x:c>
      <x:c r="F14" s="12" t="str">
        <x:v>Current setup/readiness was inspected earlier; full progression requires the user to export recovery data and create an approved public Profile. No recovery secret or identity mutation was made.</x:v>
      </x:c>
      <x:c r="G14" s="3" t="str">
        <x:v>controlled-identity</x:v>
      </x:c>
      <x:c r="H14" s="3" t="str">
        <x:v>source-defect</x:v>
      </x:c>
      <x:c r="I14" s="3" t="str">
        <x:v>Save Recovery Kit; Create Profile; Close setup</x:v>
      </x:c>
      <x:c r="J14" s="3" t="str">
        <x:v>1. Open setup sheet
2. Inspect current next step
3. Close/reopen</x:v>
      </x:c>
      <x:c r="K14" s="3" t="str">
        <x:v>New principal; User controls recovery data</x:v>
      </x:c>
      <x:c r="L14" s="3" t="str">
        <x:v>F-01; F-03; F-04</x:v>
      </x:c>
      <x:c r="M14" s="3" t="str"/>
      <x:c r="N14" s="3" t="str">
        <x:v>E-043; E-053</x:v>
      </x:c>
      <x:c r="O14" s="3" t="str">
        <x:v>S-007</x:v>
      </x:c>
      <x:c r="P14" s="3" t="str">
        <x:v>home-gui</x:v>
      </x:c>
      <x:c r="Q14" s="3" t="str">
        <x:f>IF(OR(H14='Read Me + Evidence'!$K$6,H14='Read Me + Evidence'!$K$7,H14='Read Me + Evidence'!$K$8,P14='Read Me + Evidence'!$K$9,P14='Read Me + Evidence'!$K$10),'Read Me + Evidence'!$K$12,'Read Me + Evidence'!$K$11)</x:f>
        <x:v>GUI</x:v>
      </x:c>
      <x:c r="R14" s="14" t="n">
        <x:f>IF(AND(Q14='Read Me + Evidence'!$K$11,OR(D14='Read Me + Evidence'!$H$7,D14='Read Me + Evidence'!$H$8,D14='Read Me + Evidence'!$H$9)),1,0)</x:f>
        <x:v>0</x:v>
      </x:c>
      <x:c r="S14" s="14" t="n">
        <x:f>IF(AND(Q14='Read Me + Evidence'!$K$11,D14='Read Me + Evidence'!$H$7),1,0)</x:f>
        <x:v>0</x:v>
      </x:c>
      <x:c r="T14" s="14" t="n">
        <x:f>IF(AND(Q14='Read Me + Evidence'!$K$11,D14&lt;&gt;'Read Me + Evidence'!$H$12),1,0)</x:f>
        <x:v>1</x:v>
      </x:c>
      <x:c r="U14" s="3" t="str"/>
    </x:row>
    <x:row r="15" ht="153" customHeight="1">
      <x:c r="A15" s="3" t="str">
        <x:v>GUI-02</x:v>
      </x:c>
      <x:c r="B15" s="3" t="str">
        <x:v>Home / desktop and windows</x:v>
      </x:c>
      <x:c r="C15" s="3" t="str">
        <x:v>Desktop first layout</x:v>
      </x:c>
      <x:c r="D15" s="13" t="str">
        <x:v>Partially observed</x:v>
      </x:c>
      <x:c r="E15" s="3" t="str">
        <x:v>Admitted content shows its capsule icon and a compact visible layout. Hidden entries do not leave unexplained gaps.</x:v>
      </x:c>
      <x:c r="F15" s="12" t="str">
        <x:v>2026-08-30 Brave: both Nonogram Advance and uCity icons render on desktop and launcher. Existing saved positions remain sparse and untouched. First-run layout needs a fresh disposable principal, so this journey remains partial.</x:v>
      </x:c>
      <x:c r="G15" s="3" t="str">
        <x:v>safe-read-only</x:v>
      </x:c>
      <x:c r="H15" s="3" t="str">
        <x:v>source-defect</x:v>
      </x:c>
      <x:c r="I15" s="3" t="str">
        <x:v>uCity; Nonogram; Trash</x:v>
      </x:c>
      <x:c r="J15" s="3" t="str">
        <x:v>1. Inspect initial icons and positions without moving them</x:v>
      </x:c>
      <x:c r="K15" s="3" t="str">
        <x:v>Signed-in Home</x:v>
      </x:c>
      <x:c r="L15" s="3" t="str">
        <x:v>F-06; F-07</x:v>
      </x:c>
      <x:c r="M15" s="3" t="str">
        <x:v>User reports broken game icons and scattered first-run placement. [User report; source roots F-06/F-07.]</x:v>
      </x:c>
      <x:c r="N15" s="3" t="str">
        <x:v>E-033</x:v>
      </x:c>
      <x:c r="O15" s="3" t="str">
        <x:v>S-008, S-009</x:v>
      </x:c>
      <x:c r="P15" s="3" t="str">
        <x:v>home-gui</x:v>
      </x:c>
      <x:c r="Q15" s="3" t="str">
        <x:f>IF(OR(H15='Read Me + Evidence'!$K$6,H15='Read Me + Evidence'!$K$7,H15='Read Me + Evidence'!$K$8,P15='Read Me + Evidence'!$K$9,P15='Read Me + Evidence'!$K$10),'Read Me + Evidence'!$K$12,'Read Me + Evidence'!$K$11)</x:f>
        <x:v>GUI</x:v>
      </x:c>
      <x:c r="R15" s="14" t="n">
        <x:f>IF(AND(Q15='Read Me + Evidence'!$K$11,OR(D15='Read Me + Evidence'!$H$7,D15='Read Me + Evidence'!$H$8,D15='Read Me + Evidence'!$H$9)),1,0)</x:f>
        <x:v>1</x:v>
      </x:c>
      <x:c r="S15" s="14" t="n">
        <x:f>IF(AND(Q15='Read Me + Evidence'!$K$11,D15='Read Me + Evidence'!$H$7),1,0)</x:f>
        <x:v>0</x:v>
      </x:c>
      <x:c r="T15" s="14" t="n">
        <x:f>IF(AND(Q15='Read Me + Evidence'!$K$11,D15&lt;&gt;'Read Me + Evidence'!$H$12),1,0)</x:f>
        <x:v>1</x:v>
      </x:c>
      <x:c r="U15" s="3" t="str"/>
    </x:row>
    <x:row r="16" ht="153" customHeight="1">
      <x:c r="A16" s="3" t="str">
        <x:v>GUI-03</x:v>
      </x:c>
      <x:c r="B16" s="3" t="str">
        <x:v>Home / desktop and windows</x:v>
      </x:c>
      <x:c r="C16" s="3" t="str">
        <x:v>Launcher browse and search</x:v>
      </x:c>
      <x:c r="D16" s="13" t="str">
        <x:v>Pass</x:v>
      </x:c>
      <x:c r="E16" s="3" t="str">
        <x:v>Catalog items retain names/icons, keyboard focus, and honest no-result state.</x:v>
      </x:c>
      <x:c r="F16" s="12" t="str">
        <x:v>Launcher browsing exposes 16 named apps. Grid/list, Search, Escape, and focus return have prior live proof. E-108 confirms that every current launcher target opens through Home search on the isolated candidate install.</x:v>
      </x:c>
      <x:c r="G16" s="3" t="str">
        <x:v>safe-read-only</x:v>
      </x:c>
      <x:c r="H16" s="3" t="str">
        <x:v>implemented-source</x:v>
      </x:c>
      <x:c r="I16" s="3" t="str">
        <x:v>Apps; Search; Grid/List</x:v>
      </x:c>
      <x:c r="J16" s="3" t="str">
        <x:v>1. Open launcher
2. Search matching and absent names
3. Switch grid/list
4. Escape</x:v>
      </x:c>
      <x:c r="K16" s="3" t="str">
        <x:v>Signed-in Home</x:v>
      </x:c>
      <x:c r="L16" s="3" t="str"/>
      <x:c r="M16" s="3" t="str"/>
      <x:c r="N16" s="3" t="str">
        <x:v>E-033; E-037; E-108</x:v>
      </x:c>
      <x:c r="O16" s="3" t="str">
        <x:v>S-010</x:v>
      </x:c>
      <x:c r="P16" s="3" t="str">
        <x:v>home-gui</x:v>
      </x:c>
      <x:c r="Q16" s="3" t="str">
        <x:f>IF(OR(H16='Read Me + Evidence'!$K$6,H16='Read Me + Evidence'!$K$7,H16='Read Me + Evidence'!$K$8,P16='Read Me + Evidence'!$K$9,P16='Read Me + Evidence'!$K$10),'Read Me + Evidence'!$K$12,'Read Me + Evidence'!$K$11)</x:f>
        <x:v>GUI</x:v>
      </x:c>
      <x:c r="R16" s="14" t="n">
        <x:f>IF(AND(Q16='Read Me + Evidence'!$K$11,OR(D16='Read Me + Evidence'!$H$7,D16='Read Me + Evidence'!$H$8,D16='Read Me + Evidence'!$H$9)),1,0)</x:f>
        <x:v>1</x:v>
      </x:c>
      <x:c r="S16" s="14" t="n">
        <x:f>IF(AND(Q16='Read Me + Evidence'!$K$11,D16='Read Me + Evidence'!$H$7),1,0)</x:f>
        <x:v>1</x:v>
      </x:c>
      <x:c r="T16" s="14" t="n">
        <x:f>IF(AND(Q16='Read Me + Evidence'!$K$11,D16&lt;&gt;'Read Me + Evidence'!$H$12),1,0)</x:f>
        <x:v>1</x:v>
      </x:c>
      <x:c r="U16" s="3" t="str"/>
    </x:row>
    <x:row r="17" ht="153" customHeight="1">
      <x:c r="A17" s="3" t="str">
        <x:v>GUI-04</x:v>
      </x:c>
      <x:c r="B17" s="3" t="str">
        <x:v>Home / desktop and windows</x:v>
      </x:c>
      <x:c r="C17" s="3" t="str">
        <x:v>Spotlight sections</x:v>
      </x:c>
      <x:c r="D17" s="13" t="str">
        <x:v>Fail</x:v>
      </x:c>
      <x:c r="E17" s="3" t="str">
        <x:v>Results use Runtime-projected targets; launch opens the intended app/object.</x:v>
      </x:c>
      <x:c r="F17" s="12" t="str">
        <x:v>F15 Search interaction repair passes for apps. Current6edc667b saved audit document is visible in Documents/Library but neither au.md nor Audit yields a Home Search result. Source document consumer lacks a Home summary producer (F49).</x:v>
      </x:c>
      <x:c r="G17" s="3" t="str">
        <x:v>controlled-session</x:v>
      </x:c>
      <x:c r="H17" s="3" t="str">
        <x:v>implemented-source</x:v>
      </x:c>
      <x:c r="I17" s="3" t="str">
        <x:v>Search; Running; Recent; Apps; Library</x:v>
      </x:c>
      <x:c r="J17" s="3" t="str">
        <x:v>1. Search an installed app and harmless file
2. Select result
3. Return</x:v>
      </x:c>
      <x:c r="K17" s="3" t="str">
        <x:v>Signed-in Home; Optional disposable file</x:v>
      </x:c>
      <x:c r="L17" s="3" t="str">
        <x:v>F-15; F-49</x:v>
      </x:c>
      <x:c r="M17" s="3" t="str"/>
      <x:c r="N17" s="3" t="str">
        <x:v>E-033; E-036; E-037; E-061</x:v>
      </x:c>
      <x:c r="O17" s="3" t="str">
        <x:v>S-011</x:v>
      </x:c>
      <x:c r="P17" s="3" t="str">
        <x:v>home-gui</x:v>
      </x:c>
      <x:c r="Q17" s="3" t="str">
        <x:f>IF(OR(H17='Read Me + Evidence'!$K$6,H17='Read Me + Evidence'!$K$7,H17='Read Me + Evidence'!$K$8,P17='Read Me + Evidence'!$K$9,P17='Read Me + Evidence'!$K$10),'Read Me + Evidence'!$K$12,'Read Me + Evidence'!$K$11)</x:f>
        <x:v>GUI</x:v>
      </x:c>
      <x:c r="R17" s="14" t="n">
        <x:f>IF(AND(Q17='Read Me + Evidence'!$K$11,OR(D17='Read Me + Evidence'!$H$7,D17='Read Me + Evidence'!$H$8,D17='Read Me + Evidence'!$H$9)),1,0)</x:f>
        <x:v>1</x:v>
      </x:c>
      <x:c r="S17" s="14" t="n">
        <x:f>IF(AND(Q17='Read Me + Evidence'!$K$11,D17='Read Me + Evidence'!$H$7),1,0)</x:f>
        <x:v>0</x:v>
      </x:c>
      <x:c r="T17" s="14" t="n">
        <x:f>IF(AND(Q17='Read Me + Evidence'!$K$11,D17&lt;&gt;'Read Me + Evidence'!$H$12),1,0)</x:f>
        <x:v>1</x:v>
      </x:c>
      <x:c r="U17" s="3" t="str"/>
    </x:row>
    <x:row r="18" ht="153" customHeight="1">
      <x:c r="A18" s="3" t="str">
        <x:v>GUI-05</x:v>
      </x:c>
      <x:c r="B18" s="3" t="str">
        <x:v>Home / desktop and windows</x:v>
      </x:c>
      <x:c r="C18" s="3" t="str">
        <x:v>Window lifecycle</x:v>
      </x:c>
      <x:c r="D18" s="13" t="str">
        <x:v>Fail</x:v>
      </x:c>
      <x:c r="E18" s="3" t="str">
        <x:v>Home owns one chrome layer and exact focus/close lifecycle; content stays inside its window.</x:v>
      </x:c>
      <x:c r="F18" s="12" t="str">
        <x: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x:v>
      </x:c>
      <x:c r="G18" s="3" t="str">
        <x:v>controlled-session</x:v>
      </x:c>
      <x:c r="H18" s="3" t="str">
        <x:v>implemented-source</x:v>
      </x:c>
      <x:c r="I18" s="3" t="str">
        <x:v>Close; Minimize; Maximize/fullscreen</x:v>
      </x:c>
      <x:c r="J18" s="3" t="str">
        <x:v>1. Open two apps
2. Focus each
3. Minimize/restore
4. Maximize/restore
5. Close</x:v>
      </x:c>
      <x:c r="K18" s="3" t="str">
        <x:v>Disposable app windows</x:v>
      </x:c>
      <x:c r="L18" s="3" t="str">
        <x:v>F-27; F-56</x:v>
      </x:c>
      <x:c r="M18" s="3" t="str"/>
      <x:c r="N18" s="3" t="str">
        <x:v>E-044; E-045; E-081</x:v>
      </x:c>
      <x:c r="O18" s="3" t="str">
        <x:v>S-012</x:v>
      </x:c>
      <x:c r="P18" s="3" t="str">
        <x:v>home-gui</x:v>
      </x:c>
      <x:c r="Q18" s="3" t="str">
        <x:f>IF(OR(H18='Read Me + Evidence'!$K$6,H18='Read Me + Evidence'!$K$7,H18='Read Me + Evidence'!$K$8,P18='Read Me + Evidence'!$K$9,P18='Read Me + Evidence'!$K$10),'Read Me + Evidence'!$K$12,'Read Me + Evidence'!$K$11)</x:f>
        <x:v>GUI</x:v>
      </x:c>
      <x:c r="R18" s="14" t="n">
        <x:f>IF(AND(Q18='Read Me + Evidence'!$K$11,OR(D18='Read Me + Evidence'!$H$7,D18='Read Me + Evidence'!$H$8,D18='Read Me + Evidence'!$H$9)),1,0)</x:f>
        <x:v>1</x:v>
      </x:c>
      <x:c r="S18" s="14" t="n">
        <x:f>IF(AND(Q18='Read Me + Evidence'!$K$11,D18='Read Me + Evidence'!$H$7),1,0)</x:f>
        <x:v>0</x:v>
      </x:c>
      <x:c r="T18" s="14" t="n">
        <x:f>IF(AND(Q18='Read Me + Evidence'!$K$11,D18&lt;&gt;'Read Me + Evidence'!$H$12),1,0)</x:f>
        <x:v>1</x:v>
      </x:c>
      <x:c r="U18" s="3" t="str"/>
    </x:row>
    <x:row r="19" ht="153" customHeight="1">
      <x:c r="A19" s="3" t="str">
        <x:v>GUI-06</x:v>
      </x:c>
      <x:c r="B19" s="3" t="str">
        <x:v>Home / desktop and windows</x:v>
      </x:c>
      <x:c r="C19" s="3" t="str">
        <x:v>Window movement and narrow layout</x:v>
      </x:c>
      <x:c r="D19" s="13" t="str">
        <x:v>Fail</x:v>
      </x:c>
      <x:c r="E19" s="3" t="str">
        <x:v>Controls remain reachable; text and titlebars do not overlap; focus returns to selected window.</x:v>
      </x:c>
      <x:c r="F19" s="12" t="str">
        <x:v>An audit Library window resizes from about 1040×660 to 680×544 and moves through its Home title strip; controls remain reachable. Bounds are restored before close. F-57 records compact Details headers whose corresponding values are hidden.</x:v>
      </x:c>
      <x:c r="G19" s="3" t="str">
        <x:v>controlled-layout</x:v>
      </x:c>
      <x:c r="H19" s="3" t="str">
        <x:v>implemented-source</x:v>
      </x:c>
      <x:c r="I19" s="3" t="str">
        <x:v>Titlebar; Resize edges; Overview</x:v>
      </x:c>
      <x:c r="J19" s="3" t="str">
        <x:v>1. Move/resize test windows
2. Enter overview
3. Choose one
4. Inspect narrow viewport</x:v>
      </x:c>
      <x:c r="K19" s="3" t="str">
        <x:v>Disposable windows</x:v>
      </x:c>
      <x:c r="L19" s="3" t="str">
        <x:v>F-51; F-57</x:v>
      </x:c>
      <x:c r="M19" s="3" t="str"/>
      <x:c r="N19" s="3" t="str">
        <x:v>E-045; E-083</x:v>
      </x:c>
      <x:c r="O19" s="3" t="str">
        <x:v>S-013</x:v>
      </x:c>
      <x:c r="P19" s="3" t="str">
        <x:v>home-gui</x:v>
      </x:c>
      <x:c r="Q19" s="3" t="str">
        <x:f>IF(OR(H19='Read Me + Evidence'!$K$6,H19='Read Me + Evidence'!$K$7,H19='Read Me + Evidence'!$K$8,P19='Read Me + Evidence'!$K$9,P19='Read Me + Evidence'!$K$10),'Read Me + Evidence'!$K$12,'Read Me + Evidence'!$K$11)</x:f>
        <x:v>GUI</x:v>
      </x:c>
      <x:c r="R19" s="14" t="n">
        <x:f>IF(AND(Q19='Read Me + Evidence'!$K$11,OR(D19='Read Me + Evidence'!$H$7,D19='Read Me + Evidence'!$H$8,D19='Read Me + Evidence'!$H$9)),1,0)</x:f>
        <x:v>1</x:v>
      </x:c>
      <x:c r="S19" s="14" t="n">
        <x:f>IF(AND(Q19='Read Me + Evidence'!$K$11,D19='Read Me + Evidence'!$H$7),1,0)</x:f>
        <x:v>0</x:v>
      </x:c>
      <x:c r="T19" s="14" t="n">
        <x:f>IF(AND(Q19='Read Me + Evidence'!$K$11,D19&lt;&gt;'Read Me + Evidence'!$H$12),1,0)</x:f>
        <x:v>1</x:v>
      </x:c>
      <x:c r="U19" s="3" t="str"/>
    </x:row>
    <x:row r="20" ht="153" customHeight="1">
      <x:c r="A20" s="3" t="str">
        <x:v>GUI-07</x:v>
      </x:c>
      <x:c r="B20" s="3" t="str">
        <x:v>Home / desktop and windows</x:v>
      </x:c>
      <x:c r="C20" s="3" t="str">
        <x:v>Application menu handoff</x:v>
      </x:c>
      <x:c r="D20" s="13" t="str">
        <x:v>Pass</x:v>
      </x:c>
      <x:c r="E20" s="3" t="str">
        <x:v>Menu belongs to the focused app and uses admitted commands; stale app menus do not act on another window.</x:v>
      </x:c>
      <x:c r="F20" s="12" t="str">
        <x:v>Focused Library menu provides Refresh/Search/Icon/List; Icon View changes Library. Focused Documents menu provides New/Save/SaveAs/Publish/Delete plus its own View commands. Safe mode command verification continues under DOC-03; no stale Library command shown.</x:v>
      </x:c>
      <x:c r="G20" s="3" t="str">
        <x:v>safe-read-only</x:v>
      </x:c>
      <x:c r="H20" s="3" t="str">
        <x:v>implemented-source</x:v>
      </x:c>
      <x:c r="I20" s="3" t="str">
        <x:v>File; View; Close Window</x:v>
      </x:c>
      <x:c r="J20" s="3" t="str">
        <x:v>1. Focus Library then Documents
2. Inspect active menu
3. Use safe view command</x:v>
      </x:c>
      <x:c r="K20" s="3" t="str">
        <x:v>Signed-in Home</x:v>
      </x:c>
      <x:c r="L20" s="3" t="str"/>
      <x:c r="M20" s="3" t="str"/>
      <x:c r="N20" s="3" t="str">
        <x:v>E-044; E-045</x:v>
      </x:c>
      <x:c r="O20" s="3" t="str">
        <x:v>S-014</x:v>
      </x:c>
      <x:c r="P20" s="3" t="str">
        <x:v>home-gui</x:v>
      </x:c>
      <x:c r="Q20" s="3" t="str">
        <x:f>IF(OR(H20='Read Me + Evidence'!$K$6,H20='Read Me + Evidence'!$K$7,H20='Read Me + Evidence'!$K$8,P20='Read Me + Evidence'!$K$9,P20='Read Me + Evidence'!$K$10),'Read Me + Evidence'!$K$12,'Read Me + Evidence'!$K$11)</x:f>
        <x:v>GUI</x:v>
      </x:c>
      <x:c r="R20" s="14" t="n">
        <x:f>IF(AND(Q20='Read Me + Evidence'!$K$11,OR(D20='Read Me + Evidence'!$H$7,D20='Read Me + Evidence'!$H$8,D20='Read Me + Evidence'!$H$9)),1,0)</x:f>
        <x:v>1</x:v>
      </x:c>
      <x:c r="S20" s="14" t="n">
        <x:f>IF(AND(Q20='Read Me + Evidence'!$K$11,D20='Read Me + Evidence'!$H$7),1,0)</x:f>
        <x:v>1</x:v>
      </x:c>
      <x:c r="T20" s="14" t="n">
        <x:f>IF(AND(Q20='Read Me + Evidence'!$K$11,D20&lt;&gt;'Read Me + Evidence'!$H$12),1,0)</x:f>
        <x:v>1</x:v>
      </x:c>
      <x:c r="U20" s="3" t="str"/>
    </x:row>
    <x:row r="21" ht="153" customHeight="1">
      <x:c r="A21" s="3" t="str">
        <x:v>GUI-08</x:v>
      </x:c>
      <x:c r="B21" s="3" t="str">
        <x:v>Home / desktop and windows</x:v>
      </x:c>
      <x:c r="C21" s="3" t="str">
        <x:v>Home menu</x:v>
      </x:c>
      <x:c r="D21" s="13" t="str">
        <x:v>Pass</x:v>
      </x:c>
      <x:c r="E21" s="3" t="str">
        <x:v>Home routes to the named destination; focus returns to the invoking control.</x:v>
      </x:c>
      <x:c r="F21" s="12" t="str">
        <x:v>All non-destructive Home menu destinations verified: About/More Info/Shortcuts E056; Apps→Marketplace, Show Desktop→window hidden and retained, taskbar restore, System Settings→Accounts E061. Escape returns focus to Home menu. Lock/Sign Out excluded to preserve session.</x:v>
      </x:c>
      <x:c r="G21" s="3" t="str">
        <x:v>safe-read-only</x:v>
      </x:c>
      <x:c r="H21" s="3" t="str">
        <x:v>implemented-source</x:v>
      </x:c>
      <x:c r="I21" s="3" t="str">
        <x:v>About; System Settings; Apps; Show Desktop; Shortcuts</x:v>
      </x:c>
      <x:c r="J21" s="3" t="str">
        <x:v>1. Open each non-destructive destination
2. Close menu with Escape</x:v>
      </x:c>
      <x:c r="K21" s="3" t="str">
        <x:v>Signed-in Home</x:v>
      </x:c>
      <x:c r="L21" s="3" t="str">
        <x:v>F-18</x:v>
      </x:c>
      <x:c r="M21" s="3" t="str"/>
      <x:c r="N21" s="3" t="str">
        <x:v>E-042; E-055; E-056; E-061</x:v>
      </x:c>
      <x:c r="O21" s="3" t="str">
        <x:v>S-015</x:v>
      </x:c>
      <x:c r="P21" s="3" t="str">
        <x:v>home-gui</x:v>
      </x:c>
      <x:c r="Q21" s="3" t="str">
        <x:f>IF(OR(H21='Read Me + Evidence'!$K$6,H21='Read Me + Evidence'!$K$7,H21='Read Me + Evidence'!$K$8,P21='Read Me + Evidence'!$K$9,P21='Read Me + Evidence'!$K$10),'Read Me + Evidence'!$K$12,'Read Me + Evidence'!$K$11)</x:f>
        <x:v>GUI</x:v>
      </x:c>
      <x:c r="R21" s="14" t="n">
        <x:f>IF(AND(Q21='Read Me + Evidence'!$K$11,OR(D21='Read Me + Evidence'!$H$7,D21='Read Me + Evidence'!$H$8,D21='Read Me + Evidence'!$H$9)),1,0)</x:f>
        <x:v>1</x:v>
      </x:c>
      <x:c r="S21" s="14" t="n">
        <x:f>IF(AND(Q21='Read Me + Evidence'!$K$11,D21='Read Me + Evidence'!$H$7),1,0)</x:f>
        <x:v>1</x:v>
      </x:c>
      <x:c r="T21" s="14" t="n">
        <x:f>IF(AND(Q21='Read Me + Evidence'!$K$11,D21&lt;&gt;'Read Me + Evidence'!$H$12),1,0)</x:f>
        <x:v>1</x:v>
      </x:c>
      <x:c r="U21" s="3" t="str"/>
    </x:row>
    <x:row r="22" ht="153" customHeight="1">
      <x:c r="A22" s="3" t="str">
        <x:v>GUI-09</x:v>
      </x:c>
      <x:c r="B22" s="3" t="str">
        <x:v>Home / desktop and windows</x:v>
      </x:c>
      <x:c r="C22" s="3" t="str">
        <x:v>Desktop shortcut menu</x:v>
      </x:c>
      <x:c r="D22" s="13" t="str">
        <x:v>Partially observed</x:v>
      </x:c>
      <x:c r="E22" s="3" t="str">
        <x:v>Shortcut presentation changes do not delete capsule/content; renamed shortcuts remain identifiable.</x:v>
      </x:c>
      <x:c r="F22" s="12" t="str">
        <x:v>Shortcut menu distinguishes Open/Rename/Remove from Desktop/Pin to Shelf. Rename enters inline editor; Escape preserves original label. Existing shortcut membership and positions preserved.</x:v>
      </x:c>
      <x:c r="G22" s="3" t="str">
        <x:v>controlled-layout</x:v>
      </x:c>
      <x:c r="H22" s="3" t="str">
        <x:v>implemented-source</x:v>
      </x:c>
      <x:c r="I22" s="3" t="str">
        <x:v>Open; Rename; Remove from Desktop; Add to Desktop</x:v>
      </x:c>
      <x:c r="J22" s="3" t="str">
        <x:v>1. Inspect shortcut menu
2. Cancel rename
3. Add/remove only a disposable shortcut</x:v>
      </x:c>
      <x:c r="K22" s="3" t="str">
        <x:v>Disposable shortcut</x:v>
      </x:c>
      <x:c r="L22" s="3" t="str"/>
      <x:c r="M22" s="3" t="str"/>
      <x:c r="N22" s="3" t="str">
        <x:v>E-051</x:v>
      </x:c>
      <x:c r="O22" s="3" t="str">
        <x:v>S-016</x:v>
      </x:c>
      <x:c r="P22" s="3" t="str">
        <x:v>home-gui</x:v>
      </x:c>
      <x:c r="Q22" s="3" t="str">
        <x:f>IF(OR(H22='Read Me + Evidence'!$K$6,H22='Read Me + Evidence'!$K$7,H22='Read Me + Evidence'!$K$8,P22='Read Me + Evidence'!$K$9,P22='Read Me + Evidence'!$K$10),'Read Me + Evidence'!$K$12,'Read Me + Evidence'!$K$11)</x:f>
        <x:v>GUI</x:v>
      </x:c>
      <x:c r="R22" s="14" t="n">
        <x:f>IF(AND(Q22='Read Me + Evidence'!$K$11,OR(D22='Read Me + Evidence'!$H$7,D22='Read Me + Evidence'!$H$8,D22='Read Me + Evidence'!$H$9)),1,0)</x:f>
        <x:v>1</x:v>
      </x:c>
      <x:c r="S22" s="14" t="n">
        <x:f>IF(AND(Q22='Read Me + Evidence'!$K$11,D22='Read Me + Evidence'!$H$7),1,0)</x:f>
        <x:v>0</x:v>
      </x:c>
      <x:c r="T22" s="14" t="n">
        <x:f>IF(AND(Q22='Read Me + Evidence'!$K$11,D22&lt;&gt;'Read Me + Evidence'!$H$12),1,0)</x:f>
        <x:v>1</x:v>
      </x:c>
      <x:c r="U22" s="3" t="str"/>
    </x:row>
    <x:row r="23" ht="153" customHeight="1">
      <x:c r="A23" s="3" t="str">
        <x:v>GUI-10</x:v>
      </x:c>
      <x:c r="B23" s="3" t="str">
        <x:v>Home / desktop and windows</x:v>
      </x:c>
      <x:c r="C23" s="3" t="str">
        <x:v>Desktop file menu</x:v>
      </x:c>
      <x:c r="D23" s="13" t="str">
        <x:v>Partially observed</x:v>
      </x:c>
      <x:c r="E23" s="3" t="str">
        <x:v>Runtime file operations stay distinct from shortcut edits and preserve confirmation/error behavior.</x:v>
      </x:c>
      <x:c r="F23" s="12" t="str">
        <x:v>Disposable Desktop copy exposes Open, Show in Library, Rename, Move to Trash, Download and Properties. Rename preview was cancelled; no user desktop file changed.</x:v>
      </x:c>
      <x:c r="G23" s="3" t="str">
        <x:v>controlled-files</x:v>
      </x:c>
      <x:c r="H23" s="3" t="str">
        <x:v>implemented-source</x:v>
      </x:c>
      <x:c r="I23" s="3" t="str">
        <x:v>Open; Rename; Trash</x:v>
      </x:c>
      <x:c r="J23" s="3" t="str">
        <x:v>1. Inspect a disposable desktop file menu
2. Cancel edit/delete</x:v>
      </x:c>
      <x:c r="K23" s="3" t="str">
        <x:v>Disposable desktop file</x:v>
      </x:c>
      <x:c r="L23" s="3" t="str"/>
      <x:c r="M23" s="3" t="str"/>
      <x:c r="N23" s="3" t="str">
        <x:v>E-051</x:v>
      </x:c>
      <x:c r="O23" s="3" t="str">
        <x:v>S-017</x:v>
      </x:c>
      <x:c r="P23" s="3" t="str">
        <x:v>home-gui</x:v>
      </x:c>
      <x:c r="Q23" s="3" t="str">
        <x:f>IF(OR(H23='Read Me + Evidence'!$K$6,H23='Read Me + Evidence'!$K$7,H23='Read Me + Evidence'!$K$8,P23='Read Me + Evidence'!$K$9,P23='Read Me + Evidence'!$K$10),'Read Me + Evidence'!$K$12,'Read Me + Evidence'!$K$11)</x:f>
        <x:v>GUI</x:v>
      </x:c>
      <x:c r="R23" s="14" t="n">
        <x:f>IF(AND(Q23='Read Me + Evidence'!$K$11,OR(D23='Read Me + Evidence'!$H$7,D23='Read Me + Evidence'!$H$8,D23='Read Me + Evidence'!$H$9)),1,0)</x:f>
        <x:v>1</x:v>
      </x:c>
      <x:c r="S23" s="14" t="n">
        <x:f>IF(AND(Q23='Read Me + Evidence'!$K$11,D23='Read Me + Evidence'!$H$7),1,0)</x:f>
        <x:v>0</x:v>
      </x:c>
      <x:c r="T23" s="14" t="n">
        <x:f>IF(AND(Q23='Read Me + Evidence'!$K$11,D23&lt;&gt;'Read Me + Evidence'!$H$12),1,0)</x:f>
        <x:v>1</x:v>
      </x:c>
      <x:c r="U23" s="3" t="str"/>
    </x:row>
    <x:row r="24" ht="153" customHeight="1">
      <x:c r="A24" s="3" t="str">
        <x:v>GUI-11</x:v>
      </x:c>
      <x:c r="B24" s="3" t="str">
        <x:v>Home / desktop and windows</x:v>
      </x:c>
      <x:c r="C24" s="3" t="str">
        <x:v>Arrange and select desktop</x:v>
      </x:c>
      <x:c r="D24" s="13" t="str">
        <x:v>Partially observed</x:v>
      </x:c>
      <x:c r="E24" s="3" t="str">
        <x:v>Visible items stay in bounds; explicit arrangement is deterministic and saved positions survive reload.</x:v>
      </x:c>
      <x:c r="F24" s="12" t="str">
        <x:v>Desktop selection and context menu work; Auto-arrange and Hide Desktop Icons are available. Existing icon positions/layout were preserved; drag/arrange persistence remains unexecuted.</x:v>
      </x:c>
      <x:c r="G24" s="3" t="str">
        <x:v>controlled-layout</x:v>
      </x:c>
      <x:c r="H24" s="3" t="str">
        <x:v>implemented-source</x:v>
      </x:c>
      <x:c r="I24" s="3" t="str">
        <x:v>Multi-select; Drag; Auto arrange</x:v>
      </x:c>
      <x:c r="J24" s="3" t="str">
        <x:v>1. Inspect selection and drag preview
2. Arrange only with owner consent</x:v>
      </x:c>
      <x:c r="K24" s="3" t="str">
        <x:v>Consent to alter test layout</x:v>
      </x:c>
      <x:c r="L24" s="3" t="str">
        <x:v>F-07</x:v>
      </x:c>
      <x:c r="M24" s="3" t="str"/>
      <x:c r="N24" s="3" t="str">
        <x:v>E-051</x:v>
      </x:c>
      <x:c r="O24" s="3" t="str">
        <x:v>S-018</x:v>
      </x:c>
      <x:c r="P24" s="3" t="str">
        <x:v>home-gui</x:v>
      </x:c>
      <x:c r="Q24" s="3" t="str">
        <x:f>IF(OR(H24='Read Me + Evidence'!$K$6,H24='Read Me + Evidence'!$K$7,H24='Read Me + Evidence'!$K$8,P24='Read Me + Evidence'!$K$9,P24='Read Me + Evidence'!$K$10),'Read Me + Evidence'!$K$12,'Read Me + Evidence'!$K$11)</x:f>
        <x:v>GUI</x:v>
      </x:c>
      <x:c r="R24" s="14" t="n">
        <x:f>IF(AND(Q24='Read Me + Evidence'!$K$11,OR(D24='Read Me + Evidence'!$H$7,D24='Read Me + Evidence'!$H$8,D24='Read Me + Evidence'!$H$9)),1,0)</x:f>
        <x:v>1</x:v>
      </x:c>
      <x:c r="S24" s="14" t="n">
        <x:f>IF(AND(Q24='Read Me + Evidence'!$K$11,D24='Read Me + Evidence'!$H$7),1,0)</x:f>
        <x:v>0</x:v>
      </x:c>
      <x:c r="T24" s="14" t="n">
        <x:f>IF(AND(Q24='Read Me + Evidence'!$K$11,D24&lt;&gt;'Read Me + Evidence'!$H$12),1,0)</x:f>
        <x:v>1</x:v>
      </x:c>
      <x:c r="U24" s="3" t="str"/>
    </x:row>
    <x:row r="25" ht="153" customHeight="1">
      <x:c r="A25" s="3" t="str">
        <x:v>GUI-12</x:v>
      </x:c>
      <x:c r="B25" s="3" t="str">
        <x:v>Home / desktop and windows</x:v>
      </x:c>
      <x:c r="C25" s="3" t="str">
        <x:v>Dock controls</x:v>
      </x:c>
      <x:c r="D25" s="13" t="str">
        <x:v>Partially observed</x:v>
      </x:c>
      <x:c r="E25" s="3" t="str">
        <x:v>Dock and desktop membership remain independent; group window actions target only that app.</x:v>
      </x:c>
      <x:c r="F25" s="12" t="str">
        <x:v>Pinned Library context menu offers New Window and Remove from Shelf. New Window works. Existing dock membership/order preserved; grouped-window actions/reorder need a disposable pin fixture.</x:v>
      </x:c>
      <x:c r="G25" s="3" t="str">
        <x:v>controlled-layout</x:v>
      </x:c>
      <x:c r="H25" s="3" t="str">
        <x:v>implemented-source</x:v>
      </x:c>
      <x:c r="I25" s="3" t="str">
        <x:v>Pin/unpin; Drag reorder; Show/Hide/Close all windows</x:v>
      </x:c>
      <x:c r="J25" s="3" t="str">
        <x:v>1. Inspect dock context menu
2. Reorder test pin
3. Restore</x:v>
      </x:c>
      <x:c r="K25" s="3" t="str">
        <x:v>Disposable windows/pins</x:v>
      </x:c>
      <x:c r="L25" s="3" t="str"/>
      <x:c r="M25" s="3" t="str"/>
      <x:c r="N25" s="3" t="str">
        <x:v>E-051</x:v>
      </x:c>
      <x:c r="O25" s="3" t="str">
        <x:v>S-019, S-020</x:v>
      </x:c>
      <x:c r="P25" s="3" t="str">
        <x:v>home-gui</x:v>
      </x:c>
      <x:c r="Q25" s="3" t="str">
        <x:f>IF(OR(H25='Read Me + Evidence'!$K$6,H25='Read Me + Evidence'!$K$7,H25='Read Me + Evidence'!$K$8,P25='Read Me + Evidence'!$K$9,P25='Read Me + Evidence'!$K$10),'Read Me + Evidence'!$K$12,'Read Me + Evidence'!$K$11)</x:f>
        <x:v>GUI</x:v>
      </x:c>
      <x:c r="R25" s="14" t="n">
        <x:f>IF(AND(Q25='Read Me + Evidence'!$K$11,OR(D25='Read Me + Evidence'!$H$7,D25='Read Me + Evidence'!$H$8,D25='Read Me + Evidence'!$H$9)),1,0)</x:f>
        <x:v>1</x:v>
      </x:c>
      <x:c r="S25" s="14" t="n">
        <x:f>IF(AND(Q25='Read Me + Evidence'!$K$11,D25='Read Me + Evidence'!$H$7),1,0)</x:f>
        <x:v>0</x:v>
      </x:c>
      <x:c r="T25" s="14" t="n">
        <x:f>IF(AND(Q25='Read Me + Evidence'!$K$11,D25&lt;&gt;'Read Me + Evidence'!$H$12),1,0)</x:f>
        <x:v>1</x:v>
      </x:c>
      <x:c r="U25" s="3" t="str"/>
    </x:row>
    <x:row r="26" ht="153" customHeight="1">
      <x:c r="A26" s="3" t="str">
        <x:v>GUI-13</x:v>
      </x:c>
      <x:c r="B26" s="3" t="str">
        <x:v>Home / desktop and windows</x:v>
      </x:c>
      <x:c r="C26" s="3" t="str">
        <x:v>Status and quick settings</x:v>
      </x:c>
      <x:c r="D26" s="13" t="str">
        <x:v>Fail</x:v>
      </x:c>
      <x:c r="E26" s="3" t="str">
        <x:v>Quick settings agree with System; effectful approvals open the trusted review path.</x:v>
      </x:c>
      <x:c r="F26" s="12" t="str">
        <x: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x:v>
      </x:c>
      <x:c r="G26" s="3" t="str">
        <x:v>controlled-layout</x:v>
      </x:c>
      <x:c r="H26" s="3" t="str">
        <x:v>implemented-source</x:v>
      </x:c>
      <x:c r="I26" s="3" t="str">
        <x:v>Theme; Accent; Focus; Approvals; Sounds; Dock auto-hide; Desktop icons</x:v>
      </x:c>
      <x:c r="J26" s="3" t="str">
        <x:v>1. Open status panel
2. Inspect each control
3. Change and restore presentation options</x:v>
      </x:c>
      <x:c r="K26" s="3" t="str">
        <x:v>Restore original presentation values</x:v>
      </x:c>
      <x:c r="L26" s="3" t="str">
        <x:v>F-30</x:v>
      </x:c>
      <x:c r="M26" s="3" t="str"/>
      <x:c r="N26" s="3" t="str">
        <x:v>E-046</x:v>
      </x:c>
      <x:c r="O26" s="3" t="str">
        <x:v>S-021</x:v>
      </x:c>
      <x:c r="P26" s="3" t="str">
        <x:v>home-gui</x:v>
      </x:c>
      <x:c r="Q26" s="3" t="str">
        <x:f>IF(OR(H26='Read Me + Evidence'!$K$6,H26='Read Me + Evidence'!$K$7,H26='Read Me + Evidence'!$K$8,P26='Read Me + Evidence'!$K$9,P26='Read Me + Evidence'!$K$10),'Read Me + Evidence'!$K$12,'Read Me + Evidence'!$K$11)</x:f>
        <x:v>GUI</x:v>
      </x:c>
      <x:c r="R26" s="14" t="n">
        <x:f>IF(AND(Q26='Read Me + Evidence'!$K$11,OR(D26='Read Me + Evidence'!$H$7,D26='Read Me + Evidence'!$H$8,D26='Read Me + Evidence'!$H$9)),1,0)</x:f>
        <x:v>1</x:v>
      </x:c>
      <x:c r="S26" s="14" t="n">
        <x:f>IF(AND(Q26='Read Me + Evidence'!$K$11,D26='Read Me + Evidence'!$H$7),1,0)</x:f>
        <x:v>0</x:v>
      </x:c>
      <x:c r="T26" s="14" t="n">
        <x:f>IF(AND(Q26='Read Me + Evidence'!$K$11,D26&lt;&gt;'Read Me + Evidence'!$H$12),1,0)</x:f>
        <x:v>1</x:v>
      </x:c>
      <x:c r="U26" s="3" t="str"/>
    </x:row>
    <x:row r="27" ht="153" customHeight="1">
      <x:c r="A27" s="3" t="str">
        <x:v>GUI-14</x:v>
      </x:c>
      <x:c r="B27" s="3" t="str">
        <x:v>Home / desktop and windows</x:v>
      </x:c>
      <x:c r="C27" s="3" t="str">
        <x:v>Wallet and Inbox rails</x:v>
      </x:c>
      <x:c r="D27" s="13" t="str">
        <x:v>Pass</x:v>
      </x:c>
      <x:c r="E27" s="3" t="str">
        <x:v>Rail and full app show the same Runtime state and close without losing focus.</x:v>
      </x:c>
      <x:c r="F27" s="12" t="str">
        <x:v>Installed 26388f8d: Wallet and Inbox top-bar panels open, show matching state, close with focus return, and hand off to full windows. Wallet Settings, Activity and privacy restoration pass. Inbox refresh preserves one pending request.</x:v>
      </x:c>
      <x:c r="G27" s="3" t="str">
        <x:v>safe-read-only</x:v>
      </x:c>
      <x:c r="H27" s="3" t="str">
        <x:v>implemented-source</x:v>
      </x:c>
      <x:c r="I27" s="3" t="str">
        <x:v>Wallet; Inbox; Approval focus</x:v>
      </x:c>
      <x:c r="J27" s="3" t="str">
        <x:v>1. Open rails
2. Inspect empty/content state
3. Open full app</x:v>
      </x:c>
      <x:c r="K27" s="3" t="str">
        <x:v>Signed-in Home</x:v>
      </x:c>
      <x:c r="L27" s="3" t="str">
        <x:v>F-29</x:v>
      </x:c>
      <x:c r="M27" s="3" t="str"/>
      <x:c r="N27" s="3" t="str">
        <x:v>E-046; E-098; E-099; E-100</x:v>
      </x:c>
      <x:c r="O27" s="3" t="str">
        <x:v>S-022</x:v>
      </x:c>
      <x:c r="P27" s="3" t="str">
        <x:v>home-gui</x:v>
      </x:c>
      <x:c r="Q27" s="3" t="str">
        <x:f>IF(OR(H27='Read Me + Evidence'!$K$6,H27='Read Me + Evidence'!$K$7,H27='Read Me + Evidence'!$K$8,P27='Read Me + Evidence'!$K$9,P27='Read Me + Evidence'!$K$10),'Read Me + Evidence'!$K$12,'Read Me + Evidence'!$K$11)</x:f>
        <x:v>GUI</x:v>
      </x:c>
      <x:c r="R27" s="14" t="n">
        <x:f>IF(AND(Q27='Read Me + Evidence'!$K$11,OR(D27='Read Me + Evidence'!$H$7,D27='Read Me + Evidence'!$H$8,D27='Read Me + Evidence'!$H$9)),1,0)</x:f>
        <x:v>1</x:v>
      </x:c>
      <x:c r="S27" s="14" t="n">
        <x:f>IF(AND(Q27='Read Me + Evidence'!$K$11,D27='Read Me + Evidence'!$H$7),1,0)</x:f>
        <x:v>1</x:v>
      </x:c>
      <x:c r="T27" s="14" t="n">
        <x:f>IF(AND(Q27='Read Me + Evidence'!$K$11,D27&lt;&gt;'Read Me + Evidence'!$H$12),1,0)</x:f>
        <x:v>1</x:v>
      </x:c>
      <x:c r="U27" s="3" t="str"/>
    </x:row>
    <x:row r="28" ht="153" customHeight="1">
      <x:c r="A28" s="3" t="str">
        <x:v>GUI-15</x:v>
      </x:c>
      <x:c r="B28" s="3" t="str">
        <x:v>Home / desktop and windows</x:v>
      </x:c>
      <x:c r="C28" s="3" t="str">
        <x:v>Notifications</x:v>
      </x:c>
      <x:c r="D28" s="13" t="str">
        <x:v>Partially observed</x:v>
      </x:c>
      <x:c r="E28" s="3" t="str">
        <x:v>Review leads to the owning app; dismissal changes notification presentation, not approval authority.</x:v>
      </x:c>
      <x:c r="F28" s="12" t="str">
        <x:v>Clock history and Status → Approvals now open the same pending Inbox request. Calendar, history and request remain intact. Empty-state and dismissal checks need a disposable notification; approval and Clear history were untouched.</x:v>
      </x:c>
      <x:c r="G28" s="3" t="str">
        <x:v>controlled-notification</x:v>
      </x:c>
      <x:c r="H28" s="3" t="str">
        <x:v>implemented-source</x:v>
      </x:c>
      <x:c r="I28" s="3" t="str">
        <x:v>Clock; Review; Dismiss; Clear history</x:v>
      </x:c>
      <x:c r="J28" s="3" t="str">
        <x:v>1. Inspect empty and populated panel
2. Open test request
3. Dismiss only test notice</x:v>
      </x:c>
      <x:c r="K28" s="3" t="str">
        <x:v>Disposable notification</x:v>
      </x:c>
      <x:c r="L28" s="3" t="str">
        <x:v>F-29</x:v>
      </x:c>
      <x:c r="M28" s="3" t="str"/>
      <x:c r="N28" s="3" t="str">
        <x:v>E-046; E-098; E-099; E-100</x:v>
      </x:c>
      <x:c r="O28" s="3" t="str">
        <x:v>S-023</x:v>
      </x:c>
      <x:c r="P28" s="3" t="str">
        <x:v>home-gui</x:v>
      </x:c>
      <x:c r="Q28" s="3" t="str">
        <x:f>IF(OR(H28='Read Me + Evidence'!$K$6,H28='Read Me + Evidence'!$K$7,H28='Read Me + Evidence'!$K$8,P28='Read Me + Evidence'!$K$9,P28='Read Me + Evidence'!$K$10),'Read Me + Evidence'!$K$12,'Read Me + Evidence'!$K$11)</x:f>
        <x:v>GUI</x:v>
      </x:c>
      <x:c r="R28" s="14" t="n">
        <x:f>IF(AND(Q28='Read Me + Evidence'!$K$11,OR(D28='Read Me + Evidence'!$H$7,D28='Read Me + Evidence'!$H$8,D28='Read Me + Evidence'!$H$9)),1,0)</x:f>
        <x:v>1</x:v>
      </x:c>
      <x:c r="S28" s="14" t="n">
        <x:f>IF(AND(Q28='Read Me + Evidence'!$K$11,D28='Read Me + Evidence'!$H$7),1,0)</x:f>
        <x:v>0</x:v>
      </x:c>
      <x:c r="T28" s="14" t="n">
        <x:f>IF(AND(Q28='Read Me + Evidence'!$K$11,D28&lt;&gt;'Read Me + Evidence'!$H$12),1,0)</x:f>
        <x:v>1</x:v>
      </x:c>
      <x:c r="U28" s="3" t="str"/>
    </x:row>
    <x:row r="29" ht="153" customHeight="1">
      <x:c r="A29" s="3" t="str">
        <x:v>GUI-16</x:v>
      </x:c>
      <x:c r="B29" s="3" t="str">
        <x:v>Home / desktop and windows</x:v>
      </x:c>
      <x:c r="C29" s="3" t="str">
        <x:v>Clipboard across apps</x:v>
      </x:c>
      <x:c r="D29" s="13" t="str">
        <x:v>Blocked prerequisite</x:v>
      </x:c>
      <x:c r="E29" s="3" t="str">
        <x:v>Home mediates clipboard per app/session and reports denied/unavailable state honestly.</x:v>
      </x:c>
      <x:c r="F29" s="12" t="str">
        <x:v>Cross-app Clipboard still needs harmless staged text and explicit native transfer consent. Recovered Desktop is usable after the separate F-44 reload workaround. Host Clipboard contents remain unchanged.</x:v>
      </x:c>
      <x:c r="G29" s="3" t="str">
        <x:v>controlled-clipboard</x:v>
      </x:c>
      <x:c r="H29" s="3" t="str">
        <x:v>implemented-source</x:v>
      </x:c>
      <x:c r="I29" s="3" t="str">
        <x:v>Copy; Paste; Host consent</x:v>
      </x:c>
      <x:c r="J29" s="3" t="str">
        <x:v>1. Copy harmless text from People/Documents
2. Paste into disposable editor
3. Cancel one consent</x:v>
      </x:c>
      <x:c r="K29" s="3" t="str">
        <x:v>Harmless text only</x:v>
      </x:c>
      <x:c r="L29" s="3" t="str"/>
      <x:c r="M29" s="3" t="str"/>
      <x:c r="N29" s="3" t="str">
        <x:v>E-054</x:v>
      </x:c>
      <x:c r="O29" s="3" t="str">
        <x:v>S-006, S-024</x:v>
      </x:c>
      <x:c r="P29" s="3" t="str">
        <x:v>home-gui</x:v>
      </x:c>
      <x:c r="Q29" s="3" t="str">
        <x:f>IF(OR(H29='Read Me + Evidence'!$K$6,H29='Read Me + Evidence'!$K$7,H29='Read Me + Evidence'!$K$8,P29='Read Me + Evidence'!$K$9,P29='Read Me + Evidence'!$K$10),'Read Me + Evidence'!$K$12,'Read Me + Evidence'!$K$11)</x:f>
        <x:v>GUI</x:v>
      </x:c>
      <x:c r="R29" s="14" t="n">
        <x:f>IF(AND(Q29='Read Me + Evidence'!$K$11,OR(D29='Read Me + Evidence'!$H$7,D29='Read Me + Evidence'!$H$8,D29='Read Me + Evidence'!$H$9)),1,0)</x:f>
        <x:v>0</x:v>
      </x:c>
      <x:c r="S29" s="14" t="n">
        <x:f>IF(AND(Q29='Read Me + Evidence'!$K$11,D29='Read Me + Evidence'!$H$7),1,0)</x:f>
        <x:v>0</x:v>
      </x:c>
      <x:c r="T29" s="14" t="n">
        <x:f>IF(AND(Q29='Read Me + Evidence'!$K$11,D29&lt;&gt;'Read Me + Evidence'!$H$12),1,0)</x:f>
        <x:v>1</x:v>
      </x:c>
      <x:c r="U29" s="3" t="str"/>
    </x:row>
    <x:row r="30" ht="153" customHeight="1">
      <x:c r="A30" s="3" t="str">
        <x:v>SYS-01</x:v>
      </x:c>
      <x:c r="B30" s="3" t="str">
        <x:v>System</x:v>
      </x:c>
      <x:c r="C30" s="3" t="str">
        <x:v>Sections and search</x:v>
      </x:c>
      <x:c r="D30" s="13" t="str">
        <x:v>Pass</x:v>
      </x:c>
      <x:c r="E30" s="3" t="str">
        <x:v>Selected section and search results remain understandable; unrelated account details stay private.</x:v>
      </x:c>
      <x:c r="F30" s="12" t="str">
        <x:v>All six System sections render. Typing shell filters to Appearance (copy contains shell) and Shell; clearing restores all sections. Search works with per-key input; previous fill failure was a tool-input gap.</x:v>
      </x:c>
      <x:c r="G30" s="3" t="str">
        <x:v>safe-read-only</x:v>
      </x:c>
      <x:c r="H30" s="3" t="str">
        <x:v>implemented-source</x:v>
      </x:c>
      <x:c r="I30" s="3" t="str">
        <x:v>Accounts; Appearance; Shell; Security; Apps &amp; Services; About; Search</x:v>
      </x:c>
      <x:c r="J30" s="3" t="str">
        <x:v>1. Open each section
2. Search matching and absent settings</x:v>
      </x:c>
      <x:c r="K30" s="3" t="str">
        <x:v>Signed-in Home</x:v>
      </x:c>
      <x:c r="L30" s="3" t="str"/>
      <x:c r="M30" s="3" t="str"/>
      <x:c r="N30" s="3" t="str">
        <x:v>E-043; E-054</x:v>
      </x:c>
      <x:c r="O30" s="3" t="str">
        <x:v>S-025</x:v>
      </x:c>
      <x:c r="P30" s="3" t="str">
        <x:v>system</x:v>
      </x:c>
      <x:c r="Q30" s="3" t="str">
        <x:f>IF(OR(H30='Read Me + Evidence'!$K$6,H30='Read Me + Evidence'!$K$7,H30='Read Me + Evidence'!$K$8,P30='Read Me + Evidence'!$K$9,P30='Read Me + Evidence'!$K$10),'Read Me + Evidence'!$K$12,'Read Me + Evidence'!$K$11)</x:f>
        <x:v>GUI</x:v>
      </x:c>
      <x:c r="R30" s="14" t="n">
        <x:f>IF(AND(Q30='Read Me + Evidence'!$K$11,OR(D30='Read Me + Evidence'!$H$7,D30='Read Me + Evidence'!$H$8,D30='Read Me + Evidence'!$H$9)),1,0)</x:f>
        <x:v>1</x:v>
      </x:c>
      <x:c r="S30" s="14" t="n">
        <x:f>IF(AND(Q30='Read Me + Evidence'!$K$11,D30='Read Me + Evidence'!$H$7),1,0)</x:f>
        <x:v>1</x:v>
      </x:c>
      <x:c r="T30" s="14" t="n">
        <x:f>IF(AND(Q30='Read Me + Evidence'!$K$11,D30&lt;&gt;'Read Me + Evidence'!$H$12),1,0)</x:f>
        <x:v>1</x:v>
      </x:c>
      <x:c r="U30" s="3" t="str"/>
    </x:row>
    <x:row r="31" ht="153" customHeight="1">
      <x:c r="A31" s="3" t="str">
        <x:v>SYS-02</x:v>
      </x:c>
      <x:c r="B31" s="3" t="str">
        <x:v>System</x:v>
      </x:c>
      <x:c r="C31" s="3" t="str">
        <x:v>Security deep link</x:v>
      </x:c>
      <x:c r="D31" s="13" t="str">
        <x:v>Blocked prerequisite</x:v>
      </x:c>
      <x:c r="E31" s="3" t="str">
        <x:v>The deep link should open Security directly rather than default Accounts.</x:v>
      </x:c>
      <x:c r="F31" s="12" t="str">
        <x:v>Current principal is established and the new-account Save kit setup step is absent. Needs a disposable new principal to test the exact setup deep link.</x:v>
      </x:c>
      <x:c r="G31" s="3" t="str">
        <x:v>safe-read-only</x:v>
      </x:c>
      <x:c r="H31" s="3" t="str">
        <x:v>source-defect</x:v>
      </x:c>
      <x:c r="I31" s="3" t="str">
        <x:v>Save kit from Home</x:v>
      </x:c>
      <x:c r="J31" s="3" t="str">
        <x:v>1. Activate setup Save kit
2. Observe selected System section</x:v>
      </x:c>
      <x:c r="K31" s="3" t="str">
        <x:v>New principal</x:v>
      </x:c>
      <x:c r="L31" s="3" t="str">
        <x:v>F-03</x:v>
      </x:c>
      <x:c r="M31" s="3" t="str">
        <x:v>User reports Save kit opened Accounts rather than Security. [User-reported screenshot/flow; matching source deep-link gap F-03.]</x:v>
      </x:c>
      <x:c r="N31" s="3" t="str">
        <x:v>E-043</x:v>
      </x:c>
      <x:c r="O31" s="3" t="str">
        <x:v>S-026, S-025</x:v>
      </x:c>
      <x:c r="P31" s="3" t="str">
        <x:v>system</x:v>
      </x:c>
      <x:c r="Q31" s="3" t="str">
        <x:f>IF(OR(H31='Read Me + Evidence'!$K$6,H31='Read Me + Evidence'!$K$7,H31='Read Me + Evidence'!$K$8,P31='Read Me + Evidence'!$K$9,P31='Read Me + Evidence'!$K$10),'Read Me + Evidence'!$K$12,'Read Me + Evidence'!$K$11)</x:f>
        <x:v>GUI</x:v>
      </x:c>
      <x:c r="R31" s="14" t="n">
        <x:f>IF(AND(Q31='Read Me + Evidence'!$K$11,OR(D31='Read Me + Evidence'!$H$7,D31='Read Me + Evidence'!$H$8,D31='Read Me + Evidence'!$H$9)),1,0)</x:f>
        <x:v>0</x:v>
      </x:c>
      <x:c r="S31" s="14" t="n">
        <x:f>IF(AND(Q31='Read Me + Evidence'!$K$11,D31='Read Me + Evidence'!$H$7),1,0)</x:f>
        <x:v>0</x:v>
      </x:c>
      <x:c r="T31" s="14" t="n">
        <x:f>IF(AND(Q31='Read Me + Evidence'!$K$11,D31&lt;&gt;'Read Me + Evidence'!$H$12),1,0)</x:f>
        <x:v>1</x:v>
      </x:c>
      <x:c r="U31" s="3" t="str"/>
    </x:row>
    <x:row r="32" ht="153" customHeight="1">
      <x:c r="A32" s="3" t="str">
        <x:v>SYS-03</x:v>
      </x:c>
      <x:c r="B32" s="3" t="str">
        <x:v>System</x:v>
      </x:c>
      <x:c r="C32" s="3" t="str">
        <x:v>Account list and roles</x:v>
      </x:c>
      <x:c r="D32" s="13" t="str">
        <x:v>Partially observed</x:v>
      </x:c>
      <x:c r="E32" s="3" t="str">
        <x:v>Current account/role are clear. Runtime authorizes sensitive changes and protects account ownership.</x:v>
      </x:c>
      <x:c r="F32" s="12" t="str">
        <x:v>Accounts shows the existing current passkey account and role. Role/removal dispatch is excluded to preserve ownership; disposable-account authorization required for remaining branches.</x:v>
      </x:c>
      <x:c r="G32" s="3" t="str">
        <x:v>controlled-identity</x:v>
      </x:c>
      <x:c r="H32" s="3" t="str">
        <x:v>implemented-source</x:v>
      </x:c>
      <x:c r="I32" s="3" t="str">
        <x:v>Make admin; Make guest; Remove</x:v>
      </x:c>
      <x:c r="J32" s="3" t="str">
        <x:v>1. Inspect test-account controls
2. Cancel role/removal actions</x:v>
      </x:c>
      <x:c r="K32" s="3" t="str">
        <x:v>Disposable accounts; Explicit owner approval</x:v>
      </x:c>
      <x:c r="L32" s="3" t="str"/>
      <x:c r="M32" s="3" t="str"/>
      <x:c r="N32" s="3" t="str">
        <x:v>E-043</x:v>
      </x:c>
      <x:c r="O32" s="3" t="str">
        <x:v>S-027</x:v>
      </x:c>
      <x:c r="P32" s="3" t="str">
        <x:v>system</x:v>
      </x:c>
      <x:c r="Q32" s="3" t="str">
        <x:f>IF(OR(H32='Read Me + Evidence'!$K$6,H32='Read Me + Evidence'!$K$7,H32='Read Me + Evidence'!$K$8,P32='Read Me + Evidence'!$K$9,P32='Read Me + Evidence'!$K$10),'Read Me + Evidence'!$K$12,'Read Me + Evidence'!$K$11)</x:f>
        <x:v>GUI</x:v>
      </x:c>
      <x:c r="R32" s="14" t="n">
        <x:f>IF(AND(Q32='Read Me + Evidence'!$K$11,OR(D32='Read Me + Evidence'!$H$7,D32='Read Me + Evidence'!$H$8,D32='Read Me + Evidence'!$H$9)),1,0)</x:f>
        <x:v>1</x:v>
      </x:c>
      <x:c r="S32" s="14" t="n">
        <x:f>IF(AND(Q32='Read Me + Evidence'!$K$11,D32='Read Me + Evidence'!$H$7),1,0)</x:f>
        <x:v>0</x:v>
      </x:c>
      <x:c r="T32" s="14" t="n">
        <x:f>IF(AND(Q32='Read Me + Evidence'!$K$11,D32&lt;&gt;'Read Me + Evidence'!$H$12),1,0)</x:f>
        <x:v>1</x:v>
      </x:c>
      <x:c r="U32" s="3" t="str"/>
    </x:row>
    <x:row r="33" ht="153" customHeight="1">
      <x:c r="A33" s="3" t="str">
        <x:v>SYS-04</x:v>
      </x:c>
      <x:c r="B33" s="3" t="str">
        <x:v>System</x:v>
      </x:c>
      <x:c r="C33" s="3" t="str">
        <x:v>Guest policy</x:v>
      </x:c>
      <x:c r="D33" s="13" t="str">
        <x:v>Partially observed</x:v>
      </x:c>
      <x:c r="E33" s="3" t="str">
        <x:v>Runtime persists the intended guest admission setting and displays failures.</x:v>
      </x:c>
      <x:c r="F33" s="12" t="str">
        <x:v>Security displays Allow new guest accounts unchecked. Current guest policy preserved; policy-change test needs owner approval.</x:v>
      </x:c>
      <x:c r="G33" s="3" t="str">
        <x:v>controlled-identity</x:v>
      </x:c>
      <x:c r="H33" s="3" t="str">
        <x:v>implemented-source</x:v>
      </x:c>
      <x:c r="I33" s="3" t="str">
        <x:v>Allow guest registration</x:v>
      </x:c>
      <x:c r="J33" s="3" t="str">
        <x:v>1. Inspect policy
2. Change only with explicit owner approval</x:v>
      </x:c>
      <x:c r="K33" s="3" t="str">
        <x:v>Administrator approval</x:v>
      </x:c>
      <x:c r="L33" s="3" t="str"/>
      <x:c r="M33" s="3" t="str"/>
      <x:c r="N33" s="3" t="str">
        <x:v>E-043</x:v>
      </x:c>
      <x:c r="O33" s="3" t="str">
        <x:v>S-028</x:v>
      </x:c>
      <x:c r="P33" s="3" t="str">
        <x:v>system</x:v>
      </x:c>
      <x:c r="Q33" s="3" t="str">
        <x:f>IF(OR(H33='Read Me + Evidence'!$K$6,H33='Read Me + Evidence'!$K$7,H33='Read Me + Evidence'!$K$8,P33='Read Me + Evidence'!$K$9,P33='Read Me + Evidence'!$K$10),'Read Me + Evidence'!$K$12,'Read Me + Evidence'!$K$11)</x:f>
        <x:v>GUI</x:v>
      </x:c>
      <x:c r="R33" s="14" t="n">
        <x:f>IF(AND(Q33='Read Me + Evidence'!$K$11,OR(D33='Read Me + Evidence'!$H$7,D33='Read Me + Evidence'!$H$8,D33='Read Me + Evidence'!$H$9)),1,0)</x:f>
        <x:v>1</x:v>
      </x:c>
      <x:c r="S33" s="14" t="n">
        <x:f>IF(AND(Q33='Read Me + Evidence'!$K$11,D33='Read Me + Evidence'!$H$7),1,0)</x:f>
        <x:v>0</x:v>
      </x:c>
      <x:c r="T33" s="14" t="n">
        <x:f>IF(AND(Q33='Read Me + Evidence'!$K$11,D33&lt;&gt;'Read Me + Evidence'!$H$12),1,0)</x:f>
        <x:v>1</x:v>
      </x:c>
      <x:c r="U33" s="3" t="str"/>
    </x:row>
    <x:row r="34" ht="153" customHeight="1">
      <x:c r="A34" s="3" t="str">
        <x:v>SYS-05</x:v>
      </x:c>
      <x:c r="B34" s="3" t="str">
        <x:v>System</x:v>
      </x:c>
      <x:c r="C34" s="3" t="str">
        <x:v>Recovery export before/after Profile</x:v>
      </x:c>
      <x:c r="D34" s="13" t="str">
        <x:v>Blocked prerequisite</x:v>
      </x:c>
      <x:c r="E34" s="3" t="str">
        <x:v>Downloaded bundle is an immutable snapshot. A kit exported before Profile lacks its later random signing key.</x:v>
      </x:c>
      <x:c r="F34" s="12" t="str">
        <x:v>Security recovery controls visible. Export before/after Profile requires a disposable principal and private user handling of the recovery kit/password; no kit exported.</x:v>
      </x:c>
      <x:c r="G34" s="3" t="str">
        <x:v>controlled-recovery</x:v>
      </x:c>
      <x:c r="H34" s="3" t="str">
        <x:v>source-defect</x:v>
      </x:c>
      <x:c r="I34" s="3" t="str">
        <x:v>Recovery password; Download Recovery Kit</x:v>
      </x:c>
      <x:c r="J34" s="3" t="str">
        <x:v>1. Compare intended coverage before Profile and after Profile
2. Export only user-owned kit</x:v>
      </x:c>
      <x:c r="K34" s="3" t="str">
        <x:v>User handles kit/password privately</x:v>
      </x:c>
      <x:c r="L34" s="3" t="str">
        <x:v>F-01</x:v>
      </x:c>
      <x:c r="M34" s="3" t="str"/>
      <x:c r="N34" s="3" t="str">
        <x:v>E-043</x:v>
      </x:c>
      <x:c r="O34" s="3" t="str">
        <x:v>S-029</x:v>
      </x:c>
      <x:c r="P34" s="3" t="str">
        <x:v>system</x:v>
      </x:c>
      <x:c r="Q34" s="3" t="str">
        <x:f>IF(OR(H34='Read Me + Evidence'!$K$6,H34='Read Me + Evidence'!$K$7,H34='Read Me + Evidence'!$K$8,P34='Read Me + Evidence'!$K$9,P34='Read Me + Evidence'!$K$10),'Read Me + Evidence'!$K$12,'Read Me + Evidence'!$K$11)</x:f>
        <x:v>GUI</x:v>
      </x:c>
      <x:c r="R34" s="14" t="n">
        <x:f>IF(AND(Q34='Read Me + Evidence'!$K$11,OR(D34='Read Me + Evidence'!$H$7,D34='Read Me + Evidence'!$H$8,D34='Read Me + Evidence'!$H$9)),1,0)</x:f>
        <x:v>0</x:v>
      </x:c>
      <x:c r="S34" s="14" t="n">
        <x:f>IF(AND(Q34='Read Me + Evidence'!$K$11,D34='Read Me + Evidence'!$H$7),1,0)</x:f>
        <x:v>0</x:v>
      </x:c>
      <x:c r="T34" s="14" t="n">
        <x:f>IF(AND(Q34='Read Me + Evidence'!$K$11,D34&lt;&gt;'Read Me + Evidence'!$H$12),1,0)</x:f>
        <x:v>1</x:v>
      </x:c>
      <x:c r="U34" s="3" t="str"/>
    </x:row>
    <x:row r="35" ht="153" customHeight="1">
      <x:c r="A35" s="3" t="str">
        <x:v>SYS-06</x:v>
      </x:c>
      <x:c r="B35" s="3" t="str">
        <x:v>System</x:v>
      </x:c>
      <x:c r="C35" s="3" t="str">
        <x:v>Recovery import and attach</x:v>
      </x:c>
      <x:c r="D35" s="13" t="str">
        <x:v>Blocked prerequisite</x:v>
      </x:c>
      <x:c r="E35" s="3" t="str">
        <x:v>Runtime validates the bundle, explains replacement, and resumes incomplete recovery exactly. Do not test against the active account.</x:v>
      </x:c>
      <x:c r="F35" s="12" t="str">
        <x:v>Recovery import entry visible. Import/wrong-password/wrong-account tests require isolated disposable recovery target and explicit replacement approval.</x:v>
      </x:c>
      <x:c r="G35" s="3" t="str">
        <x:v>destructive-controlled</x:v>
      </x:c>
      <x:c r="H35" s="3" t="str">
        <x:v>implemented-source</x:v>
      </x:c>
      <x:c r="I35" s="3" t="str">
        <x:v>Import Kit; Recover account; Cancel; Retry completion</x:v>
      </x:c>
      <x:c r="J35" s="3" t="str">
        <x:v>1. On disposable recovery target inspect valid/wrong-password/wrong-account branches</x:v>
      </x:c>
      <x:c r="K35" s="3" t="str">
        <x:v>Isolated disposable recovery target; Explicit approval</x:v>
      </x:c>
      <x:c r="L35" s="3" t="str">
        <x:v>F-01</x:v>
      </x:c>
      <x:c r="M35" s="3" t="str"/>
      <x:c r="N35" s="3" t="str">
        <x:v>E-043</x:v>
      </x:c>
      <x:c r="O35" s="3" t="str">
        <x:v>S-030</x:v>
      </x:c>
      <x:c r="P35" s="3" t="str">
        <x:v>system</x:v>
      </x:c>
      <x:c r="Q35" s="3" t="str">
        <x:f>IF(OR(H35='Read Me + Evidence'!$K$6,H35='Read Me + Evidence'!$K$7,H35='Read Me + Evidence'!$K$8,P35='Read Me + Evidence'!$K$9,P35='Read Me + Evidence'!$K$10),'Read Me + Evidence'!$K$12,'Read Me + Evidence'!$K$11)</x:f>
        <x:v>GUI</x:v>
      </x:c>
      <x:c r="R35" s="14" t="n">
        <x:f>IF(AND(Q35='Read Me + Evidence'!$K$11,OR(D35='Read Me + Evidence'!$H$7,D35='Read Me + Evidence'!$H$8,D35='Read Me + Evidence'!$H$9)),1,0)</x:f>
        <x:v>0</x:v>
      </x:c>
      <x:c r="S35" s="14" t="n">
        <x:f>IF(AND(Q35='Read Me + Evidence'!$K$11,D35='Read Me + Evidence'!$H$7),1,0)</x:f>
        <x:v>0</x:v>
      </x:c>
      <x:c r="T35" s="14" t="n">
        <x:f>IF(AND(Q35='Read Me + Evidence'!$K$11,D35&lt;&gt;'Read Me + Evidence'!$H$12),1,0)</x:f>
        <x:v>1</x:v>
      </x:c>
      <x:c r="U35" s="3" t="str"/>
    </x:row>
    <x:row r="36" ht="153" customHeight="1">
      <x:c r="A36" s="3" t="str">
        <x:v>SYS-07</x:v>
      </x:c>
      <x:c r="B36" s="3" t="str">
        <x:v>System</x:v>
      </x:c>
      <x:c r="C36" s="3" t="str">
        <x:v>Recovery UI readiness</x:v>
      </x:c>
      <x:c r="D36" s="13" t="str">
        <x:v>Blocked prerequisite</x:v>
      </x:c>
      <x:c r="E36" s="3" t="str">
        <x:v>Successful export should refresh Home readiness without waiting for unrelated state changes.</x:v>
      </x:c>
      <x:c r="F36" s="12" t="str">
        <x:v>Readiness-after-export requires a user-controlled recovery export. No existing account recovery data changed.</x:v>
      </x:c>
      <x:c r="G36" s="3" t="str">
        <x:v>controlled-recovery</x:v>
      </x:c>
      <x:c r="H36" s="3" t="str">
        <x:v>source-defect</x:v>
      </x:c>
      <x:c r="I36" s="3" t="str">
        <x:v>Download kit &gt; Setup next action</x:v>
      </x:c>
      <x:c r="J36" s="3" t="str">
        <x:v>1. Observe setup immediately after a user export</x:v>
      </x:c>
      <x:c r="K36" s="3" t="str">
        <x:v>User-controlled recovery export</x:v>
      </x:c>
      <x:c r="L36" s="3" t="str">
        <x:v>F-04</x:v>
      </x:c>
      <x:c r="M36" s="3" t="str">
        <x:v>User reports waiting for Create Profile after saving kit. [User-reported delay; matching source refresh gap F-04.]</x:v>
      </x:c>
      <x:c r="N36" s="3" t="str">
        <x:v>E-043</x:v>
      </x:c>
      <x:c r="O36" s="3" t="str">
        <x:v>S-029, S-031</x:v>
      </x:c>
      <x:c r="P36" s="3" t="str">
        <x:v>system</x:v>
      </x:c>
      <x:c r="Q36" s="3" t="str">
        <x:f>IF(OR(H36='Read Me + Evidence'!$K$6,H36='Read Me + Evidence'!$K$7,H36='Read Me + Evidence'!$K$8,P36='Read Me + Evidence'!$K$9,P36='Read Me + Evidence'!$K$10),'Read Me + Evidence'!$K$12,'Read Me + Evidence'!$K$11)</x:f>
        <x:v>GUI</x:v>
      </x:c>
      <x:c r="R36" s="14" t="n">
        <x:f>IF(AND(Q36='Read Me + Evidence'!$K$11,OR(D36='Read Me + Evidence'!$H$7,D36='Read Me + Evidence'!$H$8,D36='Read Me + Evidence'!$H$9)),1,0)</x:f>
        <x:v>0</x:v>
      </x:c>
      <x:c r="S36" s="14" t="n">
        <x:f>IF(AND(Q36='Read Me + Evidence'!$K$11,D36='Read Me + Evidence'!$H$7),1,0)</x:f>
        <x:v>0</x:v>
      </x:c>
      <x:c r="T36" s="14" t="n">
        <x:f>IF(AND(Q36='Read Me + Evidence'!$K$11,D36&lt;&gt;'Read Me + Evidence'!$H$12),1,0)</x:f>
        <x:v>1</x:v>
      </x:c>
      <x:c r="U36" s="3" t="str"/>
    </x:row>
    <x:row r="37" ht="153" customHeight="1">
      <x:c r="A37" s="3" t="str">
        <x:v>SYS-08</x:v>
      </x:c>
      <x:c r="B37" s="3" t="str">
        <x:v>System</x:v>
      </x:c>
      <x:c r="C37" s="3" t="str">
        <x:v>Theme and accent</x:v>
      </x:c>
      <x:c r="D37" s="13" t="str">
        <x:v>Fail</x:v>
      </x:c>
      <x:c r="E37" s="3" t="str">
        <x:v>Appearance remains legible, validates input, and agrees across apps/windows.</x:v>
      </x:c>
      <x:c r="F37" s="12" t="str">
        <x:v>Named accents and Custom input work by keyboard. Invalid hex silently reverts without a hint(F59). Dock toggle works. Dark/Blue and original settings restored.</x:v>
      </x:c>
      <x:c r="G37" s="3" t="str">
        <x:v>controlled-layout</x:v>
      </x:c>
      <x:c r="H37" s="3" t="str">
        <x:v>implemented-source</x:v>
      </x:c>
      <x:c r="I37" s="3" t="str">
        <x:v>Auto; Light; Dark; Swatches; Custom hex</x:v>
      </x:c>
      <x:c r="J37" s="3" t="str">
        <x:v>1. Preview each mode
2. Set valid/invalid custom color
3. Restore</x:v>
      </x:c>
      <x:c r="K37" s="3" t="str">
        <x:v>Restore original values</x:v>
      </x:c>
      <x:c r="L37" s="3" t="str">
        <x:v>F-30; F-59</x:v>
      </x:c>
      <x:c r="M37" s="3" t="str"/>
      <x:c r="N37" s="3" t="str">
        <x:v>E-043; E-097</x:v>
      </x:c>
      <x:c r="O37" s="3" t="str">
        <x:v>S-032</x:v>
      </x:c>
      <x:c r="P37" s="3" t="str">
        <x:v>system</x:v>
      </x:c>
      <x:c r="Q37" s="3" t="str">
        <x:f>IF(OR(H37='Read Me + Evidence'!$K$6,H37='Read Me + Evidence'!$K$7,H37='Read Me + Evidence'!$K$8,P37='Read Me + Evidence'!$K$9,P37='Read Me + Evidence'!$K$10),'Read Me + Evidence'!$K$12,'Read Me + Evidence'!$K$11)</x:f>
        <x:v>GUI</x:v>
      </x:c>
      <x:c r="R37" s="14" t="n">
        <x:f>IF(AND(Q37='Read Me + Evidence'!$K$11,OR(D37='Read Me + Evidence'!$H$7,D37='Read Me + Evidence'!$H$8,D37='Read Me + Evidence'!$H$9)),1,0)</x:f>
        <x:v>1</x:v>
      </x:c>
      <x:c r="S37" s="14" t="n">
        <x:f>IF(AND(Q37='Read Me + Evidence'!$K$11,D37='Read Me + Evidence'!$H$7),1,0)</x:f>
        <x:v>0</x:v>
      </x:c>
      <x:c r="T37" s="14" t="n">
        <x:f>IF(AND(Q37='Read Me + Evidence'!$K$11,D37&lt;&gt;'Read Me + Evidence'!$H$12),1,0)</x:f>
        <x:v>1</x:v>
      </x:c>
      <x:c r="U37" s="3" t="str"/>
    </x:row>
    <x:row r="38" ht="153" customHeight="1">
      <x:c r="A38" s="3" t="str">
        <x:v>SYS-09</x:v>
      </x:c>
      <x:c r="B38" s="3" t="str">
        <x:v>System</x:v>
      </x:c>
      <x:c r="C38" s="3" t="str">
        <x:v>Background and contrast</x:v>
      </x:c>
      <x:c r="D38" s="13" t="str">
        <x:v>Partially observed</x:v>
      </x:c>
      <x:c r="E38" s="3" t="str">
        <x:v>Principal-owned background/overlay remain bounded and do not obscure controls.</x:v>
      </x:c>
      <x:c r="F38" s="12" t="str">
        <x:v>Contrast on exposes55%; keyboard changes60% then restores55%, and off restores original state. Image picker/Reset positive transfer remains fixture-blocked; no image changed.</x:v>
      </x:c>
      <x:c r="G38" s="3" t="str">
        <x:v>controlled-layout</x:v>
      </x:c>
      <x:c r="H38" s="3" t="str">
        <x:v>implemented-source</x:v>
      </x:c>
      <x:c r="I38" s="3" t="str">
        <x:v>Upload background; Reset; Overlay; Strength</x:v>
      </x:c>
      <x:c r="J38" s="3" t="str">
        <x:v>1. Inspect supported image input
2. Preview disposable image
3. Restore</x:v>
      </x:c>
      <x:c r="K38" s="3" t="str">
        <x:v>Disposable image; Restore prior setting</x:v>
      </x:c>
      <x:c r="L38" s="3" t="str"/>
      <x:c r="M38" s="3" t="str"/>
      <x:c r="N38" s="3" t="str">
        <x:v>E-043; E-097</x:v>
      </x:c>
      <x:c r="O38" s="3" t="str">
        <x:v>S-033</x:v>
      </x:c>
      <x:c r="P38" s="3" t="str">
        <x:v>system</x:v>
      </x:c>
      <x:c r="Q38" s="3" t="str">
        <x:f>IF(OR(H38='Read Me + Evidence'!$K$6,H38='Read Me + Evidence'!$K$7,H38='Read Me + Evidence'!$K$8,P38='Read Me + Evidence'!$K$9,P38='Read Me + Evidence'!$K$10),'Read Me + Evidence'!$K$12,'Read Me + Evidence'!$K$11)</x:f>
        <x:v>GUI</x:v>
      </x:c>
      <x:c r="R38" s="14" t="n">
        <x:f>IF(AND(Q38='Read Me + Evidence'!$K$11,OR(D38='Read Me + Evidence'!$H$7,D38='Read Me + Evidence'!$H$8,D38='Read Me + Evidence'!$H$9)),1,0)</x:f>
        <x:v>1</x:v>
      </x:c>
      <x:c r="S38" s="14" t="n">
        <x:f>IF(AND(Q38='Read Me + Evidence'!$K$11,D38='Read Me + Evidence'!$H$7),1,0)</x:f>
        <x:v>0</x:v>
      </x:c>
      <x:c r="T38" s="14" t="n">
        <x:f>IF(AND(Q38='Read Me + Evidence'!$K$11,D38&lt;&gt;'Read Me + Evidence'!$H$12),1,0)</x:f>
        <x:v>1</x:v>
      </x:c>
      <x:c r="U38" s="3" t="str"/>
    </x:row>
    <x:row r="39" ht="153" customHeight="1">
      <x:c r="A39" s="3" t="str">
        <x:v>SYS-10</x:v>
      </x:c>
      <x:c r="B39" s="3" t="str">
        <x:v>System</x:v>
      </x:c>
      <x:c r="C39" s="3" t="str">
        <x:v>Shell selection</x:v>
      </x:c>
      <x:c r="D39" s="13" t="str">
        <x:v>Fail</x:v>
      </x:c>
      <x:c r="E39" s="3" t="str">
        <x:v>Runtime chooses the admitted shell; both share account/session truth and Home owns lifecycle.</x:v>
      </x:c>
      <x:c r="F39" s="12" t="str">
        <x: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x:v>
      </x:c>
      <x:c r="G39" s="3" t="str">
        <x:v>controlled-session</x:v>
      </x:c>
      <x:c r="H39" s="3" t="str">
        <x:v>implemented-source</x:v>
      </x:c>
      <x:c r="I39" s="3" t="str">
        <x:v>Home GUI; Home CLI</x:v>
      </x:c>
      <x:c r="J39" s="3" t="str">
        <x:v>1. Inspect available shells
2. Switch and return</x:v>
      </x:c>
      <x:c r="K39" s="3" t="str">
        <x:v>Save disposable work</x:v>
      </x:c>
      <x:c r="L39" s="3" t="str">
        <x:v>F-44; F-47</x:v>
      </x:c>
      <x:c r="M39" s="3" t="str"/>
      <x:c r="N39" s="3" t="str">
        <x:v>E-054; E-057; E-058; E-070; E-071; E-076; E-094; E-095; E-096</x:v>
      </x:c>
      <x:c r="O39" s="3" t="str">
        <x:v>S-034</x:v>
      </x:c>
      <x:c r="P39" s="3" t="str">
        <x:v>system</x:v>
      </x:c>
      <x:c r="Q39" s="3" t="str">
        <x:f>IF(OR(H39='Read Me + Evidence'!$K$6,H39='Read Me + Evidence'!$K$7,H39='Read Me + Evidence'!$K$8,P39='Read Me + Evidence'!$K$9,P39='Read Me + Evidence'!$K$10),'Read Me + Evidence'!$K$12,'Read Me + Evidence'!$K$11)</x:f>
        <x:v>GUI</x:v>
      </x:c>
      <x:c r="R39" s="14" t="n">
        <x:f>IF(AND(Q39='Read Me + Evidence'!$K$11,OR(D39='Read Me + Evidence'!$H$7,D39='Read Me + Evidence'!$H$8,D39='Read Me + Evidence'!$H$9)),1,0)</x:f>
        <x:v>1</x:v>
      </x:c>
      <x:c r="S39" s="14" t="n">
        <x:f>IF(AND(Q39='Read Me + Evidence'!$K$11,D39='Read Me + Evidence'!$H$7),1,0)</x:f>
        <x:v>0</x:v>
      </x:c>
      <x:c r="T39" s="14" t="n">
        <x:f>IF(AND(Q39='Read Me + Evidence'!$K$11,D39&lt;&gt;'Read Me + Evidence'!$H$12),1,0)</x:f>
        <x:v>1</x:v>
      </x:c>
      <x:c r="U39" s="3" t="str"/>
    </x:row>
    <x:row r="40" ht="153" customHeight="1">
      <x:c r="A40" s="3" t="str">
        <x:v>SYS-11</x:v>
      </x:c>
      <x:c r="B40" s="3" t="str">
        <x:v>System</x:v>
      </x:c>
      <x:c r="C40" s="3" t="str">
        <x:v>Apps and services inventory</x:v>
      </x:c>
      <x:c r="D40" s="13" t="str">
        <x:v>Pass</x:v>
      </x:c>
      <x:c r="E40" s="3" t="str">
        <x:v>Catalog shows role and available actions; private native targets are not public app entries.</x:v>
      </x:c>
      <x:c r="F40" s="12" t="str">
        <x:v>Catalog33items covers Apps14/Viewers4/Content2/Backgroundservices11/Homeviews2. Native service entries expose no launch action. Enter on Library Open launches exact Library app with preserved audit files. E061. E103 independently verifies read-only Refresh and unchanged inventory.</x:v>
      </x:c>
      <x:c r="G40" s="3" t="str">
        <x:v>safe-read-only</x:v>
      </x:c>
      <x:c r="H40" s="3" t="str">
        <x:v>implemented-source</x:v>
      </x:c>
      <x:c r="I40" s="3" t="str">
        <x:v>Refresh; Group disclosure; Open</x:v>
      </x:c>
      <x:c r="J40" s="3" t="str">
        <x:v>1. Inspect Apps/Viewers/Content/Background services/Home views
2. Open launchable item</x:v>
      </x:c>
      <x:c r="K40" s="3" t="str">
        <x:v>Signed-in Home</x:v>
      </x:c>
      <x:c r="L40" s="3" t="str"/>
      <x:c r="M40" s="3" t="str"/>
      <x:c r="N40" s="3" t="str">
        <x:v>E-043; E-061; E-103</x:v>
      </x:c>
      <x:c r="O40" s="3" t="str">
        <x:v>S-035</x:v>
      </x:c>
      <x:c r="P40" s="3" t="str">
        <x:v>system</x:v>
      </x:c>
      <x:c r="Q40" s="3" t="str">
        <x:f>IF(OR(H40='Read Me + Evidence'!$K$6,H40='Read Me + Evidence'!$K$7,H40='Read Me + Evidence'!$K$8,P40='Read Me + Evidence'!$K$9,P40='Read Me + Evidence'!$K$10),'Read Me + Evidence'!$K$12,'Read Me + Evidence'!$K$11)</x:f>
        <x:v>GUI</x:v>
      </x:c>
      <x:c r="R40" s="14" t="n">
        <x:f>IF(AND(Q40='Read Me + Evidence'!$K$11,OR(D40='Read Me + Evidence'!$H$7,D40='Read Me + Evidence'!$H$8,D40='Read Me + Evidence'!$H$9)),1,0)</x:f>
        <x:v>1</x:v>
      </x:c>
      <x:c r="S40" s="14" t="n">
        <x:f>IF(AND(Q40='Read Me + Evidence'!$K$11,D40='Read Me + Evidence'!$H$7),1,0)</x:f>
        <x:v>1</x:v>
      </x:c>
      <x:c r="T40" s="14" t="n">
        <x:f>IF(AND(Q40='Read Me + Evidence'!$K$11,D40&lt;&gt;'Read Me + Evidence'!$H$12),1,0)</x:f>
        <x:v>1</x:v>
      </x:c>
      <x:c r="U40" s="3" t="str"/>
    </x:row>
    <x:row r="41" ht="153" customHeight="1">
      <x:c r="A41" s="3" t="str">
        <x:v>SYS-12</x:v>
      </x:c>
      <x:c r="B41" s="3" t="str">
        <x:v>System</x:v>
      </x:c>
      <x:c r="C41" s="3" t="str">
        <x:v>Chain controls</x:v>
      </x:c>
      <x:c r="D41" s="13" t="str">
        <x:v>Partially observed</x:v>
      </x:c>
      <x:c r="E41" s="3" t="str">
        <x:v>Configured provider owns network behavior; lifecycle changes require explicit operator control.</x:v>
      </x:c>
      <x:c r="F41" s="12" t="str">
        <x:v>About reports ELA/ESC/Base/Bitcoin online with remote height/block status. Selecting ELA refreshes its height. Source confirms row activation is status refresh, not a lifecycle menu. No lifecycle actions are offered for these remote networks or dispatched.</x:v>
      </x:c>
      <x:c r="G41" s="3" t="str">
        <x:v>privileged-operator</x:v>
      </x:c>
      <x:c r="H41" s="3" t="str">
        <x:v>implemented-source</x:v>
      </x:c>
      <x:c r="I41" s="3" t="str">
        <x:v>Network row; Start; Stop; Restart</x:v>
      </x:c>
      <x:c r="J41" s="3" t="str">
        <x:v>1. Inspect network state and available lifecycle actions without dispatch</x:v>
      </x:c>
      <x:c r="K41" s="3" t="str">
        <x:v>Operator-only; preview now</x:v>
      </x:c>
      <x:c r="L41" s="3" t="str"/>
      <x:c r="M41" s="3" t="str"/>
      <x:c r="N41" s="3" t="str">
        <x:v>E-043</x:v>
      </x:c>
      <x:c r="O41" s="3" t="str">
        <x:v>S-036</x:v>
      </x:c>
      <x:c r="P41" s="3" t="str">
        <x:v>system</x:v>
      </x:c>
      <x:c r="Q41" s="3" t="str">
        <x:f>IF(OR(H41='Read Me + Evidence'!$K$6,H41='Read Me + Evidence'!$K$7,H41='Read Me + Evidence'!$K$8,P41='Read Me + Evidence'!$K$9,P41='Read Me + Evidence'!$K$10),'Read Me + Evidence'!$K$12,'Read Me + Evidence'!$K$11)</x:f>
        <x:v>GUI</x:v>
      </x:c>
      <x:c r="R41" s="14" t="n">
        <x:f>IF(AND(Q41='Read Me + Evidence'!$K$11,OR(D41='Read Me + Evidence'!$H$7,D41='Read Me + Evidence'!$H$8,D41='Read Me + Evidence'!$H$9)),1,0)</x:f>
        <x:v>1</x:v>
      </x:c>
      <x:c r="S41" s="14" t="n">
        <x:f>IF(AND(Q41='Read Me + Evidence'!$K$11,D41='Read Me + Evidence'!$H$7),1,0)</x:f>
        <x:v>0</x:v>
      </x:c>
      <x:c r="T41" s="14" t="n">
        <x:f>IF(AND(Q41='Read Me + Evidence'!$K$11,D41&lt;&gt;'Read Me + Evidence'!$H$12),1,0)</x:f>
        <x:v>1</x:v>
      </x:c>
      <x:c r="U41" s="3" t="str"/>
    </x:row>
    <x:row r="42" ht="153" customHeight="1">
      <x:c r="A42" s="3" t="str">
        <x:v>SYS-13</x:v>
      </x:c>
      <x:c r="B42" s="3" t="str">
        <x:v>System</x:v>
      </x:c>
      <x:c r="C42" s="3" t="str">
        <x:v>Technical inspection</x:v>
      </x:c>
      <x:c r="D42" s="13" t="str">
        <x:v>Partially observed</x:v>
      </x:c>
      <x:c r="E42" s="3" t="str">
        <x:v>Runtime projects exact scope and approval; descriptors are not grants.</x:v>
      </x:c>
      <x:c r="F42" s="12" t="str">
        <x:v>Technical Details expands and lists49objects. Archive Manager is selected with bounded identifier/author/type/role/version and explicit Unverified status. Operator effect preview/approval remains untested; no request dispatched. E103 independently verifies read-only Refresh and unchanged inventory.</x:v>
      </x:c>
      <x:c r="G42" s="3" t="str">
        <x:v>privileged-operator</x:v>
      </x:c>
      <x:c r="H42" s="3" t="str">
        <x:v>implemented-source</x:v>
      </x:c>
      <x:c r="I42" s="3" t="str">
        <x:v>Refresh; Inspect item; Operation; Preview; Request approval</x:v>
      </x:c>
      <x:c r="J42" s="3" t="str">
        <x:v>1. Inspect bounded facts
2. Preview an operation
3. Cancel before requesting</x:v>
      </x:c>
      <x:c r="K42" s="3" t="str">
        <x:v>Admin inspection; No secret capture</x:v>
      </x:c>
      <x:c r="L42" s="3" t="str">
        <x:v>F-61</x:v>
      </x:c>
      <x:c r="M42" s="3" t="str"/>
      <x:c r="N42" s="3" t="str">
        <x:v>E-043; E-103</x:v>
      </x:c>
      <x:c r="O42" s="3" t="str">
        <x:v>S-037</x:v>
      </x:c>
      <x:c r="P42" s="3" t="str">
        <x:v>system</x:v>
      </x:c>
      <x:c r="Q42" s="3" t="str">
        <x:f>IF(OR(H42='Read Me + Evidence'!$K$6,H42='Read Me + Evidence'!$K$7,H42='Read Me + Evidence'!$K$8,P42='Read Me + Evidence'!$K$9,P42='Read Me + Evidence'!$K$10),'Read Me + Evidence'!$K$12,'Read Me + Evidence'!$K$11)</x:f>
        <x:v>GUI</x:v>
      </x:c>
      <x:c r="R42" s="14" t="n">
        <x:f>IF(AND(Q42='Read Me + Evidence'!$K$11,OR(D42='Read Me + Evidence'!$H$7,D42='Read Me + Evidence'!$H$8,D42='Read Me + Evidence'!$H$9)),1,0)</x:f>
        <x:v>1</x:v>
      </x:c>
      <x:c r="S42" s="14" t="n">
        <x:f>IF(AND(Q42='Read Me + Evidence'!$K$11,D42='Read Me + Evidence'!$H$7),1,0)</x:f>
        <x:v>0</x:v>
      </x:c>
      <x:c r="T42" s="14" t="n">
        <x:f>IF(AND(Q42='Read Me + Evidence'!$K$11,D42&lt;&gt;'Read Me + Evidence'!$H$12),1,0)</x:f>
        <x:v>1</x:v>
      </x:c>
      <x:c r="U42" s="3" t="str"/>
    </x:row>
    <x:row r="43" ht="153" customHeight="1">
      <x:c r="A43" s="3" t="str">
        <x:v>SYS-14</x:v>
      </x:c>
      <x:c r="B43" s="3" t="str">
        <x:v>System</x:v>
      </x:c>
      <x:c r="C43" s="3" t="str">
        <x:v>About and device identity</x:v>
      </x:c>
      <x:c r="D43" s="13" t="str">
        <x:v>Partially observed</x:v>
      </x:c>
      <x:c r="E43" s="3" t="str">
        <x:v>Device DID identifies endpoint, distinct from Profile. Version/source facts should describe the running artifact.</x:v>
      </x:c>
      <x:c r="F43" s="12" t="str">
        <x:v>About shows public abbreviated device identity, Version0.6.0-dev, no trusted update source, and four online network status rows. Installed source identity remains unknown in the UI; exact audit receipt is recorded separately. Clipboard untouched.</x:v>
      </x:c>
      <x:c r="G43" s="3" t="str">
        <x:v>controlled-clipboard</x:v>
      </x:c>
      <x:c r="H43" s="3" t="str">
        <x:v>implemented-source</x:v>
      </x:c>
      <x:c r="I43" s="3" t="str">
        <x:v>Device DID copy; Version/source facts</x:v>
      </x:c>
      <x:c r="J43" s="3" t="str">
        <x:v>1. Inspect public version/device facts
2. Copy only with consent</x:v>
      </x:c>
      <x:c r="K43" s="3" t="str">
        <x:v>Public device identity only</x:v>
      </x:c>
      <x:c r="L43" s="3" t="str"/>
      <x:c r="M43" s="3" t="str"/>
      <x:c r="N43" s="3" t="str">
        <x:v>E-043</x:v>
      </x:c>
      <x:c r="O43" s="3" t="str">
        <x:v>S-024</x:v>
      </x:c>
      <x:c r="P43" s="3" t="str">
        <x:v>system</x:v>
      </x:c>
      <x:c r="Q43" s="3" t="str">
        <x:f>IF(OR(H43='Read Me + Evidence'!$K$6,H43='Read Me + Evidence'!$K$7,H43='Read Me + Evidence'!$K$8,P43='Read Me + Evidence'!$K$9,P43='Read Me + Evidence'!$K$10),'Read Me + Evidence'!$K$12,'Read Me + Evidence'!$K$11)</x:f>
        <x:v>GUI</x:v>
      </x:c>
      <x:c r="R43" s="14" t="n">
        <x:f>IF(AND(Q43='Read Me + Evidence'!$K$11,OR(D43='Read Me + Evidence'!$H$7,D43='Read Me + Evidence'!$H$8,D43='Read Me + Evidence'!$H$9)),1,0)</x:f>
        <x:v>1</x:v>
      </x:c>
      <x:c r="S43" s="14" t="n">
        <x:f>IF(AND(Q43='Read Me + Evidence'!$K$11,D43='Read Me + Evidence'!$H$7),1,0)</x:f>
        <x:v>0</x:v>
      </x:c>
      <x:c r="T43" s="14" t="n">
        <x:f>IF(AND(Q43='Read Me + Evidence'!$K$11,D43&lt;&gt;'Read Me + Evidence'!$H$12),1,0)</x:f>
        <x:v>1</x:v>
      </x:c>
      <x:c r="U43" s="3" t="str"/>
    </x:row>
    <x:row r="44" ht="153" customHeight="1">
      <x:c r="A44" s="3" t="str">
        <x:v>PEOPLE-01</x:v>
      </x:c>
      <x:c r="B44" s="3" t="str">
        <x:v>People and Profile</x:v>
      </x:c>
      <x:c r="C44" s="3" t="str">
        <x:v>Create public Profile</x:v>
      </x:c>
      <x:c r="D44" s="13" t="str">
        <x:v>Blocked prerequisite</x:v>
      </x:c>
      <x:c r="E44" s="3" t="str">
        <x:v>Profile is a signed public identity, distinct from passkey label/device DID. Empty input should get immediate clear validation.</x:v>
      </x:c>
      <x:c r="F44" s="12" t="str">
        <x:v>The current principal already has a Profile. Creating another public identity requires a disposable principal and explicit owner choice.</x:v>
      </x:c>
      <x:c r="G44" s="3" t="str">
        <x:v>controlled-identity</x:v>
      </x:c>
      <x:c r="H44" s="3" t="str">
        <x:v>source-defect</x:v>
      </x:c>
      <x:c r="I44" s="3" t="str">
        <x:v>Public name; Create Profile</x:v>
      </x:c>
      <x:c r="J44" s="3" t="str">
        <x:v>1. Inspect suggestion
2. Submit only explicit nonblank test name</x:v>
      </x:c>
      <x:c r="K44" s="3" t="str">
        <x:v>User-controlled Profile creation</x:v>
      </x:c>
      <x:c r="L44" s="3" t="str">
        <x:v>F-05</x:v>
      </x:c>
      <x:c r="M44" s="3" t="str">
        <x:v>User reports suggested public name was placeholder only and empty submit errored. [User-reported flow; matching source input/submit behavior F-05.]</x:v>
      </x:c>
      <x:c r="N44" s="3" t="str">
        <x:v>E-046</x:v>
      </x:c>
      <x:c r="O44" s="3" t="str">
        <x:v>S-038</x:v>
      </x:c>
      <x:c r="P44" s="3" t="str">
        <x:v>people</x:v>
      </x:c>
      <x:c r="Q44" s="3" t="str">
        <x:f>IF(OR(H44='Read Me + Evidence'!$K$6,H44='Read Me + Evidence'!$K$7,H44='Read Me + Evidence'!$K$8,P44='Read Me + Evidence'!$K$9,P44='Read Me + Evidence'!$K$10),'Read Me + Evidence'!$K$12,'Read Me + Evidence'!$K$11)</x:f>
        <x:v>GUI</x:v>
      </x:c>
      <x:c r="R44" s="14" t="n">
        <x:f>IF(AND(Q44='Read Me + Evidence'!$K$11,OR(D44='Read Me + Evidence'!$H$7,D44='Read Me + Evidence'!$H$8,D44='Read Me + Evidence'!$H$9)),1,0)</x:f>
        <x:v>0</x:v>
      </x:c>
      <x:c r="S44" s="14" t="n">
        <x:f>IF(AND(Q44='Read Me + Evidence'!$K$11,D44='Read Me + Evidence'!$H$7),1,0)</x:f>
        <x:v>0</x:v>
      </x:c>
      <x:c r="T44" s="14" t="n">
        <x:f>IF(AND(Q44='Read Me + Evidence'!$K$11,D44&lt;&gt;'Read Me + Evidence'!$H$12),1,0)</x:f>
        <x:v>1</x:v>
      </x:c>
      <x:c r="U44" s="3" t="str"/>
    </x:row>
    <x:row r="45" ht="153" customHeight="1">
      <x:c r="A45" s="3" t="str">
        <x:v>PEOPLE-02</x:v>
      </x:c>
      <x:c r="B45" s="3" t="str">
        <x:v>People and Profile</x:v>
      </x:c>
      <x:c r="C45" s="3" t="str">
        <x:v>Edit Profile</x:v>
      </x:c>
      <x:c r="D45" s="13" t="str">
        <x:v>Partially observed</x:v>
      </x:c>
      <x:c r="E45" s="3" t="str">
        <x:v>Runtime signs the intended name update without changing identity or replacing typed input during refresh.</x:v>
      </x:c>
      <x:c r="F45" s="12" t="str">
        <x:v>My Profile shows the existing display name and Save control. The name remains unchanged; public edits require explicit consent.</x:v>
      </x:c>
      <x:c r="G45" s="3" t="str">
        <x:v>controlled-identity</x:v>
      </x:c>
      <x:c r="H45" s="3" t="str">
        <x:v>implemented-source</x:v>
      </x:c>
      <x:c r="I45" s="3" t="str">
        <x:v>Name; Save Profile</x:v>
      </x:c>
      <x:c r="J45" s="3" t="str">
        <x:v>1. Inspect current public name
2. Edit only with user consent</x:v>
      </x:c>
      <x:c r="K45" s="3" t="str">
        <x:v>Existing Profile</x:v>
      </x:c>
      <x:c r="L45" s="3" t="str"/>
      <x:c r="M45" s="3" t="str"/>
      <x:c r="N45" s="3" t="str">
        <x:v>E-046</x:v>
      </x:c>
      <x:c r="O45" s="3" t="str">
        <x:v>S-039</x:v>
      </x:c>
      <x:c r="P45" s="3" t="str">
        <x:v>people</x:v>
      </x:c>
      <x:c r="Q45" s="3" t="str">
        <x:f>IF(OR(H45='Read Me + Evidence'!$K$6,H45='Read Me + Evidence'!$K$7,H45='Read Me + Evidence'!$K$8,P45='Read Me + Evidence'!$K$9,P45='Read Me + Evidence'!$K$10),'Read Me + Evidence'!$K$12,'Read Me + Evidence'!$K$11)</x:f>
        <x:v>GUI</x:v>
      </x:c>
      <x:c r="R45" s="14" t="n">
        <x:f>IF(AND(Q45='Read Me + Evidence'!$K$11,OR(D45='Read Me + Evidence'!$H$7,D45='Read Me + Evidence'!$H$8,D45='Read Me + Evidence'!$H$9)),1,0)</x:f>
        <x:v>1</x:v>
      </x:c>
      <x:c r="S45" s="14" t="n">
        <x:f>IF(AND(Q45='Read Me + Evidence'!$K$11,D45='Read Me + Evidence'!$H$7),1,0)</x:f>
        <x:v>0</x:v>
      </x:c>
      <x:c r="T45" s="14" t="n">
        <x:f>IF(AND(Q45='Read Me + Evidence'!$K$11,D45&lt;&gt;'Read Me + Evidence'!$H$12),1,0)</x:f>
        <x:v>1</x:v>
      </x:c>
      <x:c r="U45" s="3" t="str"/>
    </x:row>
    <x:row r="46" ht="153" customHeight="1">
      <x:c r="A46" s="3" t="str">
        <x:v>PEOPLE-03</x:v>
      </x:c>
      <x:c r="B46" s="3" t="str">
        <x:v>People and Profile</x:v>
      </x:c>
      <x:c r="C46" s="3" t="str">
        <x:v>Contacts empty/populated</x:v>
      </x:c>
      <x:c r="D46" s="13" t="str">
        <x:v>Partially observed</x:v>
      </x:c>
      <x:c r="E46" s="3" t="str">
        <x:v>People represents Profiles; endpoint identities remain routing details.</x:v>
      </x:c>
      <x:c r="F46" s="12" t="str">
        <x:v>Contacts shows 0 contacts and No contacts yet. A populated conversation needs a consenting test contact.</x:v>
      </x:c>
      <x:c r="G46" s="3" t="str">
        <x:v>controlled-session</x:v>
      </x:c>
      <x:c r="H46" s="3" t="str">
        <x:v>implemented-source</x:v>
      </x:c>
      <x:c r="I46" s="3" t="str">
        <x:v>People tab; Contact cards; Message</x:v>
      </x:c>
      <x:c r="J46" s="3" t="str">
        <x:v>1. Inspect empty state
2. Open approved contact conversation</x:v>
      </x:c>
      <x:c r="K46" s="3" t="str">
        <x:v>Optional approved test contact</x:v>
      </x:c>
      <x:c r="L46" s="3" t="str"/>
      <x:c r="M46" s="3" t="str"/>
      <x:c r="N46" s="3" t="str">
        <x:v>E-046</x:v>
      </x:c>
      <x:c r="O46" s="3" t="str">
        <x:v>S-040</x:v>
      </x:c>
      <x:c r="P46" s="3" t="str">
        <x:v>people</x:v>
      </x:c>
      <x:c r="Q46" s="3" t="str">
        <x:f>IF(OR(H46='Read Me + Evidence'!$K$6,H46='Read Me + Evidence'!$K$7,H46='Read Me + Evidence'!$K$8,P46='Read Me + Evidence'!$K$9,P46='Read Me + Evidence'!$K$10),'Read Me + Evidence'!$K$12,'Read Me + Evidence'!$K$11)</x:f>
        <x:v>GUI</x:v>
      </x:c>
      <x:c r="R46" s="14" t="n">
        <x:f>IF(AND(Q46='Read Me + Evidence'!$K$11,OR(D46='Read Me + Evidence'!$H$7,D46='Read Me + Evidence'!$H$8,D46='Read Me + Evidence'!$H$9)),1,0)</x:f>
        <x:v>1</x:v>
      </x:c>
      <x:c r="S46" s="14" t="n">
        <x:f>IF(AND(Q46='Read Me + Evidence'!$K$11,D46='Read Me + Evidence'!$H$7),1,0)</x:f>
        <x:v>0</x:v>
      </x:c>
      <x:c r="T46" s="14" t="n">
        <x:f>IF(AND(Q46='Read Me + Evidence'!$K$11,D46&lt;&gt;'Read Me + Evidence'!$H$12),1,0)</x:f>
        <x:v>1</x:v>
      </x:c>
      <x:c r="U46" s="3" t="str"/>
    </x:row>
    <x:row r="47" ht="153" customHeight="1">
      <x:c r="A47" s="3" t="str">
        <x:v>PEOPLE-04</x:v>
      </x:c>
      <x:c r="B47" s="3" t="str">
        <x:v>People and Profile</x:v>
      </x:c>
      <x:c r="C47" s="3" t="str">
        <x:v>Discovery and requests</x:v>
      </x:c>
      <x:c r="D47" s="13" t="str">
        <x:v>Partially observed</x:v>
      </x:c>
      <x:c r="E47" s="3" t="str">
        <x:v>Runtime discovery shows verified Profiles; a found advertisement is not contact or service permission.</x:v>
      </x:c>
      <x:c r="F47" s="12" t="str">
        <x:v>Discovery is unavailable because collaboration is not configured. Status, Visible people and Requests explain the prerequisite consistently; 0 visible and 0 requests.</x:v>
      </x:c>
      <x:c r="G47" s="3" t="str">
        <x:v>multi-runtime-controlled</x:v>
      </x:c>
      <x:c r="H47" s="3" t="str">
        <x:v>implemented-source</x:v>
      </x:c>
      <x:c r="I47" s="3" t="str">
        <x:v>Discovery tab; Enable/disable; Refresh; Add contact</x:v>
      </x:c>
      <x:c r="J47" s="3" t="str">
        <x:v>1. Inspect discovery off/empty/found/pending
2. Request only test contact</x:v>
      </x:c>
      <x:c r="K47" s="3" t="str">
        <x:v>Two consenting test Profiles</x:v>
      </x:c>
      <x:c r="L47" s="3" t="str"/>
      <x:c r="M47" s="3" t="str"/>
      <x:c r="N47" s="3" t="str">
        <x:v>E-046</x:v>
      </x:c>
      <x:c r="O47" s="3" t="str">
        <x:v>S-041</x:v>
      </x:c>
      <x:c r="P47" s="3" t="str">
        <x:v>people</x:v>
      </x:c>
      <x:c r="Q47" s="3" t="str">
        <x:f>IF(OR(H47='Read Me + Evidence'!$K$6,H47='Read Me + Evidence'!$K$7,H47='Read Me + Evidence'!$K$8,P47='Read Me + Evidence'!$K$9,P47='Read Me + Evidence'!$K$10),'Read Me + Evidence'!$K$12,'Read Me + Evidence'!$K$11)</x:f>
        <x:v>GUI</x:v>
      </x:c>
      <x:c r="R47" s="14" t="n">
        <x:f>IF(AND(Q47='Read Me + Evidence'!$K$11,OR(D47='Read Me + Evidence'!$H$7,D47='Read Me + Evidence'!$H$8,D47='Read Me + Evidence'!$H$9)),1,0)</x:f>
        <x:v>1</x:v>
      </x:c>
      <x:c r="S47" s="14" t="n">
        <x:f>IF(AND(Q47='Read Me + Evidence'!$K$11,D47='Read Me + Evidence'!$H$7),1,0)</x:f>
        <x:v>0</x:v>
      </x:c>
      <x:c r="T47" s="14" t="n">
        <x:f>IF(AND(Q47='Read Me + Evidence'!$K$11,D47&lt;&gt;'Read Me + Evidence'!$H$12),1,0)</x:f>
        <x:v>1</x:v>
      </x:c>
      <x:c r="U47" s="3" t="str"/>
    </x:row>
    <x:row r="48" ht="153" customHeight="1">
      <x:c r="A48" s="3" t="str">
        <x:v>PEOPLE-05</x:v>
      </x:c>
      <x:c r="B48" s="3" t="str">
        <x:v>People and Profile</x:v>
      </x:c>
      <x:c r="C48" s="3" t="str">
        <x:v>Contact approval</x:v>
      </x:c>
      <x:c r="D48" s="13" t="str">
        <x:v>Blocked prerequisite</x:v>
      </x:c>
      <x:c r="E48" s="3" t="str">
        <x:v>Exact Profile request is approved once; denied request creates no contact authority.</x:v>
      </x:c>
      <x:c r="F48" s="12" t="str">
        <x:v>The installed Home has no configured collaboration or test contact request. Approval requires a consenting peer.</x:v>
      </x:c>
      <x:c r="G48" s="3" t="str">
        <x:v>multi-runtime-controlled</x:v>
      </x:c>
      <x:c r="H48" s="3" t="str">
        <x:v>implemented-source</x:v>
      </x:c>
      <x:c r="I48" s="3" t="str">
        <x:v>Open Inbox; Accept; Decline</x:v>
      </x:c>
      <x:c r="J48" s="3" t="str">
        <x:v>1. Inspect received test request
2. Approve/decline under control</x:v>
      </x:c>
      <x:c r="K48" s="3" t="str">
        <x:v>Consenting peer; Test request</x:v>
      </x:c>
      <x:c r="L48" s="3" t="str"/>
      <x:c r="M48" s="3" t="str"/>
      <x:c r="N48" s="3" t="str">
        <x:v>E-046</x:v>
      </x:c>
      <x:c r="O48" s="3" t="str">
        <x:v>S-042</x:v>
      </x:c>
      <x:c r="P48" s="3" t="str">
        <x:v>people</x:v>
      </x:c>
      <x:c r="Q48" s="3" t="str">
        <x:f>IF(OR(H48='Read Me + Evidence'!$K$6,H48='Read Me + Evidence'!$K$7,H48='Read Me + Evidence'!$K$8,P48='Read Me + Evidence'!$K$9,P48='Read Me + Evidence'!$K$10),'Read Me + Evidence'!$K$12,'Read Me + Evidence'!$K$11)</x:f>
        <x:v>GUI</x:v>
      </x:c>
      <x:c r="R48" s="14" t="n">
        <x:f>IF(AND(Q48='Read Me + Evidence'!$K$11,OR(D48='Read Me + Evidence'!$H$7,D48='Read Me + Evidence'!$H$8,D48='Read Me + Evidence'!$H$9)),1,0)</x:f>
        <x:v>0</x:v>
      </x:c>
      <x:c r="S48" s="14" t="n">
        <x:f>IF(AND(Q48='Read Me + Evidence'!$K$11,D48='Read Me + Evidence'!$H$7),1,0)</x:f>
        <x:v>0</x:v>
      </x:c>
      <x:c r="T48" s="14" t="n">
        <x:f>IF(AND(Q48='Read Me + Evidence'!$K$11,D48&lt;&gt;'Read Me + Evidence'!$H$12),1,0)</x:f>
        <x:v>1</x:v>
      </x:c>
      <x:c r="U48" s="3" t="str"/>
    </x:row>
    <x:row r="49" ht="153" customHeight="1">
      <x:c r="A49" s="3" t="str">
        <x:v>PEOPLE-06</x:v>
      </x:c>
      <x:c r="B49" s="3" t="str">
        <x:v>People and Profile</x:v>
      </x:c>
      <x:c r="C49" s="3" t="str">
        <x:v>Remove contact</x:v>
      </x:c>
      <x:c r="D49" s="13" t="str">
        <x:v>Blocked prerequisite</x:v>
      </x:c>
      <x:c r="E49" s="3" t="str">
        <x:v>Contact removal is explicit and cannot confuse Profile identity with Runtime device identity.</x:v>
      </x:c>
      <x:c r="F49" s="12" t="str">
        <x:v>There are no disposable contacts. Existing identity remains unchanged; removal cannot be exercised.</x:v>
      </x:c>
      <x:c r="G49" s="3" t="str">
        <x:v>controlled-contacts</x:v>
      </x:c>
      <x:c r="H49" s="3" t="str">
        <x:v>implemented-source</x:v>
      </x:c>
      <x:c r="I49" s="3" t="str">
        <x:v>Remove; Confirmation</x:v>
      </x:c>
      <x:c r="J49" s="3" t="str">
        <x:v>1. Open removal for disposable contact
2. Cancel, or remove with consent</x:v>
      </x:c>
      <x:c r="K49" s="3" t="str">
        <x:v>Disposable contact</x:v>
      </x:c>
      <x:c r="L49" s="3" t="str"/>
      <x:c r="M49" s="3" t="str"/>
      <x:c r="N49" s="3" t="str">
        <x:v>E-046</x:v>
      </x:c>
      <x:c r="O49" s="3" t="str">
        <x:v>S-043</x:v>
      </x:c>
      <x:c r="P49" s="3" t="str">
        <x:v>people</x:v>
      </x:c>
      <x:c r="Q49" s="3" t="str">
        <x:f>IF(OR(H49='Read Me + Evidence'!$K$6,H49='Read Me + Evidence'!$K$7,H49='Read Me + Evidence'!$K$8,P49='Read Me + Evidence'!$K$9,P49='Read Me + Evidence'!$K$10),'Read Me + Evidence'!$K$12,'Read Me + Evidence'!$K$11)</x:f>
        <x:v>GUI</x:v>
      </x:c>
      <x:c r="R49" s="14" t="n">
        <x:f>IF(AND(Q49='Read Me + Evidence'!$K$11,OR(D49='Read Me + Evidence'!$H$7,D49='Read Me + Evidence'!$H$8,D49='Read Me + Evidence'!$H$9)),1,0)</x:f>
        <x:v>0</x:v>
      </x:c>
      <x:c r="S49" s="14" t="n">
        <x:f>IF(AND(Q49='Read Me + Evidence'!$K$11,D49='Read Me + Evidence'!$H$7),1,0)</x:f>
        <x:v>0</x:v>
      </x:c>
      <x:c r="T49" s="14" t="n">
        <x:f>IF(AND(Q49='Read Me + Evidence'!$K$11,D49&lt;&gt;'Read Me + Evidence'!$H$12),1,0)</x:f>
        <x:v>1</x:v>
      </x:c>
      <x:c r="U49" s="3" t="str"/>
    </x:row>
    <x:row r="50" ht="153" customHeight="1">
      <x:c r="A50" s="3" t="str">
        <x:v>CHAT-01</x:v>
      </x:c>
      <x:c r="B50" s="3" t="str">
        <x:v>Chat</x:v>
      </x:c>
      <x:c r="C50" s="3" t="str">
        <x:v>Conversation entry and selection</x:v>
      </x:c>
      <x:c r="D50" s="13" t="str">
        <x:v>Partially observed</x:v>
      </x:c>
      <x:c r="E50" s="3" t="str">
        <x:v>Current conversation and members are clear; joining can replace only unused local conversation.</x:v>
      </x:c>
      <x:c r="F50" s="12" t="str">
        <x:v>Chat opens the existing Community room and shows its name and local membership history. One current member is shown. Alternate test conversations require a consenting peer.</x:v>
      </x:c>
      <x:c r="G50" s="3" t="str">
        <x:v>controlled-session</x:v>
      </x:c>
      <x:c r="H50" s="3" t="str">
        <x:v>implemented-source</x:v>
      </x:c>
      <x:c r="I50" s="3" t="str">
        <x:v>Conversation selector; Join code/link; Join</x:v>
      </x:c>
      <x:c r="J50" s="3" t="str">
        <x:v>1. Open Chat empty
2. Inspect existing conversations
3. Select one</x:v>
      </x:c>
      <x:c r="K50" s="3" t="str">
        <x:v>Optional existing test conversation</x:v>
      </x:c>
      <x:c r="L50" s="3" t="str">
        <x:v>F-27</x:v>
      </x:c>
      <x:c r="M50" s="3" t="str"/>
      <x:c r="N50" s="3" t="str">
        <x:v>E-046</x:v>
      </x:c>
      <x:c r="O50" s="3" t="str">
        <x:v>S-044</x:v>
      </x:c>
      <x:c r="P50" s="3" t="str">
        <x:v>chat-room</x:v>
      </x:c>
      <x:c r="Q50" s="3" t="str">
        <x:f>IF(OR(H50='Read Me + Evidence'!$K$6,H50='Read Me + Evidence'!$K$7,H50='Read Me + Evidence'!$K$8,P50='Read Me + Evidence'!$K$9,P50='Read Me + Evidence'!$K$10),'Read Me + Evidence'!$K$12,'Read Me + Evidence'!$K$11)</x:f>
        <x:v>GUI</x:v>
      </x:c>
      <x:c r="R50" s="14" t="n">
        <x:f>IF(AND(Q50='Read Me + Evidence'!$K$11,OR(D50='Read Me + Evidence'!$H$7,D50='Read Me + Evidence'!$H$8,D50='Read Me + Evidence'!$H$9)),1,0)</x:f>
        <x:v>1</x:v>
      </x:c>
      <x:c r="S50" s="14" t="n">
        <x:f>IF(AND(Q50='Read Me + Evidence'!$K$11,D50='Read Me + Evidence'!$H$7),1,0)</x:f>
        <x:v>0</x:v>
      </x:c>
      <x:c r="T50" s="14" t="n">
        <x:f>IF(AND(Q50='Read Me + Evidence'!$K$11,D50&lt;&gt;'Read Me + Evidence'!$H$12),1,0)</x:f>
        <x:v>1</x:v>
      </x:c>
      <x:c r="U50" s="3" t="str"/>
    </x:row>
    <x:row r="51" ht="153" customHeight="1">
      <x:c r="A51" s="3" t="str">
        <x:v>CHAT-02</x:v>
      </x:c>
      <x:c r="B51" s="3" t="str">
        <x:v>Chat</x:v>
      </x:c>
      <x:c r="C51" s="3" t="str">
        <x:v>Guest join request</x:v>
      </x:c>
      <x:c r="D51" s="13" t="str">
        <x:v>Blocked prerequisite</x:v>
      </x:c>
      <x:c r="E51" s="3" t="str">
        <x:v>Host authorizes admission; entering a name alone grants no room access.</x:v>
      </x:c>
      <x:c r="F51" s="12" t="str">
        <x:v>The current signed-in principal is already admitted to Community. Guest admission needs a separate consenting host and disposable guest session.</x:v>
      </x:c>
      <x:c r="G51" s="3" t="str">
        <x:v>multi-runtime-controlled</x:v>
      </x:c>
      <x:c r="H51" s="3" t="str">
        <x:v>implemented-source</x:v>
      </x:c>
      <x:c r="I51" s="3" t="str">
        <x:v>Display name; Ask to join; Start over</x:v>
      </x:c>
      <x:c r="J51" s="3" t="str">
        <x:v>1. Inspect guest branch
2. Submit only to controlled host
3. Inspect pending/denied</x:v>
      </x:c>
      <x:c r="K51" s="3" t="str">
        <x:v>Consenting room host</x:v>
      </x:c>
      <x:c r="L51" s="3" t="str"/>
      <x:c r="M51" s="3" t="str"/>
      <x:c r="N51" s="3" t="str">
        <x:v>E-046</x:v>
      </x:c>
      <x:c r="O51" s="3" t="str">
        <x:v>S-045</x:v>
      </x:c>
      <x:c r="P51" s="3" t="str">
        <x:v>chat-room</x:v>
      </x:c>
      <x:c r="Q51" s="3" t="str">
        <x:f>IF(OR(H51='Read Me + Evidence'!$K$6,H51='Read Me + Evidence'!$K$7,H51='Read Me + Evidence'!$K$8,P51='Read Me + Evidence'!$K$9,P51='Read Me + Evidence'!$K$10),'Read Me + Evidence'!$K$12,'Read Me + Evidence'!$K$11)</x:f>
        <x:v>GUI</x:v>
      </x:c>
      <x:c r="R51" s="14" t="n">
        <x:f>IF(AND(Q51='Read Me + Evidence'!$K$11,OR(D51='Read Me + Evidence'!$H$7,D51='Read Me + Evidence'!$H$8,D51='Read Me + Evidence'!$H$9)),1,0)</x:f>
        <x:v>0</x:v>
      </x:c>
      <x:c r="S51" s="14" t="n">
        <x:f>IF(AND(Q51='Read Me + Evidence'!$K$11,D51='Read Me + Evidence'!$H$7),1,0)</x:f>
        <x:v>0</x:v>
      </x:c>
      <x:c r="T51" s="14" t="n">
        <x:f>IF(AND(Q51='Read Me + Evidence'!$K$11,D51&lt;&gt;'Read Me + Evidence'!$H$12),1,0)</x:f>
        <x:v>1</x:v>
      </x:c>
      <x:c r="U51" s="3" t="str"/>
    </x:row>
    <x:row r="52" ht="153" customHeight="1">
      <x:c r="A52" s="3" t="str">
        <x:v>CHAT-03</x:v>
      </x:c>
      <x:c r="B52" s="3" t="str">
        <x:v>Chat</x:v>
      </x:c>
      <x:c r="C52" s="3" t="str">
        <x:v>Invite</x:v>
      </x:c>
      <x:c r="D52" s="13" t="str">
        <x:v>Blocked prerequisite</x:v>
      </x:c>
      <x:c r="E52" s="3" t="str">
        <x:v>Runtime owns bounded invitation authority; Copy uses Home Clipboard and link is treated as sensitive.</x:v>
      </x:c>
      <x:c r="F52" s="12" t="str">
        <x:v>This Community view exposes no invitation control. A controlled host room is needed; no invitation token was created or copied.</x:v>
      </x:c>
      <x:c r="G52" s="3" t="str">
        <x:v>multi-runtime-controlled</x:v>
      </x:c>
      <x:c r="H52" s="3" t="str">
        <x:v>implemented-source</x:v>
      </x:c>
      <x:c r="I52" s="3" t="str">
        <x:v>People panel; Create join link; Copy</x:v>
      </x:c>
      <x:c r="J52" s="3" t="str">
        <x:v>1. Open access panel
2. Create/copy controlled invitation</x:v>
      </x:c>
      <x:c r="K52" s="3" t="str">
        <x:v>Controlled room; Do not capture invitation token</x:v>
      </x:c>
      <x:c r="L52" s="3" t="str"/>
      <x:c r="M52" s="3" t="str"/>
      <x:c r="N52" s="3" t="str">
        <x:v>E-046</x:v>
      </x:c>
      <x:c r="O52" s="3" t="str">
        <x:v>S-046</x:v>
      </x:c>
      <x:c r="P52" s="3" t="str">
        <x:v>chat-room</x:v>
      </x:c>
      <x:c r="Q52" s="3" t="str">
        <x:f>IF(OR(H52='Read Me + Evidence'!$K$6,H52='Read Me + Evidence'!$K$7,H52='Read Me + Evidence'!$K$8,P52='Read Me + Evidence'!$K$9,P52='Read Me + Evidence'!$K$10),'Read Me + Evidence'!$K$12,'Read Me + Evidence'!$K$11)</x:f>
        <x:v>GUI</x:v>
      </x:c>
      <x:c r="R52" s="14" t="n">
        <x:f>IF(AND(Q52='Read Me + Evidence'!$K$11,OR(D52='Read Me + Evidence'!$H$7,D52='Read Me + Evidence'!$H$8,D52='Read Me + Evidence'!$H$9)),1,0)</x:f>
        <x:v>0</x:v>
      </x:c>
      <x:c r="S52" s="14" t="n">
        <x:f>IF(AND(Q52='Read Me + Evidence'!$K$11,D52='Read Me + Evidence'!$H$7),1,0)</x:f>
        <x:v>0</x:v>
      </x:c>
      <x:c r="T52" s="14" t="n">
        <x:f>IF(AND(Q52='Read Me + Evidence'!$K$11,D52&lt;&gt;'Read Me + Evidence'!$H$12),1,0)</x:f>
        <x:v>1</x:v>
      </x:c>
      <x:c r="U52" s="3" t="str"/>
    </x:row>
    <x:row r="53" ht="153" customHeight="1">
      <x:c r="A53" s="3" t="str">
        <x:v>CHAT-04</x:v>
      </x:c>
      <x:c r="B53" s="3" t="str">
        <x:v>Chat</x:v>
      </x:c>
      <x:c r="C53" s="3" t="str">
        <x:v>Text send and delivery</x:v>
      </x:c>
      <x:c r="D53" s="13" t="str">
        <x:v>Blocked prerequisite</x:v>
      </x:c>
      <x:c r="E53" s="3" t="str">
        <x:v>Signed room messaging keeps Profile authorship distinct from Carrier transport and exposes honest delivery state.</x:v>
      </x:c>
      <x:c r="F53" s="12" t="str">
        <x:v>No message was sent. Delivery/offline tests need a consenting recipient and controlled conversation.</x:v>
      </x:c>
      <x:c r="G53" s="3" t="str">
        <x:v>multi-runtime-controlled</x:v>
      </x:c>
      <x:c r="H53" s="3" t="str">
        <x:v>implemented-source</x:v>
      </x:c>
      <x:c r="I53" s="3" t="str">
        <x:v>Composer; Send; Enter</x:v>
      </x:c>
      <x:c r="J53" s="3" t="str">
        <x:v>1. Send harmless message in controlled room
2. Observe delivery/offline/error</x:v>
      </x:c>
      <x:c r="K53" s="3" t="str">
        <x:v>Consenting test participants</x:v>
      </x:c>
      <x:c r="L53" s="3" t="str"/>
      <x:c r="M53" s="3" t="str"/>
      <x:c r="N53" s="3" t="str">
        <x:v>E-046</x:v>
      </x:c>
      <x:c r="O53" s="3" t="str">
        <x:v>S-047</x:v>
      </x:c>
      <x:c r="P53" s="3" t="str">
        <x:v>chat-room</x:v>
      </x:c>
      <x:c r="Q53" s="3" t="str">
        <x:f>IF(OR(H53='Read Me + Evidence'!$K$6,H53='Read Me + Evidence'!$K$7,H53='Read Me + Evidence'!$K$8,P53='Read Me + Evidence'!$K$9,P53='Read Me + Evidence'!$K$10),'Read Me + Evidence'!$K$12,'Read Me + Evidence'!$K$11)</x:f>
        <x:v>GUI</x:v>
      </x:c>
      <x:c r="R53" s="14" t="n">
        <x:f>IF(AND(Q53='Read Me + Evidence'!$K$11,OR(D53='Read Me + Evidence'!$H$7,D53='Read Me + Evidence'!$H$8,D53='Read Me + Evidence'!$H$9)),1,0)</x:f>
        <x:v>0</x:v>
      </x:c>
      <x:c r="S53" s="14" t="n">
        <x:f>IF(AND(Q53='Read Me + Evidence'!$K$11,D53='Read Me + Evidence'!$H$7),1,0)</x:f>
        <x:v>0</x:v>
      </x:c>
      <x:c r="T53" s="14" t="n">
        <x:f>IF(AND(Q53='Read Me + Evidence'!$K$11,D53&lt;&gt;'Read Me + Evidence'!$H$12),1,0)</x:f>
        <x:v>1</x:v>
      </x:c>
      <x:c r="U53" s="3" t="str"/>
    </x:row>
    <x:row r="54" ht="153" customHeight="1">
      <x:c r="A54" s="3" t="str">
        <x:v>CHAT-05</x:v>
      </x:c>
      <x:c r="B54" s="3" t="str">
        <x:v>Chat</x:v>
      </x:c>
      <x:c r="C54" s="3" t="str">
        <x:v>Emoji and composer</x:v>
      </x:c>
      <x:c r="D54" s="13" t="str">
        <x:v>Pass</x:v>
      </x:c>
      <x:c r="E54" s="3" t="str">
        <x:v>Choices insert into the active composer and preserve caret/focus; disabled state matches admission.</x:v>
      </x:c>
      <x:c r="F54" s="12" t="str">
        <x:v>Emoji opens the named Quick emoji picker. Wave inserts 👋 into the active composer and closes the picker. The unsent draft was then cleared; no send occurred.</x:v>
      </x:c>
      <x:c r="G54" s="3" t="str">
        <x:v>controlled-chat</x:v>
      </x:c>
      <x:c r="H54" s="3" t="str">
        <x:v>implemented-source</x:v>
      </x:c>
      <x:c r="I54" s="3" t="str">
        <x:v>Emoji toggle; All emoji choices; Escape</x:v>
      </x:c>
      <x:c r="J54" s="3" t="str">
        <x:v>1. Open picker
2. Insert representative symbols
3. Cancel/send test message</x:v>
      </x:c>
      <x:c r="K54" s="3" t="str">
        <x:v>Controlled conversation</x:v>
      </x:c>
      <x:c r="L54" s="3" t="str"/>
      <x:c r="M54" s="3" t="str"/>
      <x:c r="N54" s="3" t="str">
        <x:v>E-046</x:v>
      </x:c>
      <x:c r="O54" s="3" t="str">
        <x:v>S-048</x:v>
      </x:c>
      <x:c r="P54" s="3" t="str">
        <x:v>chat-room</x:v>
      </x:c>
      <x:c r="Q54" s="3" t="str">
        <x:f>IF(OR(H54='Read Me + Evidence'!$K$6,H54='Read Me + Evidence'!$K$7,H54='Read Me + Evidence'!$K$8,P54='Read Me + Evidence'!$K$9,P54='Read Me + Evidence'!$K$10),'Read Me + Evidence'!$K$12,'Read Me + Evidence'!$K$11)</x:f>
        <x:v>GUI</x:v>
      </x:c>
      <x:c r="R54" s="14" t="n">
        <x:f>IF(AND(Q54='Read Me + Evidence'!$K$11,OR(D54='Read Me + Evidence'!$H$7,D54='Read Me + Evidence'!$H$8,D54='Read Me + Evidence'!$H$9)),1,0)</x:f>
        <x:v>1</x:v>
      </x:c>
      <x:c r="S54" s="14" t="n">
        <x:f>IF(AND(Q54='Read Me + Evidence'!$K$11,D54='Read Me + Evidence'!$H$7),1,0)</x:f>
        <x:v>1</x:v>
      </x:c>
      <x:c r="T54" s="14" t="n">
        <x:f>IF(AND(Q54='Read Me + Evidence'!$K$11,D54&lt;&gt;'Read Me + Evidence'!$H$12),1,0)</x:f>
        <x:v>1</x:v>
      </x:c>
      <x:c r="U54" s="3" t="str"/>
    </x:row>
    <x:row r="55" ht="153" customHeight="1">
      <x:c r="A55" s="3" t="str">
        <x:v>CHAT-06</x:v>
      </x:c>
      <x:c r="B55" s="3" t="str">
        <x:v>Chat</x:v>
      </x:c>
      <x:c r="C55" s="3" t="str">
        <x:v>Attachments</x:v>
      </x:c>
      <x:c r="D55" s="13" t="str">
        <x:v>Fail</x:v>
      </x:c>
      <x:c r="E55" s="3" t="str">
        <x:v>Library returns a typed object; room authorization owns attachment access.</x:v>
      </x:c>
      <x:c r="F55" s="12" t="str">
        <x:v>The visible plus attachment control has no accessible name in the running Chat DOM; pointer activation produces no picker or feedback. Current static template differs from the rendered WASM UI and needs source-path review.</x:v>
      </x:c>
      <x:c r="G55" s="3" t="str">
        <x:v>multi-runtime-controlled</x:v>
      </x:c>
      <x:c r="H55" s="3" t="str">
        <x:v>implemented-source</x:v>
      </x:c>
      <x:c r="I55" s="3" t="str">
        <x:v>Attach; Library picker; Select; Cancel</x:v>
      </x:c>
      <x:c r="J55" s="3" t="str">
        <x:v>1. Select disposable file
2. Cancel once
3. Attach in controlled room</x:v>
      </x:c>
      <x:c r="K55" s="3" t="str">
        <x:v>Disposable file; Consenting recipient</x:v>
      </x:c>
      <x:c r="L55" s="3" t="str">
        <x:v>F-28</x:v>
      </x:c>
      <x:c r="M55" s="3" t="str"/>
      <x:c r="N55" s="3" t="str">
        <x:v>E-046</x:v>
      </x:c>
      <x:c r="O55" s="3" t="str">
        <x:v>S-049</x:v>
      </x:c>
      <x:c r="P55" s="3" t="str">
        <x:v>chat-room</x:v>
      </x:c>
      <x:c r="Q55" s="3" t="str">
        <x:f>IF(OR(H55='Read Me + Evidence'!$K$6,H55='Read Me + Evidence'!$K$7,H55='Read Me + Evidence'!$K$8,P55='Read Me + Evidence'!$K$9,P55='Read Me + Evidence'!$K$10),'Read Me + Evidence'!$K$12,'Read Me + Evidence'!$K$11)</x:f>
        <x:v>GUI</x:v>
      </x:c>
      <x:c r="R55" s="14" t="n">
        <x:f>IF(AND(Q55='Read Me + Evidence'!$K$11,OR(D55='Read Me + Evidence'!$H$7,D55='Read Me + Evidence'!$H$8,D55='Read Me + Evidence'!$H$9)),1,0)</x:f>
        <x:v>1</x:v>
      </x:c>
      <x:c r="S55" s="14" t="n">
        <x:f>IF(AND(Q55='Read Me + Evidence'!$K$11,D55='Read Me + Evidence'!$H$7),1,0)</x:f>
        <x:v>0</x:v>
      </x:c>
      <x:c r="T55" s="14" t="n">
        <x:f>IF(AND(Q55='Read Me + Evidence'!$K$11,D55&lt;&gt;'Read Me + Evidence'!$H$12),1,0)</x:f>
        <x:v>1</x:v>
      </x:c>
      <x:c r="U55" s="3" t="str"/>
    </x:row>
    <x:row r="56" ht="153" customHeight="1">
      <x:c r="A56" s="3" t="str">
        <x:v>CHAT-07</x:v>
      </x:c>
      <x:c r="B56" s="3" t="str">
        <x:v>Chat</x:v>
      </x:c>
      <x:c r="C56" s="3" t="str">
        <x:v>Participants and requests</x:v>
      </x:c>
      <x:c r="D56" s="13" t="str">
        <x:v>Partially observed</x:v>
      </x:c>
      <x:c r="E56" s="3" t="str">
        <x:v>Profile names, room access, and pending guests are distinct and permission changes are explicit.</x:v>
      </x:c>
      <x:c r="F56" s="12" t="str">
        <x:v>People panel opens and closes, showing one member, the current Profile marked You and active now. Requests/approval need a controlled peer.</x:v>
      </x:c>
      <x:c r="G56" s="3" t="str">
        <x:v>multi-runtime-controlled</x:v>
      </x:c>
      <x:c r="H56" s="3" t="str">
        <x:v>implemented-source</x:v>
      </x:c>
      <x:c r="I56" s="3" t="str">
        <x:v>People toggle; Close; Access settings; Join requests</x:v>
      </x:c>
      <x:c r="J56" s="3" t="str">
        <x:v>1. Inspect membership
2. Review test request in owning approval surface</x:v>
      </x:c>
      <x:c r="K56" s="3" t="str">
        <x:v>Controlled room</x:v>
      </x:c>
      <x:c r="L56" s="3" t="str"/>
      <x:c r="M56" s="3" t="str"/>
      <x:c r="N56" s="3" t="str">
        <x:v>E-046</x:v>
      </x:c>
      <x:c r="O56" s="3" t="str">
        <x:v>S-050</x:v>
      </x:c>
      <x:c r="P56" s="3" t="str">
        <x:v>chat-room</x:v>
      </x:c>
      <x:c r="Q56" s="3" t="str">
        <x:f>IF(OR(H56='Read Me + Evidence'!$K$6,H56='Read Me + Evidence'!$K$7,H56='Read Me + Evidence'!$K$8,P56='Read Me + Evidence'!$K$9,P56='Read Me + Evidence'!$K$10),'Read Me + Evidence'!$K$12,'Read Me + Evidence'!$K$11)</x:f>
        <x:v>GUI</x:v>
      </x:c>
      <x:c r="R56" s="14" t="n">
        <x:f>IF(AND(Q56='Read Me + Evidence'!$K$11,OR(D56='Read Me + Evidence'!$H$7,D56='Read Me + Evidence'!$H$8,D56='Read Me + Evidence'!$H$9)),1,0)</x:f>
        <x:v>1</x:v>
      </x:c>
      <x:c r="S56" s="14" t="n">
        <x:f>IF(AND(Q56='Read Me + Evidence'!$K$11,D56='Read Me + Evidence'!$H$7),1,0)</x:f>
        <x:v>0</x:v>
      </x:c>
      <x:c r="T56" s="14" t="n">
        <x:f>IF(AND(Q56='Read Me + Evidence'!$K$11,D56&lt;&gt;'Read Me + Evidence'!$H$12),1,0)</x:f>
        <x:v>1</x:v>
      </x:c>
      <x:c r="U56" s="3" t="str"/>
    </x:row>
    <x:row r="57" ht="153" customHeight="1">
      <x:c r="A57" s="3" t="str">
        <x:v>CHAT-08</x:v>
      </x:c>
      <x:c r="B57" s="3" t="str">
        <x:v>Chat</x:v>
      </x:c>
      <x:c r="C57" s="3" t="str">
        <x:v>Reopen and unavailable room</x:v>
      </x:c>
      <x:c r="D57" s="13" t="str">
        <x:v>Blocked prerequisite</x:v>
      </x:c>
      <x:c r="E57" s="3" t="str">
        <x:v>Existing history remains bound to the room; invalid admission fails clearly without joining another room.</x:v>
      </x:c>
      <x:c r="F57" s="12" t="str">
        <x:v>Room reopen and invalid/expired invitations need a controlled invitation; this audit preserved the existing Community history.</x:v>
      </x:c>
      <x:c r="G57" s="3" t="str">
        <x:v>multi-runtime-controlled</x:v>
      </x:c>
      <x:c r="H57" s="3" t="str">
        <x:v>implemented-source</x:v>
      </x:c>
      <x:c r="I57" s="3" t="str">
        <x:v>Close window; Reopen; Join invalid code</x:v>
      </x:c>
      <x:c r="J57" s="3" t="str">
        <x:v>1. Reopen test conversation
2. Inspect invalid/expired invite error</x:v>
      </x:c>
      <x:c r="K57" s="3" t="str">
        <x:v>Controlled conversation/invite</x:v>
      </x:c>
      <x:c r="L57" s="3" t="str"/>
      <x:c r="M57" s="3" t="str"/>
      <x:c r="N57" s="3" t="str">
        <x:v>E-046</x:v>
      </x:c>
      <x:c r="O57" s="3" t="str">
        <x:v>S-044</x:v>
      </x:c>
      <x:c r="P57" s="3" t="str">
        <x:v>chat-room</x:v>
      </x:c>
      <x:c r="Q57" s="3" t="str">
        <x:f>IF(OR(H57='Read Me + Evidence'!$K$6,H57='Read Me + Evidence'!$K$7,H57='Read Me + Evidence'!$K$8,P57='Read Me + Evidence'!$K$9,P57='Read Me + Evidence'!$K$10),'Read Me + Evidence'!$K$12,'Read Me + Evidence'!$K$11)</x:f>
        <x:v>GUI</x:v>
      </x:c>
      <x:c r="R57" s="14" t="n">
        <x:f>IF(AND(Q57='Read Me + Evidence'!$K$11,OR(D57='Read Me + Evidence'!$H$7,D57='Read Me + Evidence'!$H$8,D57='Read Me + Evidence'!$H$9)),1,0)</x:f>
        <x:v>0</x:v>
      </x:c>
      <x:c r="S57" s="14" t="n">
        <x:f>IF(AND(Q57='Read Me + Evidence'!$K$11,D57='Read Me + Evidence'!$H$7),1,0)</x:f>
        <x:v>0</x:v>
      </x:c>
      <x:c r="T57" s="14" t="n">
        <x:f>IF(AND(Q57='Read Me + Evidence'!$K$11,D57&lt;&gt;'Read Me + Evidence'!$H$12),1,0)</x:f>
        <x:v>1</x:v>
      </x:c>
      <x:c r="U57" s="3" t="str"/>
    </x:row>
    <x:row r="58" ht="153" customHeight="1">
      <x:c r="A58" s="3" t="str">
        <x:v>INBOX-01</x:v>
      </x:c>
      <x:c r="B58" s="3" t="str">
        <x:v>Inbox and approvals</x:v>
      </x:c>
      <x:c r="C58" s="3" t="str">
        <x:v>Empty/list/detail</x:v>
      </x:c>
      <x:c r="D58" s="13" t="str">
        <x:v>Partially observed</x:v>
      </x:c>
      <x:c r="E58" s="3" t="str">
        <x:v>List, detail, counts and empty states agree; selecting an entry does not approve it.</x:v>
      </x:c>
      <x:c r="F58" s="12" t="str">
        <x:v>Full Inbox shows one pending/needs-review Wallet price request with matching count and detail. Needs Review filter and Refresh keep the same selected item. Empty-state fixture is unavailable.</x:v>
      </x:c>
      <x:c r="G58" s="3" t="str">
        <x:v>safe-read-only</x:v>
      </x:c>
      <x:c r="H58" s="3" t="str">
        <x:v>implemented-source</x:v>
      </x:c>
      <x:c r="I58" s="3" t="str">
        <x:v>All Pending; Needs Review; Refresh; Entry selection</x:v>
      </x:c>
      <x:c r="J58" s="3" t="str">
        <x:v>1. Open empty Inbox
2. Inspect controlled entries
3. Change filters</x:v>
      </x:c>
      <x:c r="K58" s="3" t="str">
        <x:v>Signed-in Home</x:v>
      </x:c>
      <x:c r="L58" s="3" t="str"/>
      <x:c r="M58" s="3" t="str"/>
      <x:c r="N58" s="3" t="str">
        <x:v>E-046</x:v>
      </x:c>
      <x:c r="O58" s="3" t="str">
        <x:v>S-051</x:v>
      </x:c>
      <x:c r="P58" s="3" t="str">
        <x:v>inbox</x:v>
      </x:c>
      <x:c r="Q58" s="3" t="str">
        <x:f>IF(OR(H58='Read Me + Evidence'!$K$6,H58='Read Me + Evidence'!$K$7,H58='Read Me + Evidence'!$K$8,P58='Read Me + Evidence'!$K$9,P58='Read Me + Evidence'!$K$10),'Read Me + Evidence'!$K$12,'Read Me + Evidence'!$K$11)</x:f>
        <x:v>GUI</x:v>
      </x:c>
      <x:c r="R58" s="14" t="n">
        <x:f>IF(AND(Q58='Read Me + Evidence'!$K$11,OR(D58='Read Me + Evidence'!$H$7,D58='Read Me + Evidence'!$H$8,D58='Read Me + Evidence'!$H$9)),1,0)</x:f>
        <x:v>1</x:v>
      </x:c>
      <x:c r="S58" s="14" t="n">
        <x:f>IF(AND(Q58='Read Me + Evidence'!$K$11,D58='Read Me + Evidence'!$H$7),1,0)</x:f>
        <x:v>0</x:v>
      </x:c>
      <x:c r="T58" s="14" t="n">
        <x:f>IF(AND(Q58='Read Me + Evidence'!$K$11,D58&lt;&gt;'Read Me + Evidence'!$H$12),1,0)</x:f>
        <x:v>1</x:v>
      </x:c>
      <x:c r="U58" s="3" t="str"/>
    </x:row>
    <x:row r="59" ht="153" customHeight="1">
      <x:c r="A59" s="3" t="str">
        <x:v>INBOX-02</x:v>
      </x:c>
      <x:c r="B59" s="3" t="str">
        <x:v>Inbox and approvals</x:v>
      </x:c>
      <x:c r="C59" s="3" t="str">
        <x:v>Room and contact requests</x:v>
      </x:c>
      <x:c r="D59" s="13" t="str">
        <x:v>Blocked prerequisite</x:v>
      </x:c>
      <x:c r="E59" s="3" t="str">
        <x:v>Runtime applies the exact request once and refreshes both Inbox and owning app.</x:v>
      </x:c>
      <x:c r="F59" s="12" t="str">
        <x:v>No consenting room/contact test request exists in this installation.</x:v>
      </x:c>
      <x:c r="G59" s="3" t="str">
        <x:v>multi-runtime-controlled</x:v>
      </x:c>
      <x:c r="H59" s="3" t="str">
        <x:v>implemented-source</x:v>
      </x:c>
      <x:c r="I59" s="3" t="str">
        <x:v>Approve/Deny; Accept/Decline; Open</x:v>
      </x:c>
      <x:c r="J59" s="3" t="str">
        <x:v>1. Inspect test request
2. Act only with peer consent</x:v>
      </x:c>
      <x:c r="K59" s="3" t="str">
        <x:v>Controlled room/contact request</x:v>
      </x:c>
      <x:c r="L59" s="3" t="str"/>
      <x:c r="M59" s="3" t="str"/>
      <x:c r="N59" s="3" t="str">
        <x:v>E-046</x:v>
      </x:c>
      <x:c r="O59" s="3" t="str">
        <x:v>S-052</x:v>
      </x:c>
      <x:c r="P59" s="3" t="str">
        <x:v>inbox</x:v>
      </x:c>
      <x:c r="Q59" s="3" t="str">
        <x:f>IF(OR(H59='Read Me + Evidence'!$K$6,H59='Read Me + Evidence'!$K$7,H59='Read Me + Evidence'!$K$8,P59='Read Me + Evidence'!$K$9,P59='Read Me + Evidence'!$K$10),'Read Me + Evidence'!$K$12,'Read Me + Evidence'!$K$11)</x:f>
        <x:v>GUI</x:v>
      </x:c>
      <x:c r="R59" s="14" t="n">
        <x:f>IF(AND(Q59='Read Me + Evidence'!$K$11,OR(D59='Read Me + Evidence'!$H$7,D59='Read Me + Evidence'!$H$8,D59='Read Me + Evidence'!$H$9)),1,0)</x:f>
        <x:v>0</x:v>
      </x:c>
      <x:c r="S59" s="14" t="n">
        <x:f>IF(AND(Q59='Read Me + Evidence'!$K$11,D59='Read Me + Evidence'!$H$7),1,0)</x:f>
        <x:v>0</x:v>
      </x:c>
      <x:c r="T59" s="14" t="n">
        <x:f>IF(AND(Q59='Read Me + Evidence'!$K$11,D59&lt;&gt;'Read Me + Evidence'!$H$12),1,0)</x:f>
        <x:v>1</x:v>
      </x:c>
      <x:c r="U59" s="3" t="str"/>
    </x:row>
    <x:row r="60" ht="153" customHeight="1">
      <x:c r="A60" s="3" t="str">
        <x:v>INBOX-03</x:v>
      </x:c>
      <x:c r="B60" s="3" t="str">
        <x:v>Inbox and approvals</x:v>
      </x:c>
      <x:c r="C60" s="3" t="str">
        <x:v>Wallet requests</x:v>
      </x:c>
      <x:c r="D60" s="13" t="str">
        <x:v>Blocked prerequisite</x:v>
      </x:c>
      <x:c r="E60" s="3" t="str">
        <x:v>Trusted Inbox/Wallet uses exact Runtime request and passkey consent; connector performs no independent approval.</x:v>
      </x:c>
      <x:c r="F60" s="12" t="str">
        <x:v>There is no controlled transaction request or funded test account; no signing or approval occurred.</x:v>
      </x:c>
      <x:c r="G60" s="3" t="str">
        <x:v>controlled-financial</x:v>
      </x:c>
      <x:c r="H60" s="3" t="str">
        <x:v>implemented-source</x:v>
      </x:c>
      <x:c r="I60" s="3" t="str">
        <x:v>Approve; Review in Wallet; Reject</x:v>
      </x:c>
      <x:c r="J60" s="3" t="str">
        <x:v>1. Inspect exact amount/account/origin
2. Reject or approve only controlled transaction</x:v>
      </x:c>
      <x:c r="K60" s="3" t="str">
        <x:v>Test Wallet request; Explicit financial approval</x:v>
      </x:c>
      <x:c r="L60" s="3" t="str"/>
      <x:c r="M60" s="3" t="str"/>
      <x:c r="N60" s="3" t="str">
        <x:v>E-046</x:v>
      </x:c>
      <x:c r="O60" s="3" t="str">
        <x:v>S-053</x:v>
      </x:c>
      <x:c r="P60" s="3" t="str">
        <x:v>inbox</x:v>
      </x:c>
      <x:c r="Q60" s="3" t="str">
        <x:f>IF(OR(H60='Read Me + Evidence'!$K$6,H60='Read Me + Evidence'!$K$7,H60='Read Me + Evidence'!$K$8,P60='Read Me + Evidence'!$K$9,P60='Read Me + Evidence'!$K$10),'Read Me + Evidence'!$K$12,'Read Me + Evidence'!$K$11)</x:f>
        <x:v>GUI</x:v>
      </x:c>
      <x:c r="R60" s="14" t="n">
        <x:f>IF(AND(Q60='Read Me + Evidence'!$K$11,OR(D60='Read Me + Evidence'!$H$7,D60='Read Me + Evidence'!$H$8,D60='Read Me + Evidence'!$H$9)),1,0)</x:f>
        <x:v>0</x:v>
      </x:c>
      <x:c r="S60" s="14" t="n">
        <x:f>IF(AND(Q60='Read Me + Evidence'!$K$11,D60='Read Me + Evidence'!$H$7),1,0)</x:f>
        <x:v>0</x:v>
      </x:c>
      <x:c r="T60" s="14" t="n">
        <x:f>IF(AND(Q60='Read Me + Evidence'!$K$11,D60&lt;&gt;'Read Me + Evidence'!$H$12),1,0)</x:f>
        <x:v>1</x:v>
      </x:c>
      <x:c r="U60" s="3" t="str"/>
    </x:row>
    <x:row r="61" ht="153" customHeight="1">
      <x:c r="A61" s="3" t="str">
        <x:v>INBOX-04</x:v>
      </x:c>
      <x:c r="B61" s="3" t="str">
        <x:v>Inbox and approvals</x:v>
      </x:c>
      <x:c r="C61" s="3" t="str">
        <x:v>Capability requests</x:v>
      </x:c>
      <x:c r="D61" s="13" t="str">
        <x:v>Blocked prerequisite</x:v>
      </x:c>
      <x:c r="E61" s="3" t="str">
        <x:v>Runtime capability admission remains authoritative; availability or discovery is not permission.</x:v>
      </x:c>
      <x:c r="F61" s="12" t="str">
        <x:v>No disposable capsule capability request exists; current price request was preserved.</x:v>
      </x:c>
      <x:c r="G61" s="3" t="str">
        <x:v>controlled-permission</x:v>
      </x:c>
      <x:c r="H61" s="3" t="str">
        <x:v>implemented-source</x:v>
      </x:c>
      <x:c r="I61" s="3" t="str">
        <x:v>Approve; Deny</x:v>
      </x:c>
      <x:c r="J61" s="3" t="str">
        <x:v>1. Inspect exact request scope/expiry
2. Deny controlled request</x:v>
      </x:c>
      <x:c r="K61" s="3" t="str">
        <x:v>Controlled capsule request</x:v>
      </x:c>
      <x:c r="L61" s="3" t="str"/>
      <x:c r="M61" s="3" t="str"/>
      <x:c r="N61" s="3" t="str">
        <x:v>E-046</x:v>
      </x:c>
      <x:c r="O61" s="3" t="str">
        <x:v>S-054</x:v>
      </x:c>
      <x:c r="P61" s="3" t="str">
        <x:v>inbox</x:v>
      </x:c>
      <x:c r="Q61" s="3" t="str">
        <x:f>IF(OR(H61='Read Me + Evidence'!$K$6,H61='Read Me + Evidence'!$K$7,H61='Read Me + Evidence'!$K$8,P61='Read Me + Evidence'!$K$9,P61='Read Me + Evidence'!$K$10),'Read Me + Evidence'!$K$12,'Read Me + Evidence'!$K$11)</x:f>
        <x:v>GUI</x:v>
      </x:c>
      <x:c r="R61" s="14" t="n">
        <x:f>IF(AND(Q61='Read Me + Evidence'!$K$11,OR(D61='Read Me + Evidence'!$H$7,D61='Read Me + Evidence'!$H$8,D61='Read Me + Evidence'!$H$9)),1,0)</x:f>
        <x:v>0</x:v>
      </x:c>
      <x:c r="S61" s="14" t="n">
        <x:f>IF(AND(Q61='Read Me + Evidence'!$K$11,D61='Read Me + Evidence'!$H$7),1,0)</x:f>
        <x:v>0</x:v>
      </x:c>
      <x:c r="T61" s="14" t="n">
        <x:f>IF(AND(Q61='Read Me + Evidence'!$K$11,D61&lt;&gt;'Read Me + Evidence'!$H$12),1,0)</x:f>
        <x:v>1</x:v>
      </x:c>
      <x:c r="U61" s="3" t="str"/>
    </x:row>
    <x:row r="62" ht="153" customHeight="1">
      <x:c r="A62" s="3" t="str">
        <x:v>INBOX-05</x:v>
      </x:c>
      <x:c r="B62" s="3" t="str">
        <x:v>Inbox and approvals</x:v>
      </x:c>
      <x:c r="C62" s="3" t="str">
        <x:v>System action requests</x:v>
      </x:c>
      <x:c r="D62" s="13" t="str">
        <x:v>Blocked prerequisite</x:v>
      </x:c>
      <x:c r="E62" s="3" t="str">
        <x:v>Result binds request, principal, resource and method exactly; denied operation dispatches nothing.</x:v>
      </x:c>
      <x:c r="F62" s="12" t="str">
        <x:v>No controlled privileged System request was dispatched. Inspection does not authorize a system mutation.</x:v>
      </x:c>
      <x:c r="G62" s="3" t="str">
        <x:v>privileged-operator</x:v>
      </x:c>
      <x:c r="H62" s="3" t="str">
        <x:v>implemented-source</x:v>
      </x:c>
      <x:c r="I62" s="3" t="str">
        <x:v>Approve; Deny; Open</x:v>
      </x:c>
      <x:c r="J62" s="3" t="str">
        <x:v>1. Inspect previewed System request
2. Deny or controlled approval</x:v>
      </x:c>
      <x:c r="K62" s="3" t="str">
        <x:v>Controlled technical request</x:v>
      </x:c>
      <x:c r="L62" s="3" t="str"/>
      <x:c r="M62" s="3" t="str"/>
      <x:c r="N62" s="3" t="str">
        <x:v>E-046</x:v>
      </x:c>
      <x:c r="O62" s="3" t="str">
        <x:v>S-055</x:v>
      </x:c>
      <x:c r="P62" s="3" t="str">
        <x:v>inbox</x:v>
      </x:c>
      <x:c r="Q62" s="3" t="str">
        <x:f>IF(OR(H62='Read Me + Evidence'!$K$6,H62='Read Me + Evidence'!$K$7,H62='Read Me + Evidence'!$K$8,P62='Read Me + Evidence'!$K$9,P62='Read Me + Evidence'!$K$10),'Read Me + Evidence'!$K$12,'Read Me + Evidence'!$K$11)</x:f>
        <x:v>GUI</x:v>
      </x:c>
      <x:c r="R62" s="14" t="n">
        <x:f>IF(AND(Q62='Read Me + Evidence'!$K$11,OR(D62='Read Me + Evidence'!$H$7,D62='Read Me + Evidence'!$H$8,D62='Read Me + Evidence'!$H$9)),1,0)</x:f>
        <x:v>0</x:v>
      </x:c>
      <x:c r="S62" s="14" t="n">
        <x:f>IF(AND(Q62='Read Me + Evidence'!$K$11,D62='Read Me + Evidence'!$H$7),1,0)</x:f>
        <x:v>0</x:v>
      </x:c>
      <x:c r="T62" s="14" t="n">
        <x:f>IF(AND(Q62='Read Me + Evidence'!$K$11,D62&lt;&gt;'Read Me + Evidence'!$H$12),1,0)</x:f>
        <x:v>1</x:v>
      </x:c>
      <x:c r="U62" s="3" t="str"/>
    </x:row>
    <x:row r="63" ht="153" customHeight="1">
      <x:c r="A63" s="3" t="str">
        <x:v>INBOX-06</x:v>
      </x:c>
      <x:c r="B63" s="3" t="str">
        <x:v>Inbox and approvals</x:v>
      </x:c>
      <x:c r="C63" s="3" t="str">
        <x:v>Price-source approval</x:v>
      </x:c>
      <x:c r="D63" s="13" t="str">
        <x:v>Partially observed</x:v>
      </x:c>
      <x:c r="E63" s="3" t="str">
        <x:v>External HTTP price access needs explicit policy approval, separate from balance/signing.</x:v>
      </x:c>
      <x:c r="F63" s="12" t="str">
        <x:v>Price request states the CoinGecko access and five requested assets. Open reaches full Wallet. Approve/Reject remain untouched because the existing request belongs to the user.</x:v>
      </x:c>
      <x:c r="G63" s="3" t="str">
        <x:v>controlled-network</x:v>
      </x:c>
      <x:c r="H63" s="3" t="str">
        <x:v>implemented-source</x:v>
      </x:c>
      <x:c r="I63" s="3" t="str">
        <x:v>Approve; Reject</x:v>
      </x:c>
      <x:c r="J63" s="3" t="str">
        <x:v>1. Inspect proposed external price access
2. Reject unless explicitly authorized</x:v>
      </x:c>
      <x:c r="K63" s="3" t="str">
        <x:v>Test price request; No real funds action</x:v>
      </x:c>
      <x:c r="L63" s="3" t="str"/>
      <x:c r="M63" s="3" t="str"/>
      <x:c r="N63" s="3" t="str">
        <x:v>E-046</x:v>
      </x:c>
      <x:c r="O63" s="3" t="str">
        <x:v>S-056</x:v>
      </x:c>
      <x:c r="P63" s="3" t="str">
        <x:v>inbox</x:v>
      </x:c>
      <x:c r="Q63" s="3" t="str">
        <x:f>IF(OR(H63='Read Me + Evidence'!$K$6,H63='Read Me + Evidence'!$K$7,H63='Read Me + Evidence'!$K$8,P63='Read Me + Evidence'!$K$9,P63='Read Me + Evidence'!$K$10),'Read Me + Evidence'!$K$12,'Read Me + Evidence'!$K$11)</x:f>
        <x:v>GUI</x:v>
      </x:c>
      <x:c r="R63" s="14" t="n">
        <x:f>IF(AND(Q63='Read Me + Evidence'!$K$11,OR(D63='Read Me + Evidence'!$H$7,D63='Read Me + Evidence'!$H$8,D63='Read Me + Evidence'!$H$9)),1,0)</x:f>
        <x:v>1</x:v>
      </x:c>
      <x:c r="S63" s="14" t="n">
        <x:f>IF(AND(Q63='Read Me + Evidence'!$K$11,D63='Read Me + Evidence'!$H$7),1,0)</x:f>
        <x:v>0</x:v>
      </x:c>
      <x:c r="T63" s="14" t="n">
        <x:f>IF(AND(Q63='Read Me + Evidence'!$K$11,D63&lt;&gt;'Read Me + Evidence'!$H$12),1,0)</x:f>
        <x:v>1</x:v>
      </x:c>
      <x:c r="U63" s="3" t="str"/>
    </x:row>
    <x:row r="64" ht="153" customHeight="1">
      <x:c r="A64" s="3" t="str">
        <x:v>INBOX-07</x:v>
      </x:c>
      <x:c r="B64" s="3" t="str">
        <x:v>Inbox and approvals</x:v>
      </x:c>
      <x:c r="C64" s="3" t="str">
        <x:v>Dismiss/replay</x:v>
      </x:c>
      <x:c r="D64" s="13" t="str">
        <x:v>Blocked prerequisite</x:v>
      </x:c>
      <x:c r="E64" s="3" t="str">
        <x:v>Notice dismissal stays separate from approval; stale/repeated activation cannot duplicate effect.</x:v>
      </x:c>
      <x:c r="F64" s="12" t="str">
        <x:v>The sole existing request is not disposable; dismissal and replay need a controlled completed request.</x:v>
      </x:c>
      <x:c r="G64" s="3" t="str">
        <x:v>controlled-notification</x:v>
      </x:c>
      <x:c r="H64" s="3" t="str">
        <x:v>implemented-source</x:v>
      </x:c>
      <x:c r="I64" s="3" t="str">
        <x:v>Dismiss; Refresh; Reopen rail</x:v>
      </x:c>
      <x:c r="J64" s="3" t="str">
        <x:v>1. Dismiss test notice
2. Revisit prior completed request</x:v>
      </x:c>
      <x:c r="K64" s="3" t="str">
        <x:v>Disposable notification/request</x:v>
      </x:c>
      <x:c r="L64" s="3" t="str"/>
      <x:c r="M64" s="3" t="str"/>
      <x:c r="N64" s="3" t="str">
        <x:v>E-046</x:v>
      </x:c>
      <x:c r="O64" s="3" t="str">
        <x:v>S-057</x:v>
      </x:c>
      <x:c r="P64" s="3" t="str">
        <x:v>inbox</x:v>
      </x:c>
      <x:c r="Q64" s="3" t="str">
        <x:f>IF(OR(H64='Read Me + Evidence'!$K$6,H64='Read Me + Evidence'!$K$7,H64='Read Me + Evidence'!$K$8,P64='Read Me + Evidence'!$K$9,P64='Read Me + Evidence'!$K$10),'Read Me + Evidence'!$K$12,'Read Me + Evidence'!$K$11)</x:f>
        <x:v>GUI</x:v>
      </x:c>
      <x:c r="R64" s="14" t="n">
        <x:f>IF(AND(Q64='Read Me + Evidence'!$K$11,OR(D64='Read Me + Evidence'!$H$7,D64='Read Me + Evidence'!$H$8,D64='Read Me + Evidence'!$H$9)),1,0)</x:f>
        <x:v>0</x:v>
      </x:c>
      <x:c r="S64" s="14" t="n">
        <x:f>IF(AND(Q64='Read Me + Evidence'!$K$11,D64='Read Me + Evidence'!$H$7),1,0)</x:f>
        <x:v>0</x:v>
      </x:c>
      <x:c r="T64" s="14" t="n">
        <x:f>IF(AND(Q64='Read Me + Evidence'!$K$11,D64&lt;&gt;'Read Me + Evidence'!$H$12),1,0)</x:f>
        <x:v>1</x:v>
      </x:c>
      <x:c r="U64" s="3" t="str"/>
    </x:row>
    <x:row r="65" ht="153" customHeight="1">
      <x:c r="A65" s="3" t="str">
        <x:v>LIB-01</x:v>
      </x:c>
      <x:c r="B65" s="3" t="str">
        <x:v>Library</x:v>
      </x:c>
      <x:c r="C65" s="3" t="str">
        <x:v>Roots and navigation</x:v>
      </x:c>
      <x:c r="D65" s="13" t="str">
        <x:v>Pass</x:v>
      </x:c>
      <x:c r="E65" s="3" t="str">
        <x:v>Runtime roots govern access; private/public/Trash/WebSpaces and unavailable roots are clear.</x:v>
      </x:c>
      <x:c r="F65" s="12" t="str">
        <x:v>All nine roots opened under Runtime ownership (E044). Disposable audit folder navigation, Back/Forward and Up now pass after F24 repair (E059). Existing mount contents and user files preserved.</x:v>
      </x:c>
      <x:c r="G65" s="3" t="str">
        <x:v>safe-read-only</x:v>
      </x:c>
      <x:c r="H65" s="3" t="str">
        <x:v>implemented-source</x:v>
      </x:c>
      <x:c r="I65" s="3" t="str">
        <x:v>Places; Back; Forward; Up; Breadcrumbs; New Window</x:v>
      </x:c>
      <x:c r="J65" s="3" t="str">
        <x:v>1. Open each available root
2. Navigate a disposable folder
3. Return</x:v>
      </x:c>
      <x:c r="K65" s="3" t="str">
        <x:v>Signed-in Home</x:v>
      </x:c>
      <x:c r="L65" s="3" t="str">
        <x:v>F-24</x:v>
      </x:c>
      <x:c r="M65" s="3" t="str"/>
      <x:c r="N65" s="3" t="str">
        <x:v>E-044; E-059</x:v>
      </x:c>
      <x:c r="O65" s="3" t="str">
        <x:v>S-058</x:v>
      </x:c>
      <x:c r="P65" s="3" t="str">
        <x:v>library</x:v>
      </x:c>
      <x:c r="Q65" s="3" t="str">
        <x:f>IF(OR(H65='Read Me + Evidence'!$K$6,H65='Read Me + Evidence'!$K$7,H65='Read Me + Evidence'!$K$8,P65='Read Me + Evidence'!$K$9,P65='Read Me + Evidence'!$K$10),'Read Me + Evidence'!$K$12,'Read Me + Evidence'!$K$11)</x:f>
        <x:v>GUI</x:v>
      </x:c>
      <x:c r="R65" s="14" t="n">
        <x:f>IF(AND(Q65='Read Me + Evidence'!$K$11,OR(D65='Read Me + Evidence'!$H$7,D65='Read Me + Evidence'!$H$8,D65='Read Me + Evidence'!$H$9)),1,0)</x:f>
        <x:v>1</x:v>
      </x:c>
      <x:c r="S65" s="14" t="n">
        <x:f>IF(AND(Q65='Read Me + Evidence'!$K$11,D65='Read Me + Evidence'!$H$7),1,0)</x:f>
        <x:v>1</x:v>
      </x:c>
      <x:c r="T65" s="14" t="n">
        <x:f>IF(AND(Q65='Read Me + Evidence'!$K$11,D65&lt;&gt;'Read Me + Evidence'!$H$12),1,0)</x:f>
        <x:v>1</x:v>
      </x:c>
      <x:c r="U65" s="3" t="str"/>
    </x:row>
    <x:row r="66" ht="153" customHeight="1">
      <x:c r="A66" s="3" t="str">
        <x:v>LIB-02</x:v>
      </x:c>
      <x:c r="B66" s="3" t="str">
        <x:v>Library</x:v>
      </x:c>
      <x:c r="C66" s="3" t="str">
        <x:v>Search and sort</x:v>
      </x:c>
      <x:c r="D66" s="13" t="str">
        <x:v>Pass</x:v>
      </x:c>
      <x:c r="E66" s="3" t="str">
        <x:v>Filtered empty state differs from an empty directory; ordering is stable and labels fit.</x:v>
      </x:c>
      <x:c r="F66" s="12" t="str">
        <x:v>Present/absent Search states E044 plus Name ascending/descending, Date Modified, Type and Size sorting E061 pass on small audit fixtures. Folders stay first; tied files sort by name. Original Name/Ascending/Details restored. Search input accessibility is separately tracked as F48.</x:v>
      </x:c>
      <x:c r="G66" s="3" t="str">
        <x:v>safe-read-only</x:v>
      </x:c>
      <x:c r="H66" s="3" t="str">
        <x:v>implemented-source</x:v>
      </x:c>
      <x:c r="I66" s="3" t="str">
        <x:v>Search toggle; Search; Name/Modified/Type/Size; Ascending/Descending</x:v>
      </x:c>
      <x:c r="J66" s="3" t="str">
        <x:v>1. Search present/absent name
2. Exercise sort choices on small fixture</x:v>
      </x:c>
      <x:c r="K66" s="3" t="str">
        <x:v>Signed-in Home</x:v>
      </x:c>
      <x:c r="L66" s="3" t="str">
        <x:v>F-48</x:v>
      </x:c>
      <x:c r="M66" s="3" t="str"/>
      <x:c r="N66" s="3" t="str">
        <x:v>E-044; E-061</x:v>
      </x:c>
      <x:c r="O66" s="3" t="str">
        <x:v>S-059</x:v>
      </x:c>
      <x:c r="P66" s="3" t="str">
        <x:v>library</x:v>
      </x:c>
      <x:c r="Q66" s="3" t="str">
        <x:f>IF(OR(H66='Read Me + Evidence'!$K$6,H66='Read Me + Evidence'!$K$7,H66='Read Me + Evidence'!$K$8,P66='Read Me + Evidence'!$K$9,P66='Read Me + Evidence'!$K$10),'Read Me + Evidence'!$K$12,'Read Me + Evidence'!$K$11)</x:f>
        <x:v>GUI</x:v>
      </x:c>
      <x:c r="R66" s="14" t="n">
        <x:f>IF(AND(Q66='Read Me + Evidence'!$K$11,OR(D66='Read Me + Evidence'!$H$7,D66='Read Me + Evidence'!$H$8,D66='Read Me + Evidence'!$H$9)),1,0)</x:f>
        <x:v>1</x:v>
      </x:c>
      <x:c r="S66" s="14" t="n">
        <x:f>IF(AND(Q66='Read Me + Evidence'!$K$11,D66='Read Me + Evidence'!$H$7),1,0)</x:f>
        <x:v>1</x:v>
      </x:c>
      <x:c r="T66" s="14" t="n">
        <x:f>IF(AND(Q66='Read Me + Evidence'!$K$11,D66&lt;&gt;'Read Me + Evidence'!$H$12),1,0)</x:f>
        <x:v>1</x:v>
      </x:c>
      <x:c r="U66" s="3" t="str"/>
    </x:row>
    <x:row r="67" ht="153" customHeight="1">
      <x:c r="A67" s="3" t="str">
        <x:v>LIB-03</x:v>
      </x:c>
      <x:c r="B67" s="3" t="str">
        <x:v>Library</x:v>
      </x:c>
      <x:c r="C67" s="3" t="str">
        <x:v>Views and presentation</x:v>
      </x:c>
      <x:c r="D67" s="13" t="str">
        <x:v>Fail</x:v>
      </x:c>
      <x:c r="E67" s="3" t="str">
        <x:v>View changes preserve selection/current folder, keyboard reachability and readable columns.</x:v>
      </x:c>
      <x:c r="F67" s="12" t="str">
        <x:v>Icons/Details keeps Documents and its five items through narrow and wide app sizes. At 680 px, Modified/Size/Type headers remain while their values are hidden (F-57). Restoring width restores metadata. Column reordering remains untested.</x:v>
      </x:c>
      <x:c r="G67" s="3" t="str">
        <x:v>controlled-layout</x:v>
      </x:c>
      <x:c r="H67" s="3" t="str">
        <x:v>implemented-source</x:v>
      </x:c>
      <x:c r="I67" s="3" t="str">
        <x:v>Icons; Details; Show Hidden; Sidebar resize/reorder; Refresh</x:v>
      </x:c>
      <x:c r="J67" s="3" t="str">
        <x:v>1. Switch views
2. Inspect safe hidden metadata policy
3. Resize/reorder then restore</x:v>
      </x:c>
      <x:c r="K67" s="3" t="str">
        <x:v>Disposable layout only</x:v>
      </x:c>
      <x:c r="L67" s="3" t="str">
        <x:v>F-57</x:v>
      </x:c>
      <x:c r="M67" s="3" t="str"/>
      <x:c r="N67" s="3" t="str">
        <x:v>E-044; E-083</x:v>
      </x:c>
      <x:c r="O67" s="3" t="str">
        <x:v>S-059</x:v>
      </x:c>
      <x:c r="P67" s="3" t="str">
        <x:v>library</x:v>
      </x:c>
      <x:c r="Q67" s="3" t="str">
        <x:f>IF(OR(H67='Read Me + Evidence'!$K$6,H67='Read Me + Evidence'!$K$7,H67='Read Me + Evidence'!$K$8,P67='Read Me + Evidence'!$K$9,P67='Read Me + Evidence'!$K$10),'Read Me + Evidence'!$K$12,'Read Me + Evidence'!$K$11)</x:f>
        <x:v>GUI</x:v>
      </x:c>
      <x:c r="R67" s="14" t="n">
        <x:f>IF(AND(Q67='Read Me + Evidence'!$K$11,OR(D67='Read Me + Evidence'!$H$7,D67='Read Me + Evidence'!$H$8,D67='Read Me + Evidence'!$H$9)),1,0)</x:f>
        <x:v>1</x:v>
      </x:c>
      <x:c r="S67" s="14" t="n">
        <x:f>IF(AND(Q67='Read Me + Evidence'!$K$11,D67='Read Me + Evidence'!$H$7),1,0)</x:f>
        <x:v>0</x:v>
      </x:c>
      <x:c r="T67" s="14" t="n">
        <x:f>IF(AND(Q67='Read Me + Evidence'!$K$11,D67&lt;&gt;'Read Me + Evidence'!$H$12),1,0)</x:f>
        <x:v>1</x:v>
      </x:c>
      <x:c r="U67" s="3" t="str"/>
    </x:row>
    <x:row r="68" ht="153" customHeight="1">
      <x:c r="A68" s="3" t="str">
        <x:v>LIB-04</x:v>
      </x:c>
      <x:c r="B68" s="3" t="str">
        <x:v>Library</x:v>
      </x:c>
      <x:c r="C68" s="3" t="str">
        <x:v>Create folder/document</x:v>
      </x:c>
      <x:c r="D68" s="13" t="str">
        <x:v>Fail</x:v>
      </x:c>
      <x:c r="E68" s="3" t="str">
        <x:v>Runtime validates names/ownership; failures leave no ambiguous duplicate.</x:v>
      </x:c>
      <x:c r="F68" s="12" t="str">
        <x:v>Audit folder and fixture creation pass. Corrected-name retry creates exactly one item. Runtime create-only protection preserves an existing file and reports collisions clearly. E-108 confirms the current managed Runtime selects the installed object-provider; remaining guidance and accessibility work stay tracked by F-25 and F-48.</x:v>
      </x:c>
      <x:c r="G68" s="3" t="str">
        <x:v>controlled-files</x:v>
      </x:c>
      <x:c r="H68" s="3" t="str">
        <x:v>implemented-source</x:v>
      </x:c>
      <x:c r="I68" s="3" t="str">
        <x:v>New Folder; New Text Document</x:v>
      </x:c>
      <x:c r="J68" s="3" t="str">
        <x:v>1. Create under audit fixture only
2. Test duplicate/invalid name</x:v>
      </x:c>
      <x:c r="K68" s="3" t="str">
        <x:v>Disposable audit folder</x:v>
      </x:c>
      <x:c r="L68" s="3" t="str">
        <x:v>F-25; F-26; F-48</x:v>
      </x:c>
      <x:c r="M68" s="3" t="str"/>
      <x:c r="N68" s="3" t="str">
        <x:v>E-044; E-059; E-067; E-108</x:v>
      </x:c>
      <x:c r="O68" s="3" t="str">
        <x:v>S-060, S-061</x:v>
      </x:c>
      <x:c r="P68" s="3" t="str">
        <x:v>library</x:v>
      </x:c>
      <x:c r="Q68" s="3" t="str">
        <x:f>IF(OR(H68='Read Me + Evidence'!$K$6,H68='Read Me + Evidence'!$K$7,H68='Read Me + Evidence'!$K$8,P68='Read Me + Evidence'!$K$9,P68='Read Me + Evidence'!$K$10),'Read Me + Evidence'!$K$12,'Read Me + Evidence'!$K$11)</x:f>
        <x:v>GUI</x:v>
      </x:c>
      <x:c r="R68" s="14" t="n">
        <x:f>IF(AND(Q68='Read Me + Evidence'!$K$11,OR(D68='Read Me + Evidence'!$H$7,D68='Read Me + Evidence'!$H$8,D68='Read Me + Evidence'!$H$9)),1,0)</x:f>
        <x:v>1</x:v>
      </x:c>
      <x:c r="S68" s="14" t="n">
        <x:f>IF(AND(Q68='Read Me + Evidence'!$K$11,D68='Read Me + Evidence'!$H$7),1,0)</x:f>
        <x:v>0</x:v>
      </x:c>
      <x:c r="T68" s="14" t="n">
        <x:f>IF(AND(Q68='Read Me + Evidence'!$K$11,D68&lt;&gt;'Read Me + Evidence'!$H$12),1,0)</x:f>
        <x:v>1</x:v>
      </x:c>
      <x:c r="U68" s="3" t="str"/>
    </x:row>
    <x:row r="69" ht="153" customHeight="1">
      <x:c r="A69" s="3" t="str">
        <x:v>LIB-05</x:v>
      </x:c>
      <x:c r="B69" s="3" t="str">
        <x:v>Library</x:v>
      </x:c>
      <x:c r="C69" s="3" t="str">
        <x:v>Upload and drop</x:v>
      </x:c>
      <x:c r="D69" s="13" t="str">
        <x:v>Blocked prerequisite</x:v>
      </x:c>
      <x:c r="E69" s="3" t="str">
        <x:v>Typed object appears with progress/result; no local path is exposed as authority.</x:v>
      </x:c>
      <x:c r="F69" s="12" t="str">
        <x:v>App-local audit folder/text/ZIP creation is proven separately. Native host-file upload/drop needs an approved harmless fixture and file-picker path. Recovered Desktop is usable; no user file was selected.</x:v>
      </x:c>
      <x:c r="G69" s="3" t="str">
        <x:v>controlled-files</x:v>
      </x:c>
      <x:c r="H69" s="3" t="str">
        <x:v>implemented-source</x:v>
      </x:c>
      <x:c r="I69" s="3" t="str">
        <x:v>Upload Here; File chooser; Drag/drop</x:v>
      </x:c>
      <x:c r="J69" s="3" t="str">
        <x:v>1. Choose bounded disposable text/image/video
2. Cancel once
3. Upload with consent</x:v>
      </x:c>
      <x:c r="K69" s="3" t="str">
        <x:v>Disposable fixtures only</x:v>
      </x:c>
      <x:c r="L69" s="3" t="str"/>
      <x:c r="M69" s="3" t="str"/>
      <x:c r="N69" s="3" t="str">
        <x:v>E-044; E-050; E-054</x:v>
      </x:c>
      <x:c r="O69" s="3" t="str">
        <x:v>S-062, S-063</x:v>
      </x:c>
      <x:c r="P69" s="3" t="str">
        <x:v>library</x:v>
      </x:c>
      <x:c r="Q69" s="3" t="str">
        <x:f>IF(OR(H69='Read Me + Evidence'!$K$6,H69='Read Me + Evidence'!$K$7,H69='Read Me + Evidence'!$K$8,P69='Read Me + Evidence'!$K$9,P69='Read Me + Evidence'!$K$10),'Read Me + Evidence'!$K$12,'Read Me + Evidence'!$K$11)</x:f>
        <x:v>GUI</x:v>
      </x:c>
      <x:c r="R69" s="14" t="n">
        <x:f>IF(AND(Q69='Read Me + Evidence'!$K$11,OR(D69='Read Me + Evidence'!$H$7,D69='Read Me + Evidence'!$H$8,D69='Read Me + Evidence'!$H$9)),1,0)</x:f>
        <x:v>0</x:v>
      </x:c>
      <x:c r="S69" s="14" t="n">
        <x:f>IF(AND(Q69='Read Me + Evidence'!$K$11,D69='Read Me + Evidence'!$H$7),1,0)</x:f>
        <x:v>0</x:v>
      </x:c>
      <x:c r="T69" s="14" t="n">
        <x:f>IF(AND(Q69='Read Me + Evidence'!$K$11,D69&lt;&gt;'Read Me + Evidence'!$H$12),1,0)</x:f>
        <x:v>1</x:v>
      </x:c>
      <x:c r="U69" s="3" t="str"/>
    </x:row>
    <x:row r="70" ht="153" customHeight="1">
      <x:c r="A70" s="3" t="str">
        <x:v>LIB-06</x:v>
      </x:c>
      <x:c r="B70" s="3" t="str">
        <x:v>Library</x:v>
      </x:c>
      <x:c r="C70" s="3" t="str">
        <x:v>Selection and keyboard</x:v>
      </x:c>
      <x:c r="D70" s="13" t="str">
        <x:v>Pass</x:v>
      </x:c>
      <x:c r="E70" s="3" t="str">
        <x:v>Focus and selection agree; underlying item activation cannot bypass an open menu.</x:v>
      </x:c>
      <x:c r="F70" s="12" t="str">
        <x:v>E059 installed retest: with audit fixture selected, Enter on Back navigates to Documents, Forward restores folder, and New folder opens the name editor. Source tests and artifact parity also pass.</x:v>
      </x:c>
      <x:c r="G70" s="3" t="str">
        <x:v>safe-read-only</x:v>
      </x:c>
      <x:c r="H70" s="3" t="str">
        <x:v>implemented-source</x:v>
      </x:c>
      <x:c r="I70" s="3" t="str">
        <x:v>Single/multi/range select; Select all; Enter; Escape</x:v>
      </x:c>
      <x:c r="J70" s="3" t="str">
        <x:v>1. Select a small fixture set
2. Use context menu
3. Escape</x:v>
      </x:c>
      <x:c r="K70" s="3" t="str">
        <x:v>Disposable files</x:v>
      </x:c>
      <x:c r="L70" s="3" t="str">
        <x:v>F-24</x:v>
      </x:c>
      <x:c r="M70" s="3" t="str"/>
      <x:c r="N70" s="3" t="str">
        <x:v>E-044; E-057; E-059</x:v>
      </x:c>
      <x:c r="O70" s="3" t="str">
        <x:v>S-064</x:v>
      </x:c>
      <x:c r="P70" s="3" t="str">
        <x:v>library</x:v>
      </x:c>
      <x:c r="Q70" s="3" t="str">
        <x:f>IF(OR(H70='Read Me + Evidence'!$K$6,H70='Read Me + Evidence'!$K$7,H70='Read Me + Evidence'!$K$8,P70='Read Me + Evidence'!$K$9,P70='Read Me + Evidence'!$K$10),'Read Me + Evidence'!$K$12,'Read Me + Evidence'!$K$11)</x:f>
        <x:v>GUI</x:v>
      </x:c>
      <x:c r="R70" s="14" t="n">
        <x:f>IF(AND(Q70='Read Me + Evidence'!$K$11,OR(D70='Read Me + Evidence'!$H$7,D70='Read Me + Evidence'!$H$8,D70='Read Me + Evidence'!$H$9)),1,0)</x:f>
        <x:v>1</x:v>
      </x:c>
      <x:c r="S70" s="14" t="n">
        <x:f>IF(AND(Q70='Read Me + Evidence'!$K$11,D70='Read Me + Evidence'!$H$7),1,0)</x:f>
        <x:v>1</x:v>
      </x:c>
      <x:c r="T70" s="14" t="n">
        <x:f>IF(AND(Q70='Read Me + Evidence'!$K$11,D70&lt;&gt;'Read Me + Evidence'!$H$12),1,0)</x:f>
        <x:v>1</x:v>
      </x:c>
      <x:c r="U70" s="3" t="str"/>
    </x:row>
    <x:row r="71" ht="153" customHeight="1">
      <x:c r="A71" s="3" t="str">
        <x:v>LIB-07</x:v>
      </x:c>
      <x:c r="B71" s="3" t="str">
        <x:v>Library</x:v>
      </x:c>
      <x:c r="C71" s="3" t="str">
        <x:v>Open and viewer choice</x:v>
      </x:c>
      <x:c r="D71" s="13" t="str">
        <x:v>Partially observed</x:v>
      </x:c>
      <x:c r="E71" s="3" t="str">
        <x:v>Runtime selects admitted viewer metadata; locked or unavailable content gets an honest state.</x:v>
      </x:c>
      <x:c r="F71" s="12" t="str">
        <x:v>Audit fixture.md opens Documents with correct title; fixture.md.zip opens Archive with correct entry. Included games open the Emulator. Image/video/unsupported-file branches require additional controlled fixtures; protected playback also needs configured custody/Chain.</x:v>
      </x:c>
      <x:c r="G71" s="3" t="str">
        <x:v>controlled-session</x:v>
      </x:c>
      <x:c r="H71" s="3" t="str">
        <x:v>implemented-source</x:v>
      </x:c>
      <x:c r="I71" s="3" t="str">
        <x:v>Open; Open With; New Window</x:v>
      </x:c>
      <x:c r="J71" s="3" t="str">
        <x:v>1. Open text/image/archive/video/game as supported
2. Inspect unsupported type</x:v>
      </x:c>
      <x:c r="K71" s="3" t="str">
        <x:v>Harmless fixture types</x:v>
      </x:c>
      <x:c r="L71" s="3" t="str">
        <x:v>F-19</x:v>
      </x:c>
      <x:c r="M71" s="3" t="str"/>
      <x:c r="N71" s="3" t="str">
        <x:v>E-045; E-050; E-052</x:v>
      </x:c>
      <x:c r="O71" s="3" t="str">
        <x:v>S-065</x:v>
      </x:c>
      <x:c r="P71" s="3" t="str">
        <x:v>library</x:v>
      </x:c>
      <x:c r="Q71" s="3" t="str">
        <x:f>IF(OR(H71='Read Me + Evidence'!$K$6,H71='Read Me + Evidence'!$K$7,H71='Read Me + Evidence'!$K$8,P71='Read Me + Evidence'!$K$9,P71='Read Me + Evidence'!$K$10),'Read Me + Evidence'!$K$12,'Read Me + Evidence'!$K$11)</x:f>
        <x:v>GUI</x:v>
      </x:c>
      <x:c r="R71" s="14" t="n">
        <x:f>IF(AND(Q71='Read Me + Evidence'!$K$11,OR(D71='Read Me + Evidence'!$H$7,D71='Read Me + Evidence'!$H$8,D71='Read Me + Evidence'!$H$9)),1,0)</x:f>
        <x:v>1</x:v>
      </x:c>
      <x:c r="S71" s="14" t="n">
        <x:f>IF(AND(Q71='Read Me + Evidence'!$K$11,D71='Read Me + Evidence'!$H$7),1,0)</x:f>
        <x:v>0</x:v>
      </x:c>
      <x:c r="T71" s="14" t="n">
        <x:f>IF(AND(Q71='Read Me + Evidence'!$K$11,D71&lt;&gt;'Read Me + Evidence'!$H$12),1,0)</x:f>
        <x:v>1</x:v>
      </x:c>
      <x:c r="U71" s="3" t="str"/>
    </x:row>
    <x:row r="72" ht="153" customHeight="1">
      <x:c r="A72" s="3" t="str">
        <x:v>LIB-08</x:v>
      </x:c>
      <x:c r="B72" s="3" t="str">
        <x:v>Library</x:v>
      </x:c>
      <x:c r="C72" s="3" t="str">
        <x:v>Quick preview</x:v>
      </x:c>
      <x:c r="D72" s="13" t="str">
        <x:v>Blocked prerequisite</x:v>
      </x:c>
      <x:c r="E72" s="3" t="str">
        <x:v>Preview stays bounded and leaves file state unchanged; unsupported media is explicit.</x:v>
      </x:c>
      <x:c r="F72" s="12" t="str">
        <x: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x:v>
      </x:c>
      <x:c r="G72" s="3" t="str">
        <x:v>controlled-session</x:v>
      </x:c>
      <x:c r="H72" s="3" t="str">
        <x:v>implemented-source</x:v>
      </x:c>
      <x:c r="I72" s="3" t="str">
        <x:v>Quick Look / Space; Close preview</x:v>
      </x:c>
      <x:c r="J72" s="3" t="str">
        <x:v>1. Preview supported disposable item
2. Close with Escape</x:v>
      </x:c>
      <x:c r="K72" s="3" t="str">
        <x:v>Harmless fixture object</x:v>
      </x:c>
      <x:c r="L72" s="3" t="str"/>
      <x:c r="M72" s="3" t="str"/>
      <x:c r="N72" s="3" t="str">
        <x:v>E-051; E-054; E-078</x:v>
      </x:c>
      <x:c r="O72" s="3" t="str">
        <x:v>S-066</x:v>
      </x:c>
      <x:c r="P72" s="3" t="str">
        <x:v>library</x:v>
      </x:c>
      <x:c r="Q72" s="3" t="str">
        <x:f>IF(OR(H72='Read Me + Evidence'!$K$6,H72='Read Me + Evidence'!$K$7,H72='Read Me + Evidence'!$K$8,P72='Read Me + Evidence'!$K$9,P72='Read Me + Evidence'!$K$10),'Read Me + Evidence'!$K$12,'Read Me + Evidence'!$K$11)</x:f>
        <x:v>GUI</x:v>
      </x:c>
      <x:c r="R72" s="14" t="n">
        <x:f>IF(AND(Q72='Read Me + Evidence'!$K$11,OR(D72='Read Me + Evidence'!$H$7,D72='Read Me + Evidence'!$H$8,D72='Read Me + Evidence'!$H$9)),1,0)</x:f>
        <x:v>0</x:v>
      </x:c>
      <x:c r="S72" s="14" t="n">
        <x:f>IF(AND(Q72='Read Me + Evidence'!$K$11,D72='Read Me + Evidence'!$H$7),1,0)</x:f>
        <x:v>0</x:v>
      </x:c>
      <x:c r="T72" s="14" t="n">
        <x:f>IF(AND(Q72='Read Me + Evidence'!$K$11,D72&lt;&gt;'Read Me + Evidence'!$H$12),1,0)</x:f>
        <x:v>1</x:v>
      </x:c>
      <x:c r="U72" s="3" t="str"/>
    </x:row>
    <x:row r="73" ht="153" customHeight="1">
      <x:c r="A73" s="3" t="str">
        <x:v>LIB-09</x:v>
      </x:c>
      <x:c r="B73" s="3" t="str">
        <x:v>Library</x:v>
      </x:c>
      <x:c r="C73" s="3" t="str">
        <x:v>Rename and transfer</x:v>
      </x:c>
      <x:c r="D73" s="13" t="str">
        <x:v>Partially observed</x:v>
      </x:c>
      <x:c r="E73" s="3" t="str">
        <x:v>Runtime owns exact file move/copy; app clipboard is not independent storage authority.</x:v>
      </x:c>
      <x:c r="F73" s="12" t="str">
        <x:v>Audit rename, copy, Cut/Paste move and Keep-both collisions preserve originals. Desktop audit copy returned to its folder. Corrected-name retry now passes (F25); generic validation guidance and configured read-only Space transfer remain open.</x:v>
      </x:c>
      <x:c r="G73" s="3" t="str">
        <x:v>controlled-files</x:v>
      </x:c>
      <x:c r="H73" s="3" t="str">
        <x:v>implemented-source</x:v>
      </x:c>
      <x:c r="I73" s="3" t="str">
        <x:v>Rename; Cut; Copy; Paste; Paste Into Folder; Drag copy/move</x:v>
      </x:c>
      <x:c r="J73" s="3" t="str">
        <x:v>1. Use disposable files
2. Inspect collision/read-only branches
3. Restore fixture</x:v>
      </x:c>
      <x:c r="K73" s="3" t="str">
        <x:v>Disposable audit folder</x:v>
      </x:c>
      <x:c r="L73" s="3" t="str">
        <x:v>F-25; F-48</x:v>
      </x:c>
      <x:c r="M73" s="3" t="str"/>
      <x:c r="N73" s="3" t="str">
        <x:v>E-051; E-059</x:v>
      </x:c>
      <x:c r="O73" s="3" t="str">
        <x:v>S-067</x:v>
      </x:c>
      <x:c r="P73" s="3" t="str">
        <x:v>library</x:v>
      </x:c>
      <x:c r="Q73" s="3" t="str">
        <x:f>IF(OR(H73='Read Me + Evidence'!$K$6,H73='Read Me + Evidence'!$K$7,H73='Read Me + Evidence'!$K$8,P73='Read Me + Evidence'!$K$9,P73='Read Me + Evidence'!$K$10),'Read Me + Evidence'!$K$12,'Read Me + Evidence'!$K$11)</x:f>
        <x:v>GUI</x:v>
      </x:c>
      <x:c r="R73" s="14" t="n">
        <x:f>IF(AND(Q73='Read Me + Evidence'!$K$11,OR(D73='Read Me + Evidence'!$H$7,D73='Read Me + Evidence'!$H$8,D73='Read Me + Evidence'!$H$9)),1,0)</x:f>
        <x:v>1</x:v>
      </x:c>
      <x:c r="S73" s="14" t="n">
        <x:f>IF(AND(Q73='Read Me + Evidence'!$K$11,D73='Read Me + Evidence'!$H$7),1,0)</x:f>
        <x:v>0</x:v>
      </x:c>
      <x:c r="T73" s="14" t="n">
        <x:f>IF(AND(Q73='Read Me + Evidence'!$K$11,D73&lt;&gt;'Read Me + Evidence'!$H$12),1,0)</x:f>
        <x:v>1</x:v>
      </x:c>
      <x:c r="U73" s="3" t="str"/>
    </x:row>
    <x:row r="74" ht="153" customHeight="1">
      <x:c r="A74" s="3" t="str">
        <x:v>LIB-10</x:v>
      </x:c>
      <x:c r="B74" s="3" t="str">
        <x:v>Library</x:v>
      </x:c>
      <x:c r="C74" s="3" t="str">
        <x:v>Download</x:v>
      </x:c>
      <x:c r="D74" s="13" t="str">
        <x:v>Blocked prerequisite</x:v>
      </x:c>
      <x:c r="E74" s="3" t="str">
        <x:v>Capabilities bound the selection; exported bytes/names are correct.</x:v>
      </x:c>
      <x:c r="F74" s="12" t="str">
        <x:v>Download is visible in the audit-file context menu. Native save and byte verification need an approved export path. Recovered Desktop is usable; no user file was exported.</x:v>
      </x:c>
      <x:c r="G74" s="3" t="str">
        <x:v>controlled-files</x:v>
      </x:c>
      <x:c r="H74" s="3" t="str">
        <x:v>implemented-source</x:v>
      </x:c>
      <x:c r="I74" s="3" t="str">
        <x:v>Download; Download as ZIP; Download Selected; Download Selected as ZIP</x:v>
      </x:c>
      <x:c r="J74" s="3" t="str">
        <x:v>1. Download only harmless fixture(s)
2. Cancel browser save if needed</x:v>
      </x:c>
      <x:c r="K74" s="3" t="str">
        <x:v>Explicit permission for fixture download</x:v>
      </x:c>
      <x:c r="L74" s="3" t="str"/>
      <x:c r="M74" s="3" t="str"/>
      <x:c r="N74" s="3" t="str">
        <x:v>E-051; E-054; E-078</x:v>
      </x:c>
      <x:c r="O74" s="3" t="str">
        <x:v>S-068</x:v>
      </x:c>
      <x:c r="P74" s="3" t="str">
        <x:v>library</x:v>
      </x:c>
      <x:c r="Q74" s="3" t="str">
        <x:f>IF(OR(H74='Read Me + Evidence'!$K$6,H74='Read Me + Evidence'!$K$7,H74='Read Me + Evidence'!$K$8,P74='Read Me + Evidence'!$K$9,P74='Read Me + Evidence'!$K$10),'Read Me + Evidence'!$K$12,'Read Me + Evidence'!$K$11)</x:f>
        <x:v>GUI</x:v>
      </x:c>
      <x:c r="R74" s="14" t="n">
        <x:f>IF(AND(Q74='Read Me + Evidence'!$K$11,OR(D74='Read Me + Evidence'!$H$7,D74='Read Me + Evidence'!$H$8,D74='Read Me + Evidence'!$H$9)),1,0)</x:f>
        <x:v>0</x:v>
      </x:c>
      <x:c r="S74" s="14" t="n">
        <x:f>IF(AND(Q74='Read Me + Evidence'!$K$11,D74='Read Me + Evidence'!$H$7),1,0)</x:f>
        <x:v>0</x:v>
      </x:c>
      <x:c r="T74" s="14" t="n">
        <x:f>IF(AND(Q74='Read Me + Evidence'!$K$11,D74&lt;&gt;'Read Me + Evidence'!$H$12),1,0)</x:f>
        <x:v>1</x:v>
      </x:c>
      <x:c r="U74" s="3" t="str"/>
    </x:row>
    <x:row r="75" ht="153" customHeight="1">
      <x:c r="A75" s="3" t="str">
        <x:v>LIB-11</x:v>
      </x:c>
      <x:c r="B75" s="3" t="str">
        <x:v>Library</x:v>
      </x:c>
      <x:c r="C75" s="3" t="str">
        <x:v>Compress</x:v>
      </x:c>
      <x:c r="D75" s="13" t="str">
        <x:v>Partially observed</x:v>
      </x:c>
      <x:c r="E75" s="3" t="str">
        <x:v>Archive preserves selected names/content and excludes unrelated files.</x:v>
      </x:c>
      <x:c r="F75" s="12" t="str">
        <x:v>A single audit file compressed into fixture.md.zip118B in the same folder. Viewer handoff failed (F-35); multi-item byte/content proof awaits loaded archive.</x:v>
      </x:c>
      <x:c r="G75" s="3" t="str">
        <x:v>controlled-files</x:v>
      </x:c>
      <x:c r="H75" s="3" t="str">
        <x:v>implemented-source</x:v>
      </x:c>
      <x:c r="I75" s="3" t="str">
        <x:v>Compress to ZIP; Compress Selected to ZIP</x:v>
      </x:c>
      <x:c r="J75" s="3" t="str">
        <x:v>1. Select same-folder fixtures
2. Create archive under audit folder</x:v>
      </x:c>
      <x:c r="K75" s="3" t="str">
        <x:v>Disposable audit folder</x:v>
      </x:c>
      <x:c r="L75" s="3" t="str">
        <x:v>F-35</x:v>
      </x:c>
      <x:c r="M75" s="3" t="str"/>
      <x:c r="N75" s="3" t="str">
        <x:v>E-050</x:v>
      </x:c>
      <x:c r="O75" s="3" t="str">
        <x:v>S-069</x:v>
      </x:c>
      <x:c r="P75" s="3" t="str">
        <x:v>library</x:v>
      </x:c>
      <x:c r="Q75" s="3" t="str">
        <x:f>IF(OR(H75='Read Me + Evidence'!$K$6,H75='Read Me + Evidence'!$K$7,H75='Read Me + Evidence'!$K$8,P75='Read Me + Evidence'!$K$9,P75='Read Me + Evidence'!$K$10),'Read Me + Evidence'!$K$12,'Read Me + Evidence'!$K$11)</x:f>
        <x:v>GUI</x:v>
      </x:c>
      <x:c r="R75" s="14" t="n">
        <x:f>IF(AND(Q75='Read Me + Evidence'!$K$11,OR(D75='Read Me + Evidence'!$H$7,D75='Read Me + Evidence'!$H$8,D75='Read Me + Evidence'!$H$9)),1,0)</x:f>
        <x:v>1</x:v>
      </x:c>
      <x:c r="S75" s="14" t="n">
        <x:f>IF(AND(Q75='Read Me + Evidence'!$K$11,D75='Read Me + Evidence'!$H$7),1,0)</x:f>
        <x:v>0</x:v>
      </x:c>
      <x:c r="T75" s="14" t="n">
        <x:f>IF(AND(Q75='Read Me + Evidence'!$K$11,D75&lt;&gt;'Read Me + Evidence'!$H$12),1,0)</x:f>
        <x:v>1</x:v>
      </x:c>
      <x:c r="U75" s="3" t="str"/>
    </x:row>
    <x:row r="76" ht="153" customHeight="1">
      <x:c r="A76" s="3" t="str">
        <x:v>LIB-12</x:v>
      </x:c>
      <x:c r="B76" s="3" t="str">
        <x:v>Library</x:v>
      </x:c>
      <x:c r="C76" s="3" t="str">
        <x:v>Extract/support branch</x:v>
      </x:c>
      <x:c r="D76" s="13" t="str">
        <x:v>Partially observed</x:v>
      </x:c>
      <x:c r="E76" s="3" t="str">
        <x:v>Runtime policy governs extraction; unsupported archive family stays explicitly unavailable.</x:v>
      </x:c>
      <x:c r="F76" s="12" t="str">
        <x:v>A ZIP made from the empty audit file opens via normal Library browse. Safe extraction Skip and Keep both succeed. Unsupported family/traversal fixtures are separate blocked negative coverage.</x:v>
      </x:c>
      <x:c r="G76" s="3" t="str">
        <x:v>controlled-files</x:v>
      </x:c>
      <x:c r="H76" s="3" t="str">
        <x:v>implemented-source</x:v>
      </x:c>
      <x:c r="I76" s="3" t="str">
        <x:v>Extract Here; Archive Support</x:v>
      </x:c>
      <x:c r="J76" s="3" t="str">
        <x:v>1. Open safe archive
2. Inspect unsupported-family and traversal branches without unsafe payload execution</x:v>
      </x:c>
      <x:c r="K76" s="3" t="str">
        <x:v>Bounded safe archive fixture</x:v>
      </x:c>
      <x:c r="L76" s="3" t="str"/>
      <x:c r="M76" s="3" t="str"/>
      <x:c r="N76" s="3" t="str">
        <x:v>E-050</x:v>
      </x:c>
      <x:c r="O76" s="3" t="str">
        <x:v>S-070, S-071</x:v>
      </x:c>
      <x:c r="P76" s="3" t="str">
        <x:v>library</x:v>
      </x:c>
      <x:c r="Q76" s="3" t="str">
        <x:f>IF(OR(H76='Read Me + Evidence'!$K$6,H76='Read Me + Evidence'!$K$7,H76='Read Me + Evidence'!$K$8,P76='Read Me + Evidence'!$K$9,P76='Read Me + Evidence'!$K$10),'Read Me + Evidence'!$K$12,'Read Me + Evidence'!$K$11)</x:f>
        <x:v>GUI</x:v>
      </x:c>
      <x:c r="R76" s="14" t="n">
        <x:f>IF(AND(Q76='Read Me + Evidence'!$K$11,OR(D76='Read Me + Evidence'!$H$7,D76='Read Me + Evidence'!$H$8,D76='Read Me + Evidence'!$H$9)),1,0)</x:f>
        <x:v>1</x:v>
      </x:c>
      <x:c r="S76" s="14" t="n">
        <x:f>IF(AND(Q76='Read Me + Evidence'!$K$11,D76='Read Me + Evidence'!$H$7),1,0)</x:f>
        <x:v>0</x:v>
      </x:c>
      <x:c r="T76" s="14" t="n">
        <x:f>IF(AND(Q76='Read Me + Evidence'!$K$11,D76&lt;&gt;'Read Me + Evidence'!$H$12),1,0)</x:f>
        <x:v>1</x:v>
      </x:c>
      <x:c r="U76" s="3" t="str"/>
    </x:row>
    <x:row r="77" ht="153" customHeight="1">
      <x:c r="A77" s="3" t="str">
        <x:v>LIB-13</x:v>
      </x:c>
      <x:c r="B77" s="3" t="str">
        <x:v>Library</x:v>
      </x:c>
      <x:c r="C77" s="3" t="str">
        <x:v>Publish ordinary object</x:v>
      </x:c>
      <x:c r="D77" s="13" t="str">
        <x:v>Blocked prerequisite</x:v>
      </x:c>
      <x:c r="E77" s="3" t="str">
        <x:v>Existing content path returns content-addressed identity; ordinary publication is distinct from protected minting.</x:v>
      </x:c>
      <x:c r="F77" s="12" t="str">
        <x:v>Publish action is visible for harmless audit text. Source dispatches publication directly; explicit public-content consent and backend proof are required before pressing it.</x:v>
      </x:c>
      <x:c r="G77" s="3" t="str">
        <x:v>controlled-publication</x:v>
      </x:c>
      <x:c r="H77" s="3" t="str">
        <x:v>implemented-source</x:v>
      </x:c>
      <x:c r="I77" s="3" t="str">
        <x:v>Publish; Publish Selected</x:v>
      </x:c>
      <x:c r="J77" s="3" t="str">
        <x:v>1. Inspect publish scope on harmless unpublished object
2. Publish only with consent</x:v>
      </x:c>
      <x:c r="K77" s="3" t="str">
        <x:v>Explicit public-content consent; Content backend</x:v>
      </x:c>
      <x:c r="L77" s="3" t="str"/>
      <x:c r="M77" s="3" t="str"/>
      <x:c r="N77" s="3" t="str">
        <x:v>E-044; E-040; E-050</x:v>
      </x:c>
      <x:c r="O77" s="3" t="str">
        <x:v>S-072</x:v>
      </x:c>
      <x:c r="P77" s="3" t="str">
        <x:v>library</x:v>
      </x:c>
      <x:c r="Q77" s="3" t="str">
        <x:f>IF(OR(H77='Read Me + Evidence'!$K$6,H77='Read Me + Evidence'!$K$7,H77='Read Me + Evidence'!$K$8,P77='Read Me + Evidence'!$K$9,P77='Read Me + Evidence'!$K$10),'Read Me + Evidence'!$K$12,'Read Me + Evidence'!$K$11)</x:f>
        <x:v>GUI</x:v>
      </x:c>
      <x:c r="R77" s="14" t="n">
        <x:f>IF(AND(Q77='Read Me + Evidence'!$K$11,OR(D77='Read Me + Evidence'!$H$7,D77='Read Me + Evidence'!$H$8,D77='Read Me + Evidence'!$H$9)),1,0)</x:f>
        <x:v>0</x:v>
      </x:c>
      <x:c r="S77" s="14" t="n">
        <x:f>IF(AND(Q77='Read Me + Evidence'!$K$11,D77='Read Me + Evidence'!$H$7),1,0)</x:f>
        <x:v>0</x:v>
      </x:c>
      <x:c r="T77" s="14" t="n">
        <x:f>IF(AND(Q77='Read Me + Evidence'!$K$11,D77&lt;&gt;'Read Me + Evidence'!$H$12),1,0)</x:f>
        <x:v>1</x:v>
      </x:c>
      <x:c r="U77" s="3" t="str"/>
    </x:row>
    <x:row r="78" ht="153" customHeight="1">
      <x:c r="A78" s="3" t="str">
        <x:v>LIB-14</x:v>
      </x:c>
      <x:c r="B78" s="3" t="str">
        <x:v>Library</x:v>
      </x:c>
      <x:c r="C78" s="3" t="str">
        <x:v>Published status and repair</x:v>
      </x:c>
      <x:c r="D78" s="13" t="str">
        <x:v>Blocked prerequisite</x:v>
      </x:c>
      <x:c r="E78" s="3" t="str">
        <x:v>CID integrity, last availability proof and repair status remain distinct; link is elastos://&lt;cid&gt;.</x:v>
      </x:c>
      <x:c r="F78" s="12" t="str">
        <x:v>The audit contains no approved published fixture. CID availability/repair and public identity-copy need a designated published item.</x:v>
      </x:c>
      <x:c r="G78" s="3" t="str">
        <x:v>controlled-publication</x:v>
      </x:c>
      <x:c r="H78" s="3" t="str">
        <x:v>implemented-source</x:v>
      </x:c>
      <x:c r="I78" s="3" t="str">
        <x:v>Status; Repair; Copy Content CID; Copy Published Link</x:v>
      </x:c>
      <x:c r="J78" s="3" t="str">
        <x:v>1. Inspect a published test object
2. Copy public identity
3. Repair only controlled artifact</x:v>
      </x:c>
      <x:c r="K78" s="3" t="str">
        <x:v>Published test object</x:v>
      </x:c>
      <x:c r="L78" s="3" t="str"/>
      <x:c r="M78" s="3" t="str"/>
      <x:c r="N78" s="3" t="str">
        <x:v>E-044; E-040; E-050</x:v>
      </x:c>
      <x:c r="O78" s="3" t="str">
        <x:v>S-073</x:v>
      </x:c>
      <x:c r="P78" s="3" t="str">
        <x:v>library</x:v>
      </x:c>
      <x:c r="Q78" s="3" t="str">
        <x:f>IF(OR(H78='Read Me + Evidence'!$K$6,H78='Read Me + Evidence'!$K$7,H78='Read Me + Evidence'!$K$8,P78='Read Me + Evidence'!$K$9,P78='Read Me + Evidence'!$K$10),'Read Me + Evidence'!$K$12,'Read Me + Evidence'!$K$11)</x:f>
        <x:v>GUI</x:v>
      </x:c>
      <x:c r="R78" s="14" t="n">
        <x:f>IF(AND(Q78='Read Me + Evidence'!$K$11,OR(D78='Read Me + Evidence'!$H$7,D78='Read Me + Evidence'!$H$8,D78='Read Me + Evidence'!$H$9)),1,0)</x:f>
        <x:v>0</x:v>
      </x:c>
      <x:c r="S78" s="14" t="n">
        <x:f>IF(AND(Q78='Read Me + Evidence'!$K$11,D78='Read Me + Evidence'!$H$7),1,0)</x:f>
        <x:v>0</x:v>
      </x:c>
      <x:c r="T78" s="14" t="n">
        <x:f>IF(AND(Q78='Read Me + Evidence'!$K$11,D78&lt;&gt;'Read Me + Evidence'!$H$12),1,0)</x:f>
        <x:v>1</x:v>
      </x:c>
      <x:c r="U78" s="3" t="str"/>
    </x:row>
    <x:row r="79" ht="153" customHeight="1">
      <x:c r="A79" s="3" t="str">
        <x:v>LIB-15</x:v>
      </x:c>
      <x:c r="B79" s="3" t="str">
        <x:v>Library</x:v>
      </x:c>
      <x:c r="C79" s="3" t="str">
        <x:v>Share/access</x:v>
      </x:c>
      <x:c r="D79" s="13" t="str">
        <x:v>Blocked prerequisite</x:v>
      </x:c>
      <x:c r="E79" s="3" t="str">
        <x:v>Recipient scope follows typed Runtime rights; no raw key or provider route reaches UI.</x:v>
      </x:c>
      <x:c r="F79" s="12" t="str">
        <x:v>No controlled recipients or approved sharing fixture. Public/recipient rights execution remains gated by explicit sharing consent.</x:v>
      </x:c>
      <x:c r="G79" s="3" t="str">
        <x:v>controlled-permission</x:v>
      </x:c>
      <x:c r="H79" s="3" t="str">
        <x:v>implemented-source</x:v>
      </x:c>
      <x:c r="I79" s="3" t="str">
        <x:v>Share; Recipient selection; Check My Access</x:v>
      </x:c>
      <x:c r="J79" s="3" t="str">
        <x:v>1. Inspect public vs recipient-scoped options
2. Cancel or share controlled fixture</x:v>
      </x:c>
      <x:c r="K79" s="3" t="str">
        <x:v>Test recipients; Explicit sharing consent</x:v>
      </x:c>
      <x:c r="L79" s="3" t="str"/>
      <x:c r="M79" s="3" t="str"/>
      <x:c r="N79" s="3" t="str">
        <x:v>E-044; E-040; E-050</x:v>
      </x:c>
      <x:c r="O79" s="3" t="str">
        <x:v>S-074, S-075</x:v>
      </x:c>
      <x:c r="P79" s="3" t="str">
        <x:v>library</x:v>
      </x:c>
      <x:c r="Q79" s="3" t="str">
        <x:f>IF(OR(H79='Read Me + Evidence'!$K$6,H79='Read Me + Evidence'!$K$7,H79='Read Me + Evidence'!$K$8,P79='Read Me + Evidence'!$K$9,P79='Read Me + Evidence'!$K$10),'Read Me + Evidence'!$K$12,'Read Me + Evidence'!$K$11)</x:f>
        <x:v>GUI</x:v>
      </x:c>
      <x:c r="R79" s="14" t="n">
        <x:f>IF(AND(Q79='Read Me + Evidence'!$K$11,OR(D79='Read Me + Evidence'!$H$7,D79='Read Me + Evidence'!$H$8,D79='Read Me + Evidence'!$H$9)),1,0)</x:f>
        <x:v>0</x:v>
      </x:c>
      <x:c r="S79" s="14" t="n">
        <x:f>IF(AND(Q79='Read Me + Evidence'!$K$11,D79='Read Me + Evidence'!$H$7),1,0)</x:f>
        <x:v>0</x:v>
      </x:c>
      <x:c r="T79" s="14" t="n">
        <x:f>IF(AND(Q79='Read Me + Evidence'!$K$11,D79&lt;&gt;'Read Me + Evidence'!$H$12),1,0)</x:f>
        <x:v>1</x:v>
      </x:c>
      <x:c r="U79" s="3" t="str"/>
    </x:row>
    <x:row r="80" ht="153" customHeight="1">
      <x:c r="A80" s="3" t="str">
        <x:v>LIB-16</x:v>
      </x:c>
      <x:c r="B80" s="3" t="str">
        <x:v>Library</x:v>
      </x:c>
      <x:c r="C80" s="3" t="str">
        <x:v>Unpublish ordinary content</x:v>
      </x:c>
      <x:c r="D80" s="13" t="str">
        <x:v>Blocked prerequisite</x:v>
      </x:c>
      <x:c r="E80" s="3" t="str">
        <x:v>Existing ordinary-content lifecycle applies. Protected-content retirement is not implied.</x:v>
      </x:c>
      <x:c r="F80" s="12" t="str">
        <x:v>No disposable published fixture; unpublish and protected retirement must stay separate. No publication lifecycle mutation was made.</x:v>
      </x:c>
      <x:c r="G80" s="3" t="str">
        <x:v>destructive-controlled</x:v>
      </x:c>
      <x:c r="H80" s="3" t="str">
        <x:v>implemented-source</x:v>
      </x:c>
      <x:c r="I80" s="3" t="str">
        <x:v>Unpublish; Unpublish Selected</x:v>
      </x:c>
      <x:c r="J80" s="3" t="str">
        <x:v>1. Inspect ordinary published test item
2. Cancel by default</x:v>
      </x:c>
      <x:c r="K80" s="3" t="str">
        <x:v>Disposable published fixture</x:v>
      </x:c>
      <x:c r="L80" s="3" t="str"/>
      <x:c r="M80" s="3" t="str"/>
      <x:c r="N80" s="3" t="str">
        <x:v>E-044; E-040; E-050</x:v>
      </x:c>
      <x:c r="O80" s="3" t="str">
        <x:v>S-076</x:v>
      </x:c>
      <x:c r="P80" s="3" t="str">
        <x:v>library</x:v>
      </x:c>
      <x:c r="Q80" s="3" t="str">
        <x:f>IF(OR(H80='Read Me + Evidence'!$K$6,H80='Read Me + Evidence'!$K$7,H80='Read Me + Evidence'!$K$8,P80='Read Me + Evidence'!$K$9,P80='Read Me + Evidence'!$K$10),'Read Me + Evidence'!$K$12,'Read Me + Evidence'!$K$11)</x:f>
        <x:v>GUI</x:v>
      </x:c>
      <x:c r="R80" s="14" t="n">
        <x:f>IF(AND(Q80='Read Me + Evidence'!$K$11,OR(D80='Read Me + Evidence'!$H$7,D80='Read Me + Evidence'!$H$8,D80='Read Me + Evidence'!$H$9)),1,0)</x:f>
        <x:v>0</x:v>
      </x:c>
      <x:c r="S80" s="14" t="n">
        <x:f>IF(AND(Q80='Read Me + Evidence'!$K$11,D80='Read Me + Evidence'!$H$7),1,0)</x:f>
        <x:v>0</x:v>
      </x:c>
      <x:c r="T80" s="14" t="n">
        <x:f>IF(AND(Q80='Read Me + Evidence'!$K$11,D80&lt;&gt;'Read Me + Evidence'!$H$12),1,0)</x:f>
        <x:v>1</x:v>
      </x:c>
      <x:c r="U80" s="3" t="str"/>
    </x:row>
    <x:row r="81" ht="153" customHeight="1">
      <x:c r="A81" s="3" t="str">
        <x:v>LIB-17</x:v>
      </x:c>
      <x:c r="B81" s="3" t="str">
        <x:v>Library</x:v>
      </x:c>
      <x:c r="C81" s="3" t="str">
        <x:v>Protect and List visibility</x:v>
      </x:c>
      <x:c r="D81" s="13" t="str">
        <x:v>Blocked prerequisite</x:v>
      </x:c>
      <x:c r="E81" s="3" t="str">
        <x:v>Action appears only for eligible video with publish capability; Runtime owns encryption/mint/list authority.</x:v>
      </x:c>
      <x:c r="F81" s="12" t="str">
        <x:v>Current harmless Markdown/ZIP fixtures are ineligible for Protect and List. Eligible unpublished video, signed custody composition and valid Chain configuration are absent; no mint/publication dispatched.</x:v>
      </x:c>
      <x:c r="G81" s="3" t="str">
        <x:v>controlled-files</x:v>
      </x:c>
      <x:c r="H81" s="3" t="str">
        <x:v>implemented-config-gated</x:v>
      </x:c>
      <x:c r="I81" s="3" t="str">
        <x:v>Protect and List...</x:v>
      </x:c>
      <x:c r="J81" s="3" t="str">
        <x:v>1. Inspect empty Library
2. Add eligible unpublished video under control
3. Open context menu</x:v>
      </x:c>
      <x:c r="K81" s="3" t="str">
        <x:v>Approved disposable unpublished video with video/ MIME and publish capability; Signed custody composition, private Chain config and custody node setup before mint execution; Inspect dialog only until controlled-effect approval</x:v>
      </x:c>
      <x:c r="L81" s="3" t="str">
        <x:v>F-10</x:v>
      </x:c>
      <x:c r="M81" s="3" t="str"/>
      <x:c r="N81" s="3" t="str">
        <x:v>E-040; E-044</x:v>
      </x:c>
      <x:c r="O81" s="3" t="str">
        <x:v>S-077, S-078, S-079</x:v>
      </x:c>
      <x:c r="P81" s="3" t="str">
        <x:v>library</x:v>
      </x:c>
      <x:c r="Q81" s="3" t="str">
        <x:f>IF(OR(H81='Read Me + Evidence'!$K$6,H81='Read Me + Evidence'!$K$7,H81='Read Me + Evidence'!$K$8,P81='Read Me + Evidence'!$K$9,P81='Read Me + Evidence'!$K$10),'Read Me + Evidence'!$K$12,'Read Me + Evidence'!$K$11)</x:f>
        <x:v>GUI</x:v>
      </x:c>
      <x:c r="R81" s="14" t="n">
        <x:f>IF(AND(Q81='Read Me + Evidence'!$K$11,OR(D81='Read Me + Evidence'!$H$7,D81='Read Me + Evidence'!$H$8,D81='Read Me + Evidence'!$H$9)),1,0)</x:f>
        <x:v>0</x:v>
      </x:c>
      <x:c r="S81" s="14" t="n">
        <x:f>IF(AND(Q81='Read Me + Evidence'!$K$11,D81='Read Me + Evidence'!$H$7),1,0)</x:f>
        <x:v>0</x:v>
      </x:c>
      <x:c r="T81" s="14" t="n">
        <x:f>IF(AND(Q81='Read Me + Evidence'!$K$11,D81&lt;&gt;'Read Me + Evidence'!$H$12),1,0)</x:f>
        <x:v>1</x:v>
      </x:c>
      <x:c r="U81" s="3" t="str">
        <x:v>Installed app.js/actions.js match source. Documents shows only New File.txt; the conditional menu/dialog has not been reached. Actual missing custody/Chain prerequisites block mint (F-10/B-03).</x:v>
      </x:c>
    </x:row>
    <x:row r="82" ht="153" customHeight="1">
      <x:c r="A82" s="3" t="str">
        <x:v>LIB-18</x:v>
      </x:c>
      <x:c r="B82" s="3" t="str">
        <x:v>Library</x:v>
      </x:c>
      <x:c r="C82" s="3" t="str">
        <x:v>Creator dialog and submission</x:v>
      </x:c>
      <x:c r="D82" s="13" t="str">
        <x:v>Blocked prerequisite</x:v>
      </x:c>
      <x:c r="E82" s="3" t="str">
        <x:v>UI sends object identity/product terms. Runtime/Wallet/Chain own account, contracts, preparation, custody and one exact effect.</x:v>
      </x:c>
      <x:c r="F82" s="12" t="str">
        <x:v>Creator submission needs signed custody, valid private Chain configuration, funded test Wallet and replicas. E-040 confirms configuration prerequisites remain open.</x:v>
      </x:c>
      <x:c r="G82" s="3" t="str">
        <x:v>controlled-financial</x:v>
      </x:c>
      <x:c r="H82" s="3" t="str">
        <x:v>implemented-config-gated</x:v>
      </x:c>
      <x:c r="I82" s="3" t="str">
        <x:v>Object; Copies; Price; Cancel; Protect and List</x:v>
      </x:c>
      <x:c r="J82" s="3" t="str">
        <x:v>1. Inspect exact terms
2. Test invalid terms
3. Cancel; submit only in installed protected test gate</x:v>
      </x:c>
      <x:c r="K82" s="3" t="str">
        <x:v>Signed custody; Private Chain config; Funded test Wallet; Three replicas</x:v>
      </x:c>
      <x:c r="L82" s="3" t="str">
        <x:v>F-10; F-13; F-14</x:v>
      </x:c>
      <x:c r="M82" s="3" t="str"/>
      <x:c r="N82" s="3" t="str">
        <x:v>E-044; E-040; E-050</x:v>
      </x:c>
      <x:c r="O82" s="3" t="str">
        <x:v>S-080, S-081</x:v>
      </x:c>
      <x:c r="P82" s="3" t="str">
        <x:v>library</x:v>
      </x:c>
      <x:c r="Q82" s="3" t="str">
        <x:f>IF(OR(H82='Read Me + Evidence'!$K$6,H82='Read Me + Evidence'!$K$7,H82='Read Me + Evidence'!$K$8,P82='Read Me + Evidence'!$K$9,P82='Read Me + Evidence'!$K$10),'Read Me + Evidence'!$K$12,'Read Me + Evidence'!$K$11)</x:f>
        <x:v>GUI</x:v>
      </x:c>
      <x:c r="R82" s="14" t="n">
        <x:f>IF(AND(Q82='Read Me + Evidence'!$K$11,OR(D82='Read Me + Evidence'!$H$7,D82='Read Me + Evidence'!$H$8,D82='Read Me + Evidence'!$H$9)),1,0)</x:f>
        <x:v>0</x:v>
      </x:c>
      <x:c r="S82" s="14" t="n">
        <x:f>IF(AND(Q82='Read Me + Evidence'!$K$11,D82='Read Me + Evidence'!$H$7),1,0)</x:f>
        <x:v>0</x:v>
      </x:c>
      <x:c r="T82" s="14" t="n">
        <x:f>IF(AND(Q82='Read Me + Evidence'!$K$11,D82&lt;&gt;'Read Me + Evidence'!$H$12),1,0)</x:f>
        <x:v>1</x:v>
      </x:c>
      <x:c r="U82" s="3" t="str"/>
    </x:row>
    <x:row r="83" ht="153" customHeight="1">
      <x:c r="A83" s="3" t="str">
        <x:v>LIB-19</x:v>
      </x:c>
      <x:c r="B83" s="3" t="str">
        <x:v>Library</x:v>
      </x:c>
      <x:c r="C83" s="3" t="str">
        <x:v>Creator progress and export</x:v>
      </x:c>
      <x:c r="D83" s="13" t="str">
        <x:v>Blocked prerequisite</x:v>
      </x:c>
      <x:c r="E83" s="3" t="str">
        <x:v>Canonical listing becomes visible only after exact Chain settlement and package publication; repeats retain identity/effect.</x:v>
      </x:c>
      <x:c r="F83" s="12" t="str">
        <x:v>Mint approval/resume/export needs the full controlled installed protected-content gate. No financial effect or listing was created.</x:v>
      </x:c>
      <x:c r="G83" s="3" t="str">
        <x:v>controlled-financial</x:v>
      </x:c>
      <x:c r="H83" s="3" t="str">
        <x:v>implemented-config-gated</x:v>
      </x:c>
      <x:c r="I83" s="3" t="str">
        <x:v>Pending/denied/failed/completed; Shareable listing URI</x:v>
      </x:c>
      <x:c r="J83" s="3" t="str">
        <x:v>1. Observe controlled mint approval/resume
2. Compare terminal listing URI on replay</x:v>
      </x:c>
      <x:c r="K83" s="3" t="str">
        <x:v>Full controlled protected-content installation proof</x:v>
      </x:c>
      <x:c r="L83" s="3" t="str">
        <x:v>F-10</x:v>
      </x:c>
      <x:c r="M83" s="3" t="str"/>
      <x:c r="N83" s="3" t="str">
        <x:v>E-044; E-040; E-050</x:v>
      </x:c>
      <x:c r="O83" s="3" t="str">
        <x:v>S-082, S-083</x:v>
      </x:c>
      <x:c r="P83" s="3" t="str">
        <x:v>library</x:v>
      </x:c>
      <x:c r="Q83" s="3" t="str">
        <x:f>IF(OR(H83='Read Me + Evidence'!$K$6,H83='Read Me + Evidence'!$K$7,H83='Read Me + Evidence'!$K$8,P83='Read Me + Evidence'!$K$9,P83='Read Me + Evidence'!$K$10),'Read Me + Evidence'!$K$12,'Read Me + Evidence'!$K$11)</x:f>
        <x:v>GUI</x:v>
      </x:c>
      <x:c r="R83" s="14" t="n">
        <x:f>IF(AND(Q83='Read Me + Evidence'!$K$11,OR(D83='Read Me + Evidence'!$H$7,D83='Read Me + Evidence'!$H$8,D83='Read Me + Evidence'!$H$9)),1,0)</x:f>
        <x:v>0</x:v>
      </x:c>
      <x:c r="S83" s="14" t="n">
        <x:f>IF(AND(Q83='Read Me + Evidence'!$K$11,D83='Read Me + Evidence'!$H$7),1,0)</x:f>
        <x:v>0</x:v>
      </x:c>
      <x:c r="T83" s="14" t="n">
        <x:f>IF(AND(Q83='Read Me + Evidence'!$K$11,D83&lt;&gt;'Read Me + Evidence'!$H$12),1,0)</x:f>
        <x:v>1</x:v>
      </x:c>
      <x:c r="U83" s="3" t="str"/>
    </x:row>
    <x:row r="84" ht="153" customHeight="1">
      <x:c r="A84" s="3" t="str">
        <x:v>LIB-20</x:v>
      </x:c>
      <x:c r="B84" s="3" t="str">
        <x:v>Library</x:v>
      </x:c>
      <x:c r="C84" s="3" t="str">
        <x:v>Portable listing import entry gap</x:v>
      </x:c>
      <x:c r="D84" s="13" t="str">
        <x:v>Partially observed</x:v>
      </x:c>
      <x:c r="E84" s="3" t="str">
        <x:v>Runtime import exists for Library/Marketplace. Current visible menus have no dedicated listing-link import control; verify live evidence before planning a minimal entry point.</x:v>
      </x:c>
      <x:c r="F84" s="12" t="str">
        <x:v>Visible Library File/More actions expose create/upload/properties but no dedicated shared-listing import entry in inspected menus. Canonical listing fixture and buyer composition are absent, so link import remains unverified.</x:v>
      </x:c>
      <x:c r="G84" s="3" t="str">
        <x:v>controlled-publication</x:v>
      </x:c>
      <x:c r="H84" s="3" t="str">
        <x:v>runtime-only-no-ui</x:v>
      </x:c>
      <x:c r="I84" s="3" t="str">
        <x:v>Typed import_runtime_custody</x:v>
      </x:c>
      <x:c r="J84" s="3" t="str">
        <x:v>1. Map desired shared listing link entry without issuing hidden API from live UI</x:v>
      </x:c>
      <x:c r="K84" s="3" t="str">
        <x:v>Canonical listing URI; Buyer signed composition</x:v>
      </x:c>
      <x:c r="L84" s="3" t="str">
        <x:v>F-11</x:v>
      </x:c>
      <x:c r="M84" s="3" t="str"/>
      <x:c r="N84" s="3" t="str">
        <x:v>E-044; E-040</x:v>
      </x:c>
      <x:c r="O84" s="3" t="str">
        <x:v>S-084, S-085, S-065</x:v>
      </x:c>
      <x:c r="P84" s="3" t="str">
        <x:v>library</x:v>
      </x:c>
      <x:c r="Q84" s="3" t="str">
        <x:f>IF(OR(H84='Read Me + Evidence'!$K$6,H84='Read Me + Evidence'!$K$7,H84='Read Me + Evidence'!$K$8,P84='Read Me + Evidence'!$K$9,P84='Read Me + Evidence'!$K$10),'Read Me + Evidence'!$K$12,'Read Me + Evidence'!$K$11)</x:f>
        <x:v>Source only</x:v>
      </x:c>
      <x:c r="R84" s="14" t="n">
        <x:f>IF(AND(Q84='Read Me + Evidence'!$K$11,OR(D84='Read Me + Evidence'!$H$7,D84='Read Me + Evidence'!$H$8,D84='Read Me + Evidence'!$H$9)),1,0)</x:f>
        <x:v>0</x:v>
      </x:c>
      <x:c r="S84" s="14" t="n">
        <x:f>IF(AND(Q84='Read Me + Evidence'!$K$11,D84='Read Me + Evidence'!$H$7),1,0)</x:f>
        <x:v>0</x:v>
      </x:c>
      <x:c r="T84" s="14" t="n">
        <x:f>IF(AND(Q84='Read Me + Evidence'!$K$11,D84&lt;&gt;'Read Me + Evidence'!$H$12),1,0)</x:f>
        <x:v>0</x:v>
      </x:c>
      <x:c r="U84" s="3" t="str"/>
    </x:row>
    <x:row r="85" ht="153" customHeight="1">
      <x:c r="A85" s="3" t="str">
        <x:v>LIB-21</x:v>
      </x:c>
      <x:c r="B85" s="3" t="str">
        <x:v>Library</x:v>
      </x:c>
      <x:c r="C85" s="3" t="str">
        <x:v>Protected video open</x:v>
      </x:c>
      <x:c r="D85" s="13" t="str">
        <x:v>Blocked prerequisite</x:v>
      </x:c>
      <x:c r="E85" s="3" t="str">
        <x:v>Dedicated player receives typed bounded session/media reads; buyer imported listing needs no creator mint journal.</x:v>
      </x:c>
      <x:c r="F85" s="12" t="str">
        <x:v>Protected playback requires an approved listing, fresh availability and rights. Direct Player empty-state was inspected, but no authorized protected fixture exists.</x:v>
      </x:c>
      <x:c r="G85" s="3" t="str">
        <x:v>controlled-protected-play</x:v>
      </x:c>
      <x:c r="H85" s="3" t="str">
        <x:v>implemented-config-gated</x:v>
      </x:c>
      <x:c r="I85" s="3" t="str">
        <x:v>Open protected object</x:v>
      </x:c>
      <x:c r="J85" s="3" t="str">
        <x:v>1. Open owned/approved controlled protected video
2. Inspect unavailable/denied branch</x:v>
      </x:c>
      <x:c r="K85" s="3" t="str">
        <x:v>Protected test listing; Fresh availability; Rights</x:v>
      </x:c>
      <x:c r="L85" s="3" t="str"/>
      <x:c r="M85" s="3" t="str"/>
      <x:c r="N85" s="3" t="str">
        <x:v>E-044; E-040; E-050</x:v>
      </x:c>
      <x:c r="O85" s="3" t="str">
        <x:v>S-086, S-087</x:v>
      </x:c>
      <x:c r="P85" s="3" t="str">
        <x:v>library</x:v>
      </x:c>
      <x:c r="Q85" s="3" t="str">
        <x:f>IF(OR(H85='Read Me + Evidence'!$K$6,H85='Read Me + Evidence'!$K$7,H85='Read Me + Evidence'!$K$8,P85='Read Me + Evidence'!$K$9,P85='Read Me + Evidence'!$K$10),'Read Me + Evidence'!$K$12,'Read Me + Evidence'!$K$11)</x:f>
        <x:v>GUI</x:v>
      </x:c>
      <x:c r="R85" s="14" t="n">
        <x:f>IF(AND(Q85='Read Me + Evidence'!$K$11,OR(D85='Read Me + Evidence'!$H$7,D85='Read Me + Evidence'!$H$8,D85='Read Me + Evidence'!$H$9)),1,0)</x:f>
        <x:v>0</x:v>
      </x:c>
      <x:c r="S85" s="14" t="n">
        <x:f>IF(AND(Q85='Read Me + Evidence'!$K$11,D85='Read Me + Evidence'!$H$7),1,0)</x:f>
        <x:v>0</x:v>
      </x:c>
      <x:c r="T85" s="14" t="n">
        <x:f>IF(AND(Q85='Read Me + Evidence'!$K$11,D85&lt;&gt;'Read Me + Evidence'!$H$12),1,0)</x:f>
        <x:v>1</x:v>
      </x:c>
      <x:c r="U85" s="3" t="str"/>
    </x:row>
    <x:row r="86" ht="153" customHeight="1">
      <x:c r="A86" s="3" t="str">
        <x:v>LIB-22</x:v>
      </x:c>
      <x:c r="B86" s="3" t="str">
        <x:v>Library</x:v>
      </x:c>
      <x:c r="C86" s="3" t="str">
        <x:v>Trash and restoration</x:v>
      </x:c>
      <x:c r="D86" s="13" t="str">
        <x:v>Fail</x:v>
      </x:c>
      <x:c r="E86" s="3" t="str">
        <x:v>Trash is recoverable where supported; final deletion needs explicit test approval.</x:v>
      </x:c>
      <x:c r="F86" s="12" t="str">
        <x:v>Audit copy moved to Trash and restored; final deletion was cancelled. Core recoverable lifecycle passes. Empty Trash incorrectly asks for upload/folder creation (F-38).</x:v>
      </x:c>
      <x:c r="G86" s="3" t="str">
        <x:v>destructive-controlled</x:v>
      </x:c>
      <x:c r="H86" s="3" t="str">
        <x:v>implemented-source</x:v>
      </x:c>
      <x:c r="I86" s="3" t="str">
        <x:v>Delete; Restore; Empty Trash; Delete Permanently</x:v>
      </x:c>
      <x:c r="J86" s="3" t="str">
        <x:v>1. Move disposable fixture to Trash
2. Restore
3. Preview permanent-delete confirmation</x:v>
      </x:c>
      <x:c r="K86" s="3" t="str">
        <x:v>Disposable audit files only</x:v>
      </x:c>
      <x:c r="L86" s="3" t="str">
        <x:v>F-38</x:v>
      </x:c>
      <x:c r="M86" s="3" t="str"/>
      <x:c r="N86" s="3" t="str">
        <x:v>E-051</x:v>
      </x:c>
      <x:c r="O86" s="3" t="str">
        <x:v>S-088, S-089</x:v>
      </x:c>
      <x:c r="P86" s="3" t="str">
        <x:v>library</x:v>
      </x:c>
      <x:c r="Q86" s="3" t="str">
        <x:f>IF(OR(H86='Read Me + Evidence'!$K$6,H86='Read Me + Evidence'!$K$7,H86='Read Me + Evidence'!$K$8,P86='Read Me + Evidence'!$K$9,P86='Read Me + Evidence'!$K$10),'Read Me + Evidence'!$K$12,'Read Me + Evidence'!$K$11)</x:f>
        <x:v>GUI</x:v>
      </x:c>
      <x:c r="R86" s="14" t="n">
        <x:f>IF(AND(Q86='Read Me + Evidence'!$K$11,OR(D86='Read Me + Evidence'!$H$7,D86='Read Me + Evidence'!$H$8,D86='Read Me + Evidence'!$H$9)),1,0)</x:f>
        <x:v>1</x:v>
      </x:c>
      <x:c r="S86" s="14" t="n">
        <x:f>IF(AND(Q86='Read Me + Evidence'!$K$11,D86='Read Me + Evidence'!$H$7),1,0)</x:f>
        <x:v>0</x:v>
      </x:c>
      <x:c r="T86" s="14" t="n">
        <x:f>IF(AND(Q86='Read Me + Evidence'!$K$11,D86&lt;&gt;'Read Me + Evidence'!$H$12),1,0)</x:f>
        <x:v>1</x:v>
      </x:c>
      <x:c r="U86" s="3" t="str"/>
    </x:row>
    <x:row r="87" ht="153" customHeight="1">
      <x:c r="A87" s="3" t="str">
        <x:v>LIB-23</x:v>
      </x:c>
      <x:c r="B87" s="3" t="str">
        <x:v>Library</x:v>
      </x:c>
      <x:c r="C87" s="3" t="str">
        <x:v>Properties and blocked objects</x:v>
      </x:c>
      <x:c r="D87" s="13" t="str">
        <x:v>Fail</x:v>
      </x:c>
      <x:c r="E87" s="3" t="str">
        <x:v>Object identity, capability, revision and availability are honest; blocked items offer inspection without unauthorized open.</x:v>
      </x:c>
      <x:c r="F87" s="12" t="str">
        <x:v>F22 contrast repaired: General/Technical readable in Dark/Light and footer visible. F46 Properties tabs remain pointer-only with incomplete modal focus. File/public/blocked-item branches remain separate.</x:v>
      </x:c>
      <x:c r="G87" s="3" t="str">
        <x:v>safe-read-only</x:v>
      </x:c>
      <x:c r="H87" s="3" t="str">
        <x:v>implemented-source</x:v>
      </x:c>
      <x:c r="I87" s="3" t="str">
        <x:v>Properties; Blocked item; Read-only root</x:v>
      </x:c>
      <x:c r="J87" s="3" t="str">
        <x:v>1. Inspect file/folder/public/blocked properties</x:v>
      </x:c>
      <x:c r="K87" s="3" t="str">
        <x:v>Signed-in Home</x:v>
      </x:c>
      <x:c r="L87" s="3" t="str">
        <x:v>F-22; F-46</x:v>
      </x:c>
      <x:c r="M87" s="3" t="str"/>
      <x:c r="N87" s="3" t="str">
        <x:v>E-044; E-055; E-056</x:v>
      </x:c>
      <x:c r="O87" s="3" t="str">
        <x:v>S-065</x:v>
      </x:c>
      <x:c r="P87" s="3" t="str">
        <x:v>library</x:v>
      </x:c>
      <x:c r="Q87" s="3" t="str">
        <x:f>IF(OR(H87='Read Me + Evidence'!$K$6,H87='Read Me + Evidence'!$K$7,H87='Read Me + Evidence'!$K$8,P87='Read Me + Evidence'!$K$9,P87='Read Me + Evidence'!$K$10),'Read Me + Evidence'!$K$12,'Read Me + Evidence'!$K$11)</x:f>
        <x:v>GUI</x:v>
      </x:c>
      <x:c r="R87" s="14" t="n">
        <x:f>IF(AND(Q87='Read Me + Evidence'!$K$11,OR(D87='Read Me + Evidence'!$H$7,D87='Read Me + Evidence'!$H$8,D87='Read Me + Evidence'!$H$9)),1,0)</x:f>
        <x:v>1</x:v>
      </x:c>
      <x:c r="S87" s="14" t="n">
        <x:f>IF(AND(Q87='Read Me + Evidence'!$K$11,D87='Read Me + Evidence'!$H$7),1,0)</x:f>
        <x:v>0</x:v>
      </x:c>
      <x:c r="T87" s="14" t="n">
        <x:f>IF(AND(Q87='Read Me + Evidence'!$K$11,D87&lt;&gt;'Read Me + Evidence'!$H$12),1,0)</x:f>
        <x:v>1</x:v>
      </x:c>
      <x:c r="U87" s="3" t="str"/>
    </x:row>
    <x:row r="88" ht="153" customHeight="1">
      <x:c r="A88" s="3" t="str">
        <x:v>LIB-24</x:v>
      </x:c>
      <x:c r="B88" s="3" t="str">
        <x:v>Library</x:v>
      </x:c>
      <x:c r="C88" s="3" t="str">
        <x:v>Picker subflows</x:v>
      </x:c>
      <x:c r="D88" s="13" t="str">
        <x:v>Fail</x:v>
      </x:c>
      <x:c r="E88" s="3" t="str">
        <x:v>Exact Home parent origin/token binds return target; picker cannot deliver to an unrelated app.</x:v>
      </x:c>
      <x:c r="F88" s="12" t="str">
        <x:v>Archive Open/New ZIP create scoped Library picker windows with correct named action. No selection yields an explicit prompt, and closing cancels. Successful create/open delivery is dropped by Archive (F-35); Chat picker is also blocked by F-28.</x:v>
      </x:c>
      <x:c r="G88" s="3" t="str">
        <x:v>controlled-session</x:v>
      </x:c>
      <x:c r="H88" s="3" t="str">
        <x:v>implemented-source</x:v>
      </x:c>
      <x:c r="I88" s="3" t="str">
        <x:v>Select for Browser; Attach to Chat; Archive Open/Create; Cancel</x:v>
      </x:c>
      <x:c r="J88" s="3" t="str">
        <x:v>1. Open each owning app picker
2. Select harmless supported item
3. Cancel once</x:v>
      </x:c>
      <x:c r="K88" s="3" t="str">
        <x:v>Disposable fixture; Owning app request</x:v>
      </x:c>
      <x:c r="L88" s="3" t="str">
        <x:v>F-28; F-35</x:v>
      </x:c>
      <x:c r="M88" s="3" t="str"/>
      <x:c r="N88" s="3" t="str">
        <x:v>E-050</x:v>
      </x:c>
      <x:c r="O88" s="3" t="str">
        <x:v>S-090</x:v>
      </x:c>
      <x:c r="P88" s="3" t="str">
        <x:v>library</x:v>
      </x:c>
      <x:c r="Q88" s="3" t="str">
        <x:f>IF(OR(H88='Read Me + Evidence'!$K$6,H88='Read Me + Evidence'!$K$7,H88='Read Me + Evidence'!$K$8,P88='Read Me + Evidence'!$K$9,P88='Read Me + Evidence'!$K$10),'Read Me + Evidence'!$K$12,'Read Me + Evidence'!$K$11)</x:f>
        <x:v>GUI</x:v>
      </x:c>
      <x:c r="R88" s="14" t="n">
        <x:f>IF(AND(Q88='Read Me + Evidence'!$K$11,OR(D88='Read Me + Evidence'!$H$7,D88='Read Me + Evidence'!$H$8,D88='Read Me + Evidence'!$H$9)),1,0)</x:f>
        <x:v>1</x:v>
      </x:c>
      <x:c r="S88" s="14" t="n">
        <x:f>IF(AND(Q88='Read Me + Evidence'!$K$11,D88='Read Me + Evidence'!$H$7),1,0)</x:f>
        <x:v>0</x:v>
      </x:c>
      <x:c r="T88" s="14" t="n">
        <x:f>IF(AND(Q88='Read Me + Evidence'!$K$11,D88&lt;&gt;'Read Me + Evidence'!$H$12),1,0)</x:f>
        <x:v>1</x:v>
      </x:c>
      <x:c r="U88" s="3" t="str"/>
    </x:row>
    <x:row r="89" ht="153" customHeight="1">
      <x:c r="A89" s="3" t="str">
        <x:v>DOC-01</x:v>
      </x:c>
      <x:c r="B89" s="3" t="str">
        <x:v>Documents</x:v>
      </x:c>
      <x:c r="C89" s="3" t="str">
        <x:v>Empty/list/search</x:v>
      </x:c>
      <x:c r="D89" s="13" t="str">
        <x:v>Pass</x:v>
      </x:c>
      <x:c r="E89" s="3" t="str">
        <x:v>Draft/list/current selection and empty search remain clear.</x:v>
      </x:c>
      <x:c r="F89" s="12" t="str">
        <x:v>Empty Documents states No documents yet. The private Audit 20260830 fixture appears by title and filename. Search a matches it; z shows No documents match this search while the current editor stays intact. Hide list/Show list preserve the current selection and content.</x:v>
      </x:c>
      <x:c r="G89" s="3" t="str">
        <x:v>safe-read-only</x:v>
      </x:c>
      <x:c r="H89" s="3" t="str">
        <x:v>implemented-source</x:v>
      </x:c>
      <x:c r="I89" s="3" t="str">
        <x:v>New; Document list; Search; Hide list</x:v>
      </x:c>
      <x:c r="J89" s="3" t="str">
        <x:v>1. Open empty Documents
2. Search fixture names
3. Toggle list</x:v>
      </x:c>
      <x:c r="K89" s="3" t="str">
        <x:v>Signed-in Home</x:v>
      </x:c>
      <x:c r="L89" s="3" t="str"/>
      <x:c r="M89" s="3" t="str"/>
      <x:c r="N89" s="3" t="str">
        <x:v>E-045</x:v>
      </x:c>
      <x:c r="O89" s="3" t="str">
        <x:v>S-091</x:v>
      </x:c>
      <x:c r="P89" s="3" t="str">
        <x:v>documents</x:v>
      </x:c>
      <x:c r="Q89" s="3" t="str">
        <x:f>IF(OR(H89='Read Me + Evidence'!$K$6,H89='Read Me + Evidence'!$K$7,H89='Read Me + Evidence'!$K$8,P89='Read Me + Evidence'!$K$9,P89='Read Me + Evidence'!$K$10),'Read Me + Evidence'!$K$12,'Read Me + Evidence'!$K$11)</x:f>
        <x:v>GUI</x:v>
      </x:c>
      <x:c r="R89" s="14" t="n">
        <x:f>IF(AND(Q89='Read Me + Evidence'!$K$11,OR(D89='Read Me + Evidence'!$H$7,D89='Read Me + Evidence'!$H$8,D89='Read Me + Evidence'!$H$9)),1,0)</x:f>
        <x:v>1</x:v>
      </x:c>
      <x:c r="S89" s="14" t="n">
        <x:f>IF(AND(Q89='Read Me + Evidence'!$K$11,D89='Read Me + Evidence'!$H$7),1,0)</x:f>
        <x:v>1</x:v>
      </x:c>
      <x:c r="T89" s="14" t="n">
        <x:f>IF(AND(Q89='Read Me + Evidence'!$K$11,D89&lt;&gt;'Read Me + Evidence'!$H$12),1,0)</x:f>
        <x:v>1</x:v>
      </x:c>
      <x:c r="U89" s="3" t="str"/>
    </x:row>
    <x:row r="90" ht="153" customHeight="1">
      <x:c r="A90" s="3" t="str">
        <x:v>DOC-02</x:v>
      </x:c>
      <x:c r="B90" s="3" t="str">
        <x:v>Documents</x:v>
      </x:c>
      <x:c r="C90" s="3" t="str">
        <x:v>New and edit</x:v>
      </x:c>
      <x:c r="D90" s="13" t="str">
        <x:v>Pass</x:v>
      </x:c>
      <x:c r="E90" s="3" t="str">
        <x:v>Editor keeps unsaved state honest and stores only through typed Runtime resources.</x:v>
      </x:c>
      <x:c r="F90" s="12" t="str">
        <x:v>dc0f5e46 repairs incremental Markdown editing. Audit title/draft persists, '# ' can continue to a heading, task edits autosave and reopen in a fresh app window. Only audit-owned au.md edited.</x:v>
      </x:c>
      <x:c r="G90" s="3" t="str">
        <x:v>controlled-files</x:v>
      </x:c>
      <x:c r="H90" s="3" t="str">
        <x:v>implemented-source</x:v>
      </x:c>
      <x:c r="I90" s="3" t="str">
        <x:v>New; Title; Editor</x:v>
      </x:c>
      <x:c r="J90" s="3" t="str">
        <x:v>1. Create disposable draft
2. Type text
3. Change title</x:v>
      </x:c>
      <x:c r="K90" s="3" t="str">
        <x:v>Disposable document</x:v>
      </x:c>
      <x:c r="L90" s="3" t="str">
        <x:v>F-23</x:v>
      </x:c>
      <x:c r="M90" s="3" t="str"/>
      <x:c r="N90" s="3" t="str">
        <x:v>E-045; E-055; E-056</x:v>
      </x:c>
      <x:c r="O90" s="3" t="str">
        <x:v>S-092</x:v>
      </x:c>
      <x:c r="P90" s="3" t="str">
        <x:v>documents</x:v>
      </x:c>
      <x:c r="Q90" s="3" t="str">
        <x:f>IF(OR(H90='Read Me + Evidence'!$K$6,H90='Read Me + Evidence'!$K$7,H90='Read Me + Evidence'!$K$8,P90='Read Me + Evidence'!$K$9,P90='Read Me + Evidence'!$K$10),'Read Me + Evidence'!$K$12,'Read Me + Evidence'!$K$11)</x:f>
        <x:v>GUI</x:v>
      </x:c>
      <x:c r="R90" s="14" t="n">
        <x:f>IF(AND(Q90='Read Me + Evidence'!$K$11,OR(D90='Read Me + Evidence'!$H$7,D90='Read Me + Evidence'!$H$8,D90='Read Me + Evidence'!$H$9)),1,0)</x:f>
        <x:v>1</x:v>
      </x:c>
      <x:c r="S90" s="14" t="n">
        <x:f>IF(AND(Q90='Read Me + Evidence'!$K$11,D90='Read Me + Evidence'!$H$7),1,0)</x:f>
        <x:v>1</x:v>
      </x:c>
      <x:c r="T90" s="14" t="n">
        <x:f>IF(AND(Q90='Read Me + Evidence'!$K$11,D90&lt;&gt;'Read Me + Evidence'!$H$12),1,0)</x:f>
        <x:v>1</x:v>
      </x:c>
      <x:c r="U90" s="3" t="str"/>
    </x:row>
    <x:row r="91" ht="153" customHeight="1">
      <x:c r="A91" s="3" t="str">
        <x:v>DOC-03</x:v>
      </x:c>
      <x:c r="B91" s="3" t="str">
        <x:v>Documents</x:v>
      </x:c>
      <x:c r="C91" s="3" t="str">
        <x:v>View modes</x:v>
      </x:c>
      <x:c r="D91" s="13" t="str">
        <x:v>Pass</x:v>
      </x:c>
      <x:c r="E91" s="3" t="str">
        <x:v>Preview is safe, layout stable and editor position/content preserved.</x:v>
      </x:c>
      <x:c r="F91" s="12" t="str">
        <x:v>dc0f5e46 Write/Split/Read preserve the heading-rich audit document. Outline lists H1 Audit/H2 Section and its local section link activates; saved content survives app reopen.</x:v>
      </x:c>
      <x:c r="G91" s="3" t="str">
        <x:v>controlled-layout</x:v>
      </x:c>
      <x:c r="H91" s="3" t="str">
        <x:v>implemented-source</x:v>
      </x:c>
      <x:c r="I91" s="3" t="str">
        <x:v>Write; Split; Read; Preview; Outline; History</x:v>
      </x:c>
      <x:c r="J91" s="3" t="str">
        <x:v>1. Switch modes on heading-rich fixture
2. Follow outline</x:v>
      </x:c>
      <x:c r="K91" s="3" t="str">
        <x:v>Disposable Markdown fixture</x:v>
      </x:c>
      <x:c r="L91" s="3" t="str">
        <x:v>F-23</x:v>
      </x:c>
      <x:c r="M91" s="3" t="str"/>
      <x:c r="N91" s="3" t="str">
        <x:v>E-045; E-055; E-056</x:v>
      </x:c>
      <x:c r="O91" s="3" t="str">
        <x:v>S-093</x:v>
      </x:c>
      <x:c r="P91" s="3" t="str">
        <x:v>documents</x:v>
      </x:c>
      <x:c r="Q91" s="3" t="str">
        <x:f>IF(OR(H91='Read Me + Evidence'!$K$6,H91='Read Me + Evidence'!$K$7,H91='Read Me + Evidence'!$K$8,P91='Read Me + Evidence'!$K$9,P91='Read Me + Evidence'!$K$10),'Read Me + Evidence'!$K$12,'Read Me + Evidence'!$K$11)</x:f>
        <x:v>GUI</x:v>
      </x:c>
      <x:c r="R91" s="14" t="n">
        <x:f>IF(AND(Q91='Read Me + Evidence'!$K$11,OR(D91='Read Me + Evidence'!$H$7,D91='Read Me + Evidence'!$H$8,D91='Read Me + Evidence'!$H$9)),1,0)</x:f>
        <x:v>1</x:v>
      </x:c>
      <x:c r="S91" s="14" t="n">
        <x:f>IF(AND(Q91='Read Me + Evidence'!$K$11,D91='Read Me + Evidence'!$H$7),1,0)</x:f>
        <x:v>1</x:v>
      </x:c>
      <x:c r="T91" s="14" t="n">
        <x:f>IF(AND(Q91='Read Me + Evidence'!$K$11,D91&lt;&gt;'Read Me + Evidence'!$H$12),1,0)</x:f>
        <x:v>1</x:v>
      </x:c>
      <x:c r="U91" s="3" t="str"/>
    </x:row>
    <x:row r="92" ht="153" customHeight="1">
      <x:c r="A92" s="3" t="str">
        <x:v>DOC-04</x:v>
      </x:c>
      <x:c r="B92" s="3" t="str">
        <x:v>Documents</x:v>
      </x:c>
      <x:c r="C92" s="3" t="str">
        <x:v>Save and conflict</x:v>
      </x:c>
      <x:c r="D92" s="13" t="str">
        <x:v>Pass</x:v>
      </x:c>
      <x:c r="E92" s="3" t="str">
        <x:v>Runtime revisions own durable state; error/conflict never silently overwrites another version.</x:v>
      </x:c>
      <x:c r="F92" s="12" t="str">
        <x: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x:v>
      </x:c>
      <x:c r="G92" s="3" t="str">
        <x:v>controlled-files</x:v>
      </x:c>
      <x:c r="H92" s="3" t="str">
        <x:v>implemented-source</x:v>
      </x:c>
      <x:c r="I92" s="3" t="str">
        <x:v>Save; Save As; Filename; Create; Cancel</x:v>
      </x:c>
      <x:c r="J92" s="3" t="str">
        <x:v>1. Save disposable draft
2. Save As
3. Inspect duplicate/conflict or offline state</x:v>
      </x:c>
      <x:c r="K92" s="3" t="str">
        <x:v>Disposable writable document</x:v>
      </x:c>
      <x:c r="L92" s="3" t="str"/>
      <x:c r="M92" s="3" t="str"/>
      <x:c r="N92" s="3" t="str">
        <x:v>E-045; E-062</x:v>
      </x:c>
      <x:c r="O92" s="3" t="str">
        <x:v>S-094</x:v>
      </x:c>
      <x:c r="P92" s="3" t="str">
        <x:v>documents</x:v>
      </x:c>
      <x:c r="Q92" s="3" t="str">
        <x:f>IF(OR(H92='Read Me + Evidence'!$K$6,H92='Read Me + Evidence'!$K$7,H92='Read Me + Evidence'!$K$8,P92='Read Me + Evidence'!$K$9,P92='Read Me + Evidence'!$K$10),'Read Me + Evidence'!$K$12,'Read Me + Evidence'!$K$11)</x:f>
        <x:v>GUI</x:v>
      </x:c>
      <x:c r="R92" s="14" t="n">
        <x:f>IF(AND(Q92='Read Me + Evidence'!$K$11,OR(D92='Read Me + Evidence'!$H$7,D92='Read Me + Evidence'!$H$8,D92='Read Me + Evidence'!$H$9)),1,0)</x:f>
        <x:v>1</x:v>
      </x:c>
      <x:c r="S92" s="14" t="n">
        <x:f>IF(AND(Q92='Read Me + Evidence'!$K$11,D92='Read Me + Evidence'!$H$7),1,0)</x:f>
        <x:v>1</x:v>
      </x:c>
      <x:c r="T92" s="14" t="n">
        <x:f>IF(AND(Q92='Read Me + Evidence'!$K$11,D92&lt;&gt;'Read Me + Evidence'!$H$12),1,0)</x:f>
        <x:v>1</x:v>
      </x:c>
      <x:c r="U92" s="3" t="str"/>
    </x:row>
    <x:row r="93" ht="153" customHeight="1">
      <x:c r="A93" s="3" t="str">
        <x:v>DOC-05</x:v>
      </x:c>
      <x:c r="B93" s="3" t="str">
        <x:v>Documents</x:v>
      </x:c>
      <x:c r="C93" s="3" t="str">
        <x:v>Find</x:v>
      </x:c>
      <x:c r="D93" s="13" t="str">
        <x:v>Pass</x:v>
      </x:c>
      <x:c r="E93" s="3" t="str">
        <x:v>Matches and focus are correct in current document.</x:v>
      </x:c>
      <x:c r="F93" s="12" t="str">
        <x:v>Home View→Find opens a focused field. alpha gives1/2, visibleNext gives2/2, Previousreturns1/2; absent gives0/0. Close removesFindbar. Only audit text used.</x:v>
      </x:c>
      <x:c r="G93" s="3" t="str">
        <x:v>safe-read-only</x:v>
      </x:c>
      <x:c r="H93" s="3" t="str">
        <x:v>implemented-source</x:v>
      </x:c>
      <x:c r="I93" s="3" t="str">
        <x:v>Find; Previous; Next; Close</x:v>
      </x:c>
      <x:c r="J93" s="3" t="str">
        <x:v>1. Find repeated and absent text
2. Navigate matches
3. Close</x:v>
      </x:c>
      <x:c r="K93" s="3" t="str">
        <x:v>Harmless text fixture</x:v>
      </x:c>
      <x:c r="L93" s="3" t="str"/>
      <x:c r="M93" s="3" t="str"/>
      <x:c r="N93" s="3" t="str">
        <x:v>E-045</x:v>
      </x:c>
      <x:c r="O93" s="3" t="str">
        <x:v>S-095</x:v>
      </x:c>
      <x:c r="P93" s="3" t="str">
        <x:v>documents</x:v>
      </x:c>
      <x:c r="Q93" s="3" t="str">
        <x:f>IF(OR(H93='Read Me + Evidence'!$K$6,H93='Read Me + Evidence'!$K$7,H93='Read Me + Evidence'!$K$8,P93='Read Me + Evidence'!$K$9,P93='Read Me + Evidence'!$K$10),'Read Me + Evidence'!$K$12,'Read Me + Evidence'!$K$11)</x:f>
        <x:v>GUI</x:v>
      </x:c>
      <x:c r="R93" s="14" t="n">
        <x:f>IF(AND(Q93='Read Me + Evidence'!$K$11,OR(D93='Read Me + Evidence'!$H$7,D93='Read Me + Evidence'!$H$8,D93='Read Me + Evidence'!$H$9)),1,0)</x:f>
        <x:v>1</x:v>
      </x:c>
      <x:c r="S93" s="14" t="n">
        <x:f>IF(AND(Q93='Read Me + Evidence'!$K$11,D93='Read Me + Evidence'!$H$7),1,0)</x:f>
        <x:v>1</x:v>
      </x:c>
      <x:c r="T93" s="14" t="n">
        <x:f>IF(AND(Q93='Read Me + Evidence'!$K$11,D93&lt;&gt;'Read Me + Evidence'!$H$12),1,0)</x:f>
        <x:v>1</x:v>
      </x:c>
      <x:c r="U93" s="3" t="str"/>
    </x:row>
    <x:row r="94" ht="153" customHeight="1">
      <x:c r="A94" s="3" t="str">
        <x:v>DOC-06</x:v>
      </x:c>
      <x:c r="B94" s="3" t="str">
        <x:v>Documents</x:v>
      </x:c>
      <x:c r="C94" s="3" t="str">
        <x:v>Markdown and tasks</x:v>
      </x:c>
      <x:c r="D94" s="13" t="str">
        <x:v>Fail</x:v>
      </x:c>
      <x:c r="E94" s="3" t="str">
        <x:v>Rendered content is safe; task changes are explicit editor mutations.</x:v>
      </x:c>
      <x:c r="F94" s="12" t="str">
        <x:v>F-23 heading stall is fixed. Script-like text stays inert, unsafe links become#, and task checkbox updates Markdown. Separate F-45 truncates balanced URL parentheses; no unsafe or external link was followed.</x:v>
      </x:c>
      <x:c r="G94" s="3" t="str">
        <x:v>controlled-files</x:v>
      </x:c>
      <x:c r="H94" s="3" t="str">
        <x:v>implemented-source</x:v>
      </x:c>
      <x:c r="I94" s="3" t="str">
        <x:v>Task checkbox; Links; Code; Preview</x:v>
      </x:c>
      <x:c r="J94" s="3" t="str">
        <x:v>1. Inspect script-like text/inert links
2. Toggle disposable task item</x:v>
      </x:c>
      <x:c r="K94" s="3" t="str">
        <x:v>Safe Markdown fixture</x:v>
      </x:c>
      <x:c r="L94" s="3" t="str">
        <x:v>F-23; F-45</x:v>
      </x:c>
      <x:c r="M94" s="3" t="str"/>
      <x:c r="N94" s="3" t="str">
        <x:v>E-045; E-055; E-056</x:v>
      </x:c>
      <x:c r="O94" s="3" t="str">
        <x:v>S-096</x:v>
      </x:c>
      <x:c r="P94" s="3" t="str">
        <x:v>documents</x:v>
      </x:c>
      <x:c r="Q94" s="3" t="str">
        <x:f>IF(OR(H94='Read Me + Evidence'!$K$6,H94='Read Me + Evidence'!$K$7,H94='Read Me + Evidence'!$K$8,P94='Read Me + Evidence'!$K$9,P94='Read Me + Evidence'!$K$10),'Read Me + Evidence'!$K$12,'Read Me + Evidence'!$K$11)</x:f>
        <x:v>GUI</x:v>
      </x:c>
      <x:c r="R94" s="14" t="n">
        <x:f>IF(AND(Q94='Read Me + Evidence'!$K$11,OR(D94='Read Me + Evidence'!$H$7,D94='Read Me + Evidence'!$H$8,D94='Read Me + Evidence'!$H$9)),1,0)</x:f>
        <x:v>1</x:v>
      </x:c>
      <x:c r="S94" s="14" t="n">
        <x:f>IF(AND(Q94='Read Me + Evidence'!$K$11,D94='Read Me + Evidence'!$H$7),1,0)</x:f>
        <x:v>0</x:v>
      </x:c>
      <x:c r="T94" s="14" t="n">
        <x:f>IF(AND(Q94='Read Me + Evidence'!$K$11,D94&lt;&gt;'Read Me + Evidence'!$H$12),1,0)</x:f>
        <x:v>1</x:v>
      </x:c>
      <x:c r="U94" s="3" t="str"/>
    </x:row>
    <x:row r="95" ht="153" customHeight="1">
      <x:c r="A95" s="3" t="str">
        <x:v>DOC-07</x:v>
      </x:c>
      <x:c r="B95" s="3" t="str">
        <x:v>Documents</x:v>
      </x:c>
      <x:c r="C95" s="3" t="str">
        <x:v>History</x:v>
      </x:c>
      <x:c r="D95" s="13" t="str">
        <x:v>Partially observed</x:v>
      </x:c>
      <x:c r="E95" s="3" t="str">
        <x:v>Revision state stays explicit and does not overwrite current content without an intended save.</x:v>
      </x:c>
      <x:c r="F95" s="12" t="str">
        <x:v>History tab opens and states No published revisions yet for private Audit20260830. Selecting a published revision requires an explicitly approved published fixture; publication was not performed.</x:v>
      </x:c>
      <x:c r="G95" s="3" t="str">
        <x:v>safe-read-only</x:v>
      </x:c>
      <x:c r="H95" s="3" t="str">
        <x:v>implemented-source</x:v>
      </x:c>
      <x:c r="I95" s="3" t="str">
        <x:v>History tab; Revision choice</x:v>
      </x:c>
      <x:c r="J95" s="3" t="str">
        <x:v>1. Inspect disposable revision history
2. Select a prior revision</x:v>
      </x:c>
      <x:c r="K95" s="3" t="str">
        <x:v>Document with test revisions</x:v>
      </x:c>
      <x:c r="L95" s="3" t="str"/>
      <x:c r="M95" s="3" t="str"/>
      <x:c r="N95" s="3" t="str">
        <x:v>E-045</x:v>
      </x:c>
      <x:c r="O95" s="3" t="str">
        <x:v>S-097</x:v>
      </x:c>
      <x:c r="P95" s="3" t="str">
        <x:v>documents</x:v>
      </x:c>
      <x:c r="Q95" s="3" t="str">
        <x:f>IF(OR(H95='Read Me + Evidence'!$K$6,H95='Read Me + Evidence'!$K$7,H95='Read Me + Evidence'!$K$8,P95='Read Me + Evidence'!$K$9,P95='Read Me + Evidence'!$K$10),'Read Me + Evidence'!$K$12,'Read Me + Evidence'!$K$11)</x:f>
        <x:v>GUI</x:v>
      </x:c>
      <x:c r="R95" s="14" t="n">
        <x:f>IF(AND(Q95='Read Me + Evidence'!$K$11,OR(D95='Read Me + Evidence'!$H$7,D95='Read Me + Evidence'!$H$8,D95='Read Me + Evidence'!$H$9)),1,0)</x:f>
        <x:v>1</x:v>
      </x:c>
      <x:c r="S95" s="14" t="n">
        <x:f>IF(AND(Q95='Read Me + Evidence'!$K$11,D95='Read Me + Evidence'!$H$7),1,0)</x:f>
        <x:v>0</x:v>
      </x:c>
      <x:c r="T95" s="14" t="n">
        <x:f>IF(AND(Q95='Read Me + Evidence'!$K$11,D95&lt;&gt;'Read Me + Evidence'!$H$12),1,0)</x:f>
        <x:v>1</x:v>
      </x:c>
      <x:c r="U95" s="3" t="str"/>
    </x:row>
    <x:row r="96" ht="153" customHeight="1">
      <x:c r="A96" s="3" t="str">
        <x:v>DOC-08</x:v>
      </x:c>
      <x:c r="B96" s="3" t="str">
        <x:v>Documents</x:v>
      </x:c>
      <x:c r="C96" s="3" t="str">
        <x:v>Publish and public link</x:v>
      </x:c>
      <x:c r="D96" s="13" t="str">
        <x:v>Blocked prerequisite</x:v>
      </x:c>
      <x:c r="E96" s="3" t="str">
        <x:v>Content path owns CID/public revision; ordinary publishing is not minting or encryption.</x:v>
      </x:c>
      <x:c r="F96" s="12" t="str">
        <x:v>Publish is visible on the private audit document, while Unpublish is disabled. Public publication and Clipboard export require explicit consent; this audit has preserved private content.</x:v>
      </x:c>
      <x:c r="G96" s="3" t="str">
        <x:v>controlled-publication</x:v>
      </x:c>
      <x:c r="H96" s="3" t="str">
        <x:v>implemented-source</x:v>
      </x:c>
      <x:c r="I96" s="3" t="str">
        <x:v>Publish; Copy published link; Unpublish</x:v>
      </x:c>
      <x:c r="J96" s="3" t="str">
        <x:v>1. Inspect publish state
2. Publish only approved fixture
3. Copy link</x:v>
      </x:c>
      <x:c r="K96" s="3" t="str">
        <x:v>Explicit public-content consent</x:v>
      </x:c>
      <x:c r="L96" s="3" t="str"/>
      <x:c r="M96" s="3" t="str"/>
      <x:c r="N96" s="3" t="str">
        <x:v>E-045</x:v>
      </x:c>
      <x:c r="O96" s="3" t="str">
        <x:v>S-098</x:v>
      </x:c>
      <x:c r="P96" s="3" t="str">
        <x:v>documents</x:v>
      </x:c>
      <x:c r="Q96" s="3" t="str">
        <x:f>IF(OR(H96='Read Me + Evidence'!$K$6,H96='Read Me + Evidence'!$K$7,H96='Read Me + Evidence'!$K$8,P96='Read Me + Evidence'!$K$9,P96='Read Me + Evidence'!$K$10),'Read Me + Evidence'!$K$12,'Read Me + Evidence'!$K$11)</x:f>
        <x:v>GUI</x:v>
      </x:c>
      <x:c r="R96" s="14" t="n">
        <x:f>IF(AND(Q96='Read Me + Evidence'!$K$11,OR(D96='Read Me + Evidence'!$H$7,D96='Read Me + Evidence'!$H$8,D96='Read Me + Evidence'!$H$9)),1,0)</x:f>
        <x:v>0</x:v>
      </x:c>
      <x:c r="S96" s="14" t="n">
        <x:f>IF(AND(Q96='Read Me + Evidence'!$K$11,D96='Read Me + Evidence'!$H$7),1,0)</x:f>
        <x:v>0</x:v>
      </x:c>
      <x:c r="T96" s="14" t="n">
        <x:f>IF(AND(Q96='Read Me + Evidence'!$K$11,D96&lt;&gt;'Read Me + Evidence'!$H$12),1,0)</x:f>
        <x:v>1</x:v>
      </x:c>
      <x:c r="U96" s="3" t="str"/>
    </x:row>
    <x:row r="97" ht="153" customHeight="1">
      <x:c r="A97" s="3" t="str">
        <x:v>DOC-09</x:v>
      </x:c>
      <x:c r="B97" s="3" t="str">
        <x:v>Documents</x:v>
      </x:c>
      <x:c r="C97" s="3" t="str">
        <x:v>Context and delete</x:v>
      </x:c>
      <x:c r="D97" s="13" t="str">
        <x:v>Fail</x:v>
      </x:c>
      <x:c r="E97" s="3" t="str">
        <x:v>Context action targets selected document; destructive action is explicit.</x:v>
      </x:c>
      <x:c r="F97" s="12" t="str">
        <x:v>Toolbar deletion confirmation Cancel preserves original audit document. Native ContextMenu key opens Duplicate/Publish/Delete; Enter Duplicate closes menu but creates nothing. F50 source clears target identity before selecting it.</x:v>
      </x:c>
      <x:c r="G97" s="3" t="str">
        <x:v>destructive-controlled</x:v>
      </x:c>
      <x:c r="H97" s="3" t="str">
        <x:v>implemented-source</x:v>
      </x:c>
      <x:c r="I97" s="3" t="str">
        <x:v>Duplicate; Delete; Confirmation</x:v>
      </x:c>
      <x:c r="J97" s="3" t="str">
        <x:v>1. Duplicate disposable document
2. Open deletion confirmation
3. Cancel</x:v>
      </x:c>
      <x:c r="K97" s="3" t="str">
        <x:v>Disposable document</x:v>
      </x:c>
      <x:c r="L97" s="3" t="str">
        <x:v>F-50</x:v>
      </x:c>
      <x:c r="M97" s="3" t="str"/>
      <x:c r="N97" s="3" t="str">
        <x:v>E-045; E-062</x:v>
      </x:c>
      <x:c r="O97" s="3" t="str">
        <x:v>S-099</x:v>
      </x:c>
      <x:c r="P97" s="3" t="str">
        <x:v>documents</x:v>
      </x:c>
      <x:c r="Q97" s="3" t="str">
        <x:f>IF(OR(H97='Read Me + Evidence'!$K$6,H97='Read Me + Evidence'!$K$7,H97='Read Me + Evidence'!$K$8,P97='Read Me + Evidence'!$K$9,P97='Read Me + Evidence'!$K$10),'Read Me + Evidence'!$K$12,'Read Me + Evidence'!$K$11)</x:f>
        <x:v>GUI</x:v>
      </x:c>
      <x:c r="R97" s="14" t="n">
        <x:f>IF(AND(Q97='Read Me + Evidence'!$K$11,OR(D97='Read Me + Evidence'!$H$7,D97='Read Me + Evidence'!$H$8,D97='Read Me + Evidence'!$H$9)),1,0)</x:f>
        <x:v>1</x:v>
      </x:c>
      <x:c r="S97" s="14" t="n">
        <x:f>IF(AND(Q97='Read Me + Evidence'!$K$11,D97='Read Me + Evidence'!$H$7),1,0)</x:f>
        <x:v>0</x:v>
      </x:c>
      <x:c r="T97" s="14" t="n">
        <x:f>IF(AND(Q97='Read Me + Evidence'!$K$11,D97&lt;&gt;'Read Me + Evidence'!$H$12),1,0)</x:f>
        <x:v>1</x:v>
      </x:c>
      <x:c r="U97" s="3" t="str"/>
    </x:row>
    <x:row r="98" ht="153" customHeight="1">
      <x:c r="A98" s="3" t="str">
        <x:v>DOC-10</x:v>
      </x:c>
      <x:c r="B98" s="3" t="str">
        <x:v>Documents</x:v>
      </x:c>
      <x:c r="C98" s="3" t="str">
        <x:v>Library/chat/content launch</x:v>
      </x:c>
      <x:c r="D98" s="13" t="str">
        <x:v>Partially observed</x:v>
      </x:c>
      <x:c r="E98" s="3" t="str">
        <x:v>Viewer preserves exact content identity and permission; source link does not itself grant access.</x:v>
      </x:c>
      <x:c r="F98" s="12" t="str">
        <x:v>Library fixture.md opens exact title in Documents with Opened from Library status. Chat/CID/locked-object routes require separate controlled objects and consenting room.</x:v>
      </x:c>
      <x:c r="G98" s="3" t="str">
        <x:v>controlled-session</x:v>
      </x:c>
      <x:c r="H98" s="3" t="str">
        <x:v>implemented-source</x:v>
      </x:c>
      <x:c r="I98" s="3" t="str">
        <x:v>Open object; Attachment; Published revision</x:v>
      </x:c>
      <x:c r="J98" s="3" t="str">
        <x:v>1. Open same fixture from Library/Chat/CID
2. Inspect locked content</x:v>
      </x:c>
      <x:c r="K98" s="3" t="str">
        <x:v>Controlled object/attachment</x:v>
      </x:c>
      <x:c r="L98" s="3" t="str"/>
      <x:c r="M98" s="3" t="str"/>
      <x:c r="N98" s="3" t="str">
        <x:v>E-044; E-045</x:v>
      </x:c>
      <x:c r="O98" s="3" t="str">
        <x:v>S-100</x:v>
      </x:c>
      <x:c r="P98" s="3" t="str">
        <x:v>documents</x:v>
      </x:c>
      <x:c r="Q98" s="3" t="str">
        <x:f>IF(OR(H98='Read Me + Evidence'!$K$6,H98='Read Me + Evidence'!$K$7,H98='Read Me + Evidence'!$K$8,P98='Read Me + Evidence'!$K$9,P98='Read Me + Evidence'!$K$10),'Read Me + Evidence'!$K$12,'Read Me + Evidence'!$K$11)</x:f>
        <x:v>GUI</x:v>
      </x:c>
      <x:c r="R98" s="14" t="n">
        <x:f>IF(AND(Q98='Read Me + Evidence'!$K$11,OR(D98='Read Me + Evidence'!$H$7,D98='Read Me + Evidence'!$H$8,D98='Read Me + Evidence'!$H$9)),1,0)</x:f>
        <x:v>1</x:v>
      </x:c>
      <x:c r="S98" s="14" t="n">
        <x:f>IF(AND(Q98='Read Me + Evidence'!$K$11,D98='Read Me + Evidence'!$H$7),1,0)</x:f>
        <x:v>0</x:v>
      </x:c>
      <x:c r="T98" s="14" t="n">
        <x:f>IF(AND(Q98='Read Me + Evidence'!$K$11,D98&lt;&gt;'Read Me + Evidence'!$H$12),1,0)</x:f>
        <x:v>1</x:v>
      </x:c>
      <x:c r="U98" s="3" t="str"/>
    </x:row>
    <x:row r="99" ht="153" customHeight="1">
      <x:c r="A99" s="3" t="str">
        <x:v>DOC-11</x:v>
      </x:c>
      <x:c r="B99" s="3" t="str">
        <x:v>Documents</x:v>
      </x:c>
      <x:c r="C99" s="3" t="str">
        <x:v>Close/reopen unsaved state</x:v>
      </x:c>
      <x:c r="D99" s="13" t="str">
        <x:v>Pass</x:v>
      </x:c>
      <x:c r="E99" s="3" t="str">
        <x:v>Unsaved, saved and conflict states stay distinguishable; source presence alone does not prove recovery.</x:v>
      </x:c>
      <x:c r="F99" s="12" t="str">
        <x: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x:v>
      </x:c>
      <x:c r="G99" s="3" t="str">
        <x:v>controlled-files</x:v>
      </x:c>
      <x:c r="H99" s="3" t="str">
        <x:v>implemented-source</x:v>
      </x:c>
      <x:c r="I99" s="3" t="str">
        <x:v>Close Window; Reopen</x:v>
      </x:c>
      <x:c r="J99" s="3" t="str">
        <x:v>1. Edit disposable document
2. Close/reopen deliberately</x:v>
      </x:c>
      <x:c r="K99" s="3" t="str">
        <x:v>Disposable draft only</x:v>
      </x:c>
      <x:c r="L99" s="3" t="str">
        <x:v>F-51</x:v>
      </x:c>
      <x:c r="M99" s="3" t="str"/>
      <x:c r="N99" s="3" t="str">
        <x:v>E-045; E-063; E-064; E-079; E-080; E-081</x:v>
      </x:c>
      <x:c r="O99" s="3" t="str">
        <x:v>S-101</x:v>
      </x:c>
      <x:c r="P99" s="3" t="str">
        <x:v>documents</x:v>
      </x:c>
      <x:c r="Q99" s="3" t="str">
        <x:f>IF(OR(H99='Read Me + Evidence'!$K$6,H99='Read Me + Evidence'!$K$7,H99='Read Me + Evidence'!$K$8,P99='Read Me + Evidence'!$K$9,P99='Read Me + Evidence'!$K$10),'Read Me + Evidence'!$K$12,'Read Me + Evidence'!$K$11)</x:f>
        <x:v>GUI</x:v>
      </x:c>
      <x:c r="R99" s="14" t="n">
        <x:f>IF(AND(Q99='Read Me + Evidence'!$K$11,OR(D99='Read Me + Evidence'!$H$7,D99='Read Me + Evidence'!$H$8,D99='Read Me + Evidence'!$H$9)),1,0)</x:f>
        <x:v>1</x:v>
      </x:c>
      <x:c r="S99" s="14" t="n">
        <x:f>IF(AND(Q99='Read Me + Evidence'!$K$11,D99='Read Me + Evidence'!$H$7),1,0)</x:f>
        <x:v>1</x:v>
      </x:c>
      <x:c r="T99" s="14" t="n">
        <x:f>IF(AND(Q99='Read Me + Evidence'!$K$11,D99&lt;&gt;'Read Me + Evidence'!$H$12),1,0)</x:f>
        <x:v>1</x:v>
      </x:c>
      <x:c r="U99" s="3" t="str"/>
    </x:row>
    <x:row r="100" ht="153" customHeight="1">
      <x:c r="A100" s="3" t="str">
        <x:v>ARCHIVE-01</x:v>
      </x:c>
      <x:c r="B100" s="3" t="str">
        <x:v>Archive</x:v>
      </x:c>
      <x:c r="C100" s="3" t="str">
        <x:v>Open/archive picker</x:v>
      </x:c>
      <x:c r="D100" s="13" t="str">
        <x:v>Fail</x:v>
      </x:c>
      <x:c r="E100" s="3" t="str">
        <x:v>Picker retains exact Home authority; archive content is inspected without extraction.</x:v>
      </x:c>
      <x:c r="F100" s="12" t="str">
        <x:v>Open archive launches the scoped Library picker, and no-selection validation is clear. Selecting the audit ZIP closes the picker but leaves Archive empty (F-35).</x:v>
      </x:c>
      <x:c r="G100" s="3" t="str">
        <x:v>controlled-session</x:v>
      </x:c>
      <x:c r="H100" s="3" t="str">
        <x:v>implemented-source</x:v>
      </x:c>
      <x:c r="I100" s="3" t="str">
        <x:v>Open Existing; Open; Library picker; Cancel</x:v>
      </x:c>
      <x:c r="J100" s="3" t="str">
        <x:v>1. Open bounded ZIP fixture via Home and standalone-supported path</x:v>
      </x:c>
      <x:c r="K100" s="3" t="str">
        <x:v>Safe ZIP fixture</x:v>
      </x:c>
      <x:c r="L100" s="3" t="str">
        <x:v>F-35</x:v>
      </x:c>
      <x:c r="M100" s="3" t="str"/>
      <x:c r="N100" s="3" t="str">
        <x:v>E-050</x:v>
      </x:c>
      <x:c r="O100" s="3" t="str">
        <x:v>S-102</x:v>
      </x:c>
      <x:c r="P100" s="3" t="str">
        <x:v>archive-manager</x:v>
      </x:c>
      <x:c r="Q100" s="3" t="str">
        <x:f>IF(OR(H100='Read Me + Evidence'!$K$6,H100='Read Me + Evidence'!$K$7,H100='Read Me + Evidence'!$K$8,P100='Read Me + Evidence'!$K$9,P100='Read Me + Evidence'!$K$10),'Read Me + Evidence'!$K$12,'Read Me + Evidence'!$K$11)</x:f>
        <x:v>GUI</x:v>
      </x:c>
      <x:c r="R100" s="14" t="n">
        <x:f>IF(AND(Q100='Read Me + Evidence'!$K$11,OR(D100='Read Me + Evidence'!$H$7,D100='Read Me + Evidence'!$H$8,D100='Read Me + Evidence'!$H$9)),1,0)</x:f>
        <x:v>1</x:v>
      </x:c>
      <x:c r="S100" s="14" t="n">
        <x:f>IF(AND(Q100='Read Me + Evidence'!$K$11,D100='Read Me + Evidence'!$H$7),1,0)</x:f>
        <x:v>0</x:v>
      </x:c>
      <x:c r="T100" s="14" t="n">
        <x:f>IF(AND(Q100='Read Me + Evidence'!$K$11,D100&lt;&gt;'Read Me + Evidence'!$H$12),1,0)</x:f>
        <x:v>1</x:v>
      </x:c>
      <x:c r="U100" s="3" t="str"/>
    </x:row>
    <x:row r="101" ht="153" customHeight="1">
      <x:c r="A101" s="3" t="str">
        <x:v>ARCHIVE-02</x:v>
      </x:c>
      <x:c r="B101" s="3" t="str">
        <x:v>Archive</x:v>
      </x:c>
      <x:c r="C101" s="3" t="str">
        <x:v>Create ZIP</x:v>
      </x:c>
      <x:c r="D101" s="13" t="str">
        <x:v>Fail</x:v>
      </x:c>
      <x:c r="E101" s="3" t="str">
        <x:v>Archive creation uses exact selected objects and typed Runtime operations.</x:v>
      </x:c>
      <x:c r="F101" s="12" t="str">
        <x:v>New ZIP creates only audit-20260830/fixture.md.zip (118B) from fixture.md, but the promised Archive handoff fails (F-35).</x:v>
      </x:c>
      <x:c r="G101" s="3" t="str">
        <x:v>controlled-files</x:v>
      </x:c>
      <x:c r="H101" s="3" t="str">
        <x:v>implemented-source</x:v>
      </x:c>
      <x:c r="I101" s="3" t="str">
        <x:v>New ZIP; New; Select files; Cancel</x:v>
      </x:c>
      <x:c r="J101" s="3" t="str">
        <x:v>1. Choose disposable files in Library
2. Create only in audit folder</x:v>
      </x:c>
      <x:c r="K101" s="3" t="str">
        <x:v>Disposable files</x:v>
      </x:c>
      <x:c r="L101" s="3" t="str">
        <x:v>F-35</x:v>
      </x:c>
      <x:c r="M101" s="3" t="str"/>
      <x:c r="N101" s="3" t="str">
        <x:v>E-050</x:v>
      </x:c>
      <x:c r="O101" s="3" t="str">
        <x:v>S-103</x:v>
      </x:c>
      <x:c r="P101" s="3" t="str">
        <x:v>archive-manager</x:v>
      </x:c>
      <x:c r="Q101" s="3" t="str">
        <x:f>IF(OR(H101='Read Me + Evidence'!$K$6,H101='Read Me + Evidence'!$K$7,H101='Read Me + Evidence'!$K$8,P101='Read Me + Evidence'!$K$9,P101='Read Me + Evidence'!$K$10),'Read Me + Evidence'!$K$12,'Read Me + Evidence'!$K$11)</x:f>
        <x:v>GUI</x:v>
      </x:c>
      <x:c r="R101" s="14" t="n">
        <x:f>IF(AND(Q101='Read Me + Evidence'!$K$11,OR(D101='Read Me + Evidence'!$H$7,D101='Read Me + Evidence'!$H$8,D101='Read Me + Evidence'!$H$9)),1,0)</x:f>
        <x:v>1</x:v>
      </x:c>
      <x:c r="S101" s="14" t="n">
        <x:f>IF(AND(Q101='Read Me + Evidence'!$K$11,D101='Read Me + Evidence'!$H$7),1,0)</x:f>
        <x:v>0</x:v>
      </x:c>
      <x:c r="T101" s="14" t="n">
        <x:f>IF(AND(Q101='Read Me + Evidence'!$K$11,D101&lt;&gt;'Read Me + Evidence'!$H$12),1,0)</x:f>
        <x:v>1</x:v>
      </x:c>
      <x:c r="U101" s="3" t="str"/>
    </x:row>
    <x:row r="102" ht="153" customHeight="1">
      <x:c r="A102" s="3" t="str">
        <x:v>ARCHIVE-03</x:v>
      </x:c>
      <x:c r="B102" s="3" t="str">
        <x:v>Archive</x:v>
      </x:c>
      <x:c r="C102" s="3" t="str">
        <x:v>Inspect and selection</x:v>
      </x:c>
      <x:c r="D102" s="13" t="str">
        <x:v>Fail</x:v>
      </x:c>
      <x:c r="E102" s="3" t="str">
        <x:v>Selection excludes unsafe entries; file names and counts remain readable.</x:v>
      </x:c>
      <x:c r="F102" s="12" t="str">
        <x:v>Direct Library launch loads the audit ZIP and its one0B entry. Search absent state and Select visible/Clear work. F-36 mislabels the empty text preview as binary; unsafe-entry fixtures remain pending.</x:v>
      </x:c>
      <x:c r="G102" s="3" t="str">
        <x:v>safe-read-only</x:v>
      </x:c>
      <x:c r="H102" s="3" t="str">
        <x:v>implemented-source</x:v>
      </x:c>
      <x:c r="I102" s="3" t="str">
        <x:v>Search; Select Visible; Clear; Entry list</x:v>
      </x:c>
      <x:c r="J102" s="3" t="str">
        <x:v>1. Search names
2. Select safe subset
3. Inspect unsupported or blocked entries</x:v>
      </x:c>
      <x:c r="K102" s="3" t="str">
        <x:v>Safe archive fixture</x:v>
      </x:c>
      <x:c r="L102" s="3" t="str">
        <x:v>F-36; F-37</x:v>
      </x:c>
      <x:c r="M102" s="3" t="str"/>
      <x:c r="N102" s="3" t="str">
        <x:v>E-050</x:v>
      </x:c>
      <x:c r="O102" s="3" t="str">
        <x:v>S-104</x:v>
      </x:c>
      <x:c r="P102" s="3" t="str">
        <x:v>archive-manager</x:v>
      </x:c>
      <x:c r="Q102" s="3" t="str">
        <x:f>IF(OR(H102='Read Me + Evidence'!$K$6,H102='Read Me + Evidence'!$K$7,H102='Read Me + Evidence'!$K$8,P102='Read Me + Evidence'!$K$9,P102='Read Me + Evidence'!$K$10),'Read Me + Evidence'!$K$12,'Read Me + Evidence'!$K$11)</x:f>
        <x:v>GUI</x:v>
      </x:c>
      <x:c r="R102" s="14" t="n">
        <x:f>IF(AND(Q102='Read Me + Evidence'!$K$11,OR(D102='Read Me + Evidence'!$H$7,D102='Read Me + Evidence'!$H$8,D102='Read Me + Evidence'!$H$9)),1,0)</x:f>
        <x:v>1</x:v>
      </x:c>
      <x:c r="S102" s="14" t="n">
        <x:f>IF(AND(Q102='Read Me + Evidence'!$K$11,D102='Read Me + Evidence'!$H$7),1,0)</x:f>
        <x:v>0</x:v>
      </x:c>
      <x:c r="T102" s="14" t="n">
        <x:f>IF(AND(Q102='Read Me + Evidence'!$K$11,D102&lt;&gt;'Read Me + Evidence'!$H$12),1,0)</x:f>
        <x:v>1</x:v>
      </x:c>
      <x:c r="U102" s="3" t="str"/>
    </x:row>
    <x:row r="103" ht="153" customHeight="1">
      <x:c r="A103" s="3" t="str">
        <x:v>ARCHIVE-04</x:v>
      </x:c>
      <x:c r="B103" s="3" t="str">
        <x:v>Archive</x:v>
      </x:c>
      <x:c r="C103" s="3" t="str">
        <x:v>Extract selection/all</x:v>
      </x:c>
      <x:c r="D103" s="13" t="str">
        <x:v>Partially observed</x:v>
      </x:c>
      <x:c r="E103" s="3" t="str">
        <x:v>Destination and entry paths are validated; collision policy is explicit.</x:v>
      </x:c>
      <x:c r="F103" s="12" t="str">
        <x:v>In the audit folder only, Skip returned 0 written/1 skipped; Keep both returned 1 written/0 skipped. Existing fixture preserved. Replace was inspected but remains unexecuted to preserve original bytes.</x:v>
      </x:c>
      <x:c r="G103" s="3" t="str">
        <x:v>controlled-files</x:v>
      </x:c>
      <x:c r="H103" s="3" t="str">
        <x:v>implemented-source</x:v>
      </x:c>
      <x:c r="I103" s="3" t="str">
        <x:v>Destination; Conflict policy; Extract Selected; Extract All</x:v>
      </x:c>
      <x:c r="J103" s="3" t="str">
        <x:v>1. Inspect keep-both/replace/skip
2. Cancel; extract only bounded fixture</x:v>
      </x:c>
      <x:c r="K103" s="3" t="str">
        <x:v>Disposable target directory</x:v>
      </x:c>
      <x:c r="L103" s="3" t="str"/>
      <x:c r="M103" s="3" t="str"/>
      <x:c r="N103" s="3" t="str">
        <x:v>E-050</x:v>
      </x:c>
      <x:c r="O103" s="3" t="str">
        <x:v>S-105</x:v>
      </x:c>
      <x:c r="P103" s="3" t="str">
        <x:v>archive-manager</x:v>
      </x:c>
      <x:c r="Q103" s="3" t="str">
        <x:f>IF(OR(H103='Read Me + Evidence'!$K$6,H103='Read Me + Evidence'!$K$7,H103='Read Me + Evidence'!$K$8,P103='Read Me + Evidence'!$K$9,P103='Read Me + Evidence'!$K$10),'Read Me + Evidence'!$K$12,'Read Me + Evidence'!$K$11)</x:f>
        <x:v>GUI</x:v>
      </x:c>
      <x:c r="R103" s="14" t="n">
        <x:f>IF(AND(Q103='Read Me + Evidence'!$K$11,OR(D103='Read Me + Evidence'!$H$7,D103='Read Me + Evidence'!$H$8,D103='Read Me + Evidence'!$H$9)),1,0)</x:f>
        <x:v>1</x:v>
      </x:c>
      <x:c r="S103" s="14" t="n">
        <x:f>IF(AND(Q103='Read Me + Evidence'!$K$11,D103='Read Me + Evidence'!$H$7),1,0)</x:f>
        <x:v>0</x:v>
      </x:c>
      <x:c r="T103" s="14" t="n">
        <x:f>IF(AND(Q103='Read Me + Evidence'!$K$11,D103&lt;&gt;'Read Me + Evidence'!$H$12),1,0)</x:f>
        <x:v>1</x:v>
      </x:c>
      <x:c r="U103" s="3" t="str"/>
    </x:row>
    <x:row r="104" ht="153" customHeight="1">
      <x:c r="A104" s="3" t="str">
        <x:v>ARCHIVE-05</x:v>
      </x:c>
      <x:c r="B104" s="3" t="str">
        <x:v>Archive</x:v>
      </x:c>
      <x:c r="C104" s="3" t="str">
        <x:v>Menu and close</x:v>
      </x:c>
      <x:c r="D104" s="13" t="str">
        <x:v>Partially observed</x:v>
      </x:c>
      <x:c r="E104" s="3" t="str">
        <x:v>Home owns window chrome and Archive owns entry operations.</x:v>
      </x:c>
      <x:c r="F104" s="12" t="str">
        <x:v>Home-owned Archive chrome opens/closes correctly; File/Edit menus are registered. Loaded-archive reopen remains blocked by F-35.</x:v>
      </x:c>
      <x:c r="G104" s="3" t="str">
        <x:v>safe-read-only</x:v>
      </x:c>
      <x:c r="H104" s="3" t="str">
        <x:v>implemented-source</x:v>
      </x:c>
      <x:c r="I104" s="3" t="str">
        <x:v>File Open/New/Close; Edit Select/Clear</x:v>
      </x:c>
      <x:c r="J104" s="3" t="str">
        <x:v>1. Inspect Home menu
2. Close and reopen archive</x:v>
      </x:c>
      <x:c r="K104" s="3" t="str">
        <x:v>Signed-in Home</x:v>
      </x:c>
      <x:c r="L104" s="3" t="str"/>
      <x:c r="M104" s="3" t="str"/>
      <x:c r="N104" s="3" t="str">
        <x:v>E-050</x:v>
      </x:c>
      <x:c r="O104" s="3" t="str">
        <x:v>S-106</x:v>
      </x:c>
      <x:c r="P104" s="3" t="str">
        <x:v>archive-manager</x:v>
      </x:c>
      <x:c r="Q104" s="3" t="str">
        <x:f>IF(OR(H104='Read Me + Evidence'!$K$6,H104='Read Me + Evidence'!$K$7,H104='Read Me + Evidence'!$K$8,P104='Read Me + Evidence'!$K$9,P104='Read Me + Evidence'!$K$10),'Read Me + Evidence'!$K$12,'Read Me + Evidence'!$K$11)</x:f>
        <x:v>GUI</x:v>
      </x:c>
      <x:c r="R104" s="14" t="n">
        <x:f>IF(AND(Q104='Read Me + Evidence'!$K$11,OR(D104='Read Me + Evidence'!$H$7,D104='Read Me + Evidence'!$H$8,D104='Read Me + Evidence'!$H$9)),1,0)</x:f>
        <x:v>1</x:v>
      </x:c>
      <x:c r="S104" s="14" t="n">
        <x:f>IF(AND(Q104='Read Me + Evidence'!$K$11,D104='Read Me + Evidence'!$H$7),1,0)</x:f>
        <x:v>0</x:v>
      </x:c>
      <x:c r="T104" s="14" t="n">
        <x:f>IF(AND(Q104='Read Me + Evidence'!$K$11,D104&lt;&gt;'Read Me + Evidence'!$H$12),1,0)</x:f>
        <x:v>1</x:v>
      </x:c>
      <x:c r="U104" s="3" t="str"/>
    </x:row>
    <x:row r="105" ht="153" customHeight="1">
      <x:c r="A105" s="3" t="str">
        <x:v>ARCHIVE-06</x:v>
      </x:c>
      <x:c r="B105" s="3" t="str">
        <x:v>Archive</x:v>
      </x:c>
      <x:c r="C105" s="3" t="str">
        <x:v>Unsafe/unsupported archive</x:v>
      </x:c>
      <x:c r="D105" s="13" t="str">
        <x:v>Blocked prerequisite</x:v>
      </x:c>
      <x:c r="E105" s="3" t="str">
        <x:v>Traversal, oversized and unsupported formats fail clearly before write; no new archive engines are implied.</x:v>
      </x:c>
      <x:c r="F105" s="12" t="str">
        <x:v>Dedicated bounded negative archives are not present; no unsafe payload was executed.</x:v>
      </x:c>
      <x:c r="G105" s="3" t="str">
        <x:v>controlled-files</x:v>
      </x:c>
      <x:c r="H105" s="3" t="str">
        <x:v>implemented-source</x:v>
      </x:c>
      <x:c r="I105" s="3" t="str">
        <x:v>Blocked entries; Unsupported family; Error</x:v>
      </x:c>
      <x:c r="J105" s="3" t="str">
        <x:v>1. Inspect prepared safe negative fixture under controlled test</x:v>
      </x:c>
      <x:c r="K105" s="3" t="str">
        <x:v>Dedicated bounded negative fixtures</x:v>
      </x:c>
      <x:c r="L105" s="3" t="str"/>
      <x:c r="M105" s="3" t="str"/>
      <x:c r="N105" s="3" t="str">
        <x:v>E-050</x:v>
      </x:c>
      <x:c r="O105" s="3" t="str">
        <x:v>S-107</x:v>
      </x:c>
      <x:c r="P105" s="3" t="str">
        <x:v>archive-manager</x:v>
      </x:c>
      <x:c r="Q105" s="3" t="str">
        <x:f>IF(OR(H105='Read Me + Evidence'!$K$6,H105='Read Me + Evidence'!$K$7,H105='Read Me + Evidence'!$K$8,P105='Read Me + Evidence'!$K$9,P105='Read Me + Evidence'!$K$10),'Read Me + Evidence'!$K$12,'Read Me + Evidence'!$K$11)</x:f>
        <x:v>GUI</x:v>
      </x:c>
      <x:c r="R105" s="14" t="n">
        <x:f>IF(AND(Q105='Read Me + Evidence'!$K$11,OR(D105='Read Me + Evidence'!$H$7,D105='Read Me + Evidence'!$H$8,D105='Read Me + Evidence'!$H$9)),1,0)</x:f>
        <x:v>0</x:v>
      </x:c>
      <x:c r="S105" s="14" t="n">
        <x:f>IF(AND(Q105='Read Me + Evidence'!$K$11,D105='Read Me + Evidence'!$H$7),1,0)</x:f>
        <x:v>0</x:v>
      </x:c>
      <x:c r="T105" s="14" t="n">
        <x:f>IF(AND(Q105='Read Me + Evidence'!$K$11,D105&lt;&gt;'Read Me + Evidence'!$H$12),1,0)</x:f>
        <x:v>1</x:v>
      </x:c>
      <x:c r="U105" s="3" t="str"/>
    </x:row>
    <x:row r="106" ht="153" customHeight="1">
      <x:c r="A106" s="3" t="str">
        <x:v>MARKET-01</x:v>
      </x:c>
      <x:c r="B106" s="3" t="str">
        <x:v>Marketplace</x:v>
      </x:c>
      <x:c r="C106" s="3" t="str">
        <x:v>Discover and categories</x:v>
      </x:c>
      <x:c r="D106" s="13" t="str">
        <x:v>Pass</x:v>
      </x:c>
      <x:c r="E106" s="3" t="str">
        <x:v>Runtime catalog groups installed/known entries by role; provider metadata is not app authority.</x:v>
      </x:c>
      <x:c r="F106" s="12" t="str">
        <x:v>Discover and all five categories load: 14 Apps, four Viewers, two Content items, 11 Services, two Home views. Installed count is33. Provider cards remain nonlaunchable; Media empty state is separate.</x:v>
      </x:c>
      <x:c r="G106" s="3" t="str">
        <x:v>safe-read-only</x:v>
      </x:c>
      <x:c r="H106" s="3" t="str">
        <x:v>implemented-source</x:v>
      </x:c>
      <x:c r="I106" s="3" t="str">
        <x:v>Discover; Apps; Viewers; Content; Services; Home views; See All</x:v>
      </x:c>
      <x:c r="J106" s="3" t="str">
        <x:v>1. Browse categories and empty categories</x:v>
      </x:c>
      <x:c r="K106" s="3" t="str">
        <x:v>Signed-in Home</x:v>
      </x:c>
      <x:c r="L106" s="3" t="str"/>
      <x:c r="M106" s="3" t="str"/>
      <x:c r="N106" s="3" t="str">
        <x:v>E-049</x:v>
      </x:c>
      <x:c r="O106" s="3" t="str">
        <x:v>S-108</x:v>
      </x:c>
      <x:c r="P106" s="3" t="str">
        <x:v>marketplace</x:v>
      </x:c>
      <x:c r="Q106" s="3" t="str">
        <x:f>IF(OR(H106='Read Me + Evidence'!$K$6,H106='Read Me + Evidence'!$K$7,H106='Read Me + Evidence'!$K$8,P106='Read Me + Evidence'!$K$9,P106='Read Me + Evidence'!$K$10),'Read Me + Evidence'!$K$12,'Read Me + Evidence'!$K$11)</x:f>
        <x:v>GUI</x:v>
      </x:c>
      <x:c r="R106" s="14" t="n">
        <x:f>IF(AND(Q106='Read Me + Evidence'!$K$11,OR(D106='Read Me + Evidence'!$H$7,D106='Read Me + Evidence'!$H$8,D106='Read Me + Evidence'!$H$9)),1,0)</x:f>
        <x:v>1</x:v>
      </x:c>
      <x:c r="S106" s="14" t="n">
        <x:f>IF(AND(Q106='Read Me + Evidence'!$K$11,D106='Read Me + Evidence'!$H$7),1,0)</x:f>
        <x:v>1</x:v>
      </x:c>
      <x:c r="T106" s="14" t="n">
        <x:f>IF(AND(Q106='Read Me + Evidence'!$K$11,D106&lt;&gt;'Read Me + Evidence'!$H$12),1,0)</x:f>
        <x:v>1</x:v>
      </x:c>
      <x:c r="U106" s="3" t="str"/>
    </x:row>
    <x:row r="107" ht="153" customHeight="1">
      <x:c r="A107" s="3" t="str">
        <x:v>MARKET-02</x:v>
      </x:c>
      <x:c r="B107" s="3" t="str">
        <x:v>Marketplace</x:v>
      </x:c>
      <x:c r="C107" s="3" t="str">
        <x:v>Installed and search</x:v>
      </x:c>
      <x:c r="D107" s="13" t="str">
        <x:v>Fail</x:v>
      </x:c>
      <x:c r="E107" s="3" t="str">
        <x:v>Installed count/search reflect local catalog; independent Media loading cannot blank app catalog.</x:v>
      </x:c>
      <x:c r="F107" s="12" t="str">
        <x:v>Matching nonogram search returns one game; zzzauditabsent shows an explicit No results state. F-31: the search control lacks an accessible name.</x:v>
      </x:c>
      <x:c r="G107" s="3" t="str">
        <x:v>safe-read-only</x:v>
      </x:c>
      <x:c r="H107" s="3" t="str">
        <x:v>implemented-source</x:v>
      </x:c>
      <x:c r="I107" s="3" t="str">
        <x:v>Installed; Search</x:v>
      </x:c>
      <x:c r="J107" s="3" t="str">
        <x:v>1. Search an installed item and absent text
2. Inspect results</x:v>
      </x:c>
      <x:c r="K107" s="3" t="str">
        <x:v>Signed-in Home</x:v>
      </x:c>
      <x:c r="L107" s="3" t="str">
        <x:v>F-31</x:v>
      </x:c>
      <x:c r="M107" s="3" t="str"/>
      <x:c r="N107" s="3" t="str">
        <x:v>E-049</x:v>
      </x:c>
      <x:c r="O107" s="3" t="str">
        <x:v>S-109</x:v>
      </x:c>
      <x:c r="P107" s="3" t="str">
        <x:v>marketplace</x:v>
      </x:c>
      <x:c r="Q107" s="3" t="str">
        <x:f>IF(OR(H107='Read Me + Evidence'!$K$6,H107='Read Me + Evidence'!$K$7,H107='Read Me + Evidence'!$K$8,P107='Read Me + Evidence'!$K$9,P107='Read Me + Evidence'!$K$10),'Read Me + Evidence'!$K$12,'Read Me + Evidence'!$K$11)</x:f>
        <x:v>GUI</x:v>
      </x:c>
      <x:c r="R107" s="14" t="n">
        <x:f>IF(AND(Q107='Read Me + Evidence'!$K$11,OR(D107='Read Me + Evidence'!$H$7,D107='Read Me + Evidence'!$H$8,D107='Read Me + Evidence'!$H$9)),1,0)</x:f>
        <x:v>1</x:v>
      </x:c>
      <x:c r="S107" s="14" t="n">
        <x:f>IF(AND(Q107='Read Me + Evidence'!$K$11,D107='Read Me + Evidence'!$H$7),1,0)</x:f>
        <x:v>0</x:v>
      </x:c>
      <x:c r="T107" s="14" t="n">
        <x:f>IF(AND(Q107='Read Me + Evidence'!$K$11,D107&lt;&gt;'Read Me + Evidence'!$H$12),1,0)</x:f>
        <x:v>1</x:v>
      </x:c>
      <x:c r="U107" s="3" t="str"/>
    </x:row>
    <x:row r="108" ht="153" customHeight="1">
      <x:c r="A108" s="3" t="str">
        <x:v>MARKET-03</x:v>
      </x:c>
      <x:c r="B108" s="3" t="str">
        <x:v>Marketplace</x:v>
      </x:c>
      <x:c r="C108" s="3" t="str">
        <x:v>Item detail</x:v>
      </x:c>
      <x:c r="D108" s="13" t="str">
        <x:v>Fail</x:v>
      </x:c>
      <x:c r="E108" s="3" t="str">
        <x:v>Metadata is readable and focus returns to card; capabilities described are not grants.</x:v>
      </x:c>
      <x:c r="F108" s="12" t="str">
        <x:v>Keyboard Enter opens game and service details; Escape returns focus to the card. Version/status/viewer facts appear, but F-32 incorrectly claims payment and protected-content support for not-declared states.</x:v>
      </x:c>
      <x:c r="G108" s="3" t="str">
        <x:v>safe-read-only</x:v>
      </x:c>
      <x:c r="H108" s="3" t="str">
        <x:v>implemented-source</x:v>
      </x:c>
      <x:c r="I108" s="3" t="str">
        <x:v>Card; About; Status; Actions; Technical details; Close</x:v>
      </x:c>
      <x:c r="J108" s="3" t="str">
        <x:v>1. Open detail
2. Inspect bounded facts
3. Escape/Close</x:v>
      </x:c>
      <x:c r="K108" s="3" t="str">
        <x:v>Signed-in Home</x:v>
      </x:c>
      <x:c r="L108" s="3" t="str">
        <x:v>F-32</x:v>
      </x:c>
      <x:c r="M108" s="3" t="str"/>
      <x:c r="N108" s="3" t="str">
        <x:v>E-049</x:v>
      </x:c>
      <x:c r="O108" s="3" t="str">
        <x:v>S-110</x:v>
      </x:c>
      <x:c r="P108" s="3" t="str">
        <x:v>marketplace</x:v>
      </x:c>
      <x:c r="Q108" s="3" t="str">
        <x:f>IF(OR(H108='Read Me + Evidence'!$K$6,H108='Read Me + Evidence'!$K$7,H108='Read Me + Evidence'!$K$8,P108='Read Me + Evidence'!$K$9,P108='Read Me + Evidence'!$K$10),'Read Me + Evidence'!$K$12,'Read Me + Evidence'!$K$11)</x:f>
        <x:v>GUI</x:v>
      </x:c>
      <x:c r="R108" s="14" t="n">
        <x:f>IF(AND(Q108='Read Me + Evidence'!$K$11,OR(D108='Read Me + Evidence'!$H$7,D108='Read Me + Evidence'!$H$8,D108='Read Me + Evidence'!$H$9)),1,0)</x:f>
        <x:v>1</x:v>
      </x:c>
      <x:c r="S108" s="14" t="n">
        <x:f>IF(AND(Q108='Read Me + Evidence'!$K$11,D108='Read Me + Evidence'!$H$7),1,0)</x:f>
        <x:v>0</x:v>
      </x:c>
      <x:c r="T108" s="14" t="n">
        <x:f>IF(AND(Q108='Read Me + Evidence'!$K$11,D108&lt;&gt;'Read Me + Evidence'!$H$12),1,0)</x:f>
        <x:v>1</x:v>
      </x:c>
      <x:c r="U108" s="3" t="str"/>
    </x:row>
    <x:row r="109" ht="153" customHeight="1">
      <x:c r="A109" s="3" t="str">
        <x:v>MARKET-04</x:v>
      </x:c>
      <x:c r="B109" s="3" t="str">
        <x:v>Marketplace</x:v>
      </x:c>
      <x:c r="C109" s="3" t="str">
        <x:v>Open installed target</x:v>
      </x:c>
      <x:c r="D109" s="13" t="str">
        <x:v>Fail</x:v>
      </x:c>
      <x:c r="E109" s="3" t="str">
        <x:v>Only launchable catalog targets expose Open. Existing UI does not implement a general one-click remote install flow.</x:v>
      </x:c>
      <x:c r="F109" s="12" t="str">
        <x:v>Open appears only on launchable targets; Home, unconfigured WalletConnect and provider cards have no Open. App launch checks are tracked in each owning journey; complete target coverage remains pending. F-33: Enter on a card's Open button opens details instead of launching.</x:v>
      </x:c>
      <x:c r="G109" s="3" t="str">
        <x:v>controlled-session</x:v>
      </x:c>
      <x:c r="H109" s="3" t="str">
        <x:v>implemented-source</x:v>
      </x:c>
      <x:c r="I109" s="3" t="str">
        <x:v>Open</x:v>
      </x:c>
      <x:c r="J109" s="3" t="str">
        <x:v>1. Open each of the 16 reported launch targets through its available surface</x:v>
      </x:c>
      <x:c r="K109" s="3" t="str">
        <x:v>Installed target</x:v>
      </x:c>
      <x:c r="L109" s="3" t="str">
        <x:v>F-12; F-33</x:v>
      </x:c>
      <x:c r="M109" s="3" t="str"/>
      <x:c r="N109" s="3" t="str">
        <x:v>E-049</x:v>
      </x:c>
      <x:c r="O109" s="3" t="str">
        <x:v>S-111</x:v>
      </x:c>
      <x:c r="P109" s="3" t="str">
        <x:v>marketplace</x:v>
      </x:c>
      <x:c r="Q109" s="3" t="str">
        <x:f>IF(OR(H109='Read Me + Evidence'!$K$6,H109='Read Me + Evidence'!$K$7,H109='Read Me + Evidence'!$K$8,P109='Read Me + Evidence'!$K$9,P109='Read Me + Evidence'!$K$10),'Read Me + Evidence'!$K$12,'Read Me + Evidence'!$K$11)</x:f>
        <x:v>GUI</x:v>
      </x:c>
      <x:c r="R109" s="14" t="n">
        <x:f>IF(AND(Q109='Read Me + Evidence'!$K$11,OR(D109='Read Me + Evidence'!$H$7,D109='Read Me + Evidence'!$H$8,D109='Read Me + Evidence'!$H$9)),1,0)</x:f>
        <x:v>1</x:v>
      </x:c>
      <x:c r="S109" s="14" t="n">
        <x:f>IF(AND(Q109='Read Me + Evidence'!$K$11,D109='Read Me + Evidence'!$H$7),1,0)</x:f>
        <x:v>0</x:v>
      </x:c>
      <x:c r="T109" s="14" t="n">
        <x:f>IF(AND(Q109='Read Me + Evidence'!$K$11,D109&lt;&gt;'Read Me + Evidence'!$H$12),1,0)</x:f>
        <x:v>1</x:v>
      </x:c>
      <x:c r="U109" s="3" t="str"/>
    </x:row>
    <x:row r="110" ht="153" customHeight="1">
      <x:c r="A110" s="3" t="str">
        <x:v>MARKET-05</x:v>
      </x:c>
      <x:c r="B110" s="3" t="str">
        <x:v>Marketplace</x:v>
      </x:c>
      <x:c r="C110" s="3" t="str">
        <x:v>Uninstalled/catalog-only item</x:v>
      </x:c>
      <x:c r="D110" s="13" t="str">
        <x:v>Fail</x:v>
      </x:c>
      <x:c r="E110" s="3" t="str">
        <x:v>UI states availability honestly. Manifest capsule.install affordance does not prove an install button/path exists.</x:v>
      </x:c>
      <x:c r="F110" s="12" t="str">
        <x:v>Nonlaunchable Browser Engine details correctly omit Open and say launch unavailable. F-32 falsely claims payment/protected-content support. General remote installation remains absent (existing F-12).</x:v>
      </x:c>
      <x:c r="G110" s="3" t="str">
        <x:v>safe-read-only</x:v>
      </x:c>
      <x:c r="H110" s="3" t="str">
        <x:v>declared-only</x:v>
      </x:c>
      <x:c r="I110" s="3" t="str">
        <x:v>Detail without Open</x:v>
      </x:c>
      <x:c r="J110" s="3" t="str">
        <x:v>1. Inspect nonlaunchable provider or unavailable item</x:v>
      </x:c>
      <x:c r="K110" s="3" t="str">
        <x:v>Catalog item if present</x:v>
      </x:c>
      <x:c r="L110" s="3" t="str">
        <x:v>F-12; F-32</x:v>
      </x:c>
      <x:c r="M110" s="3" t="str"/>
      <x:c r="N110" s="3" t="str">
        <x:v>E-049</x:v>
      </x:c>
      <x:c r="O110" s="3" t="str">
        <x:v>S-111</x:v>
      </x:c>
      <x:c r="P110" s="3" t="str">
        <x:v>marketplace</x:v>
      </x:c>
      <x:c r="Q110" s="3" t="str">
        <x:f>IF(OR(H110='Read Me + Evidence'!$K$6,H110='Read Me + Evidence'!$K$7,H110='Read Me + Evidence'!$K$8,P110='Read Me + Evidence'!$K$9,P110='Read Me + Evidence'!$K$10),'Read Me + Evidence'!$K$12,'Read Me + Evidence'!$K$11)</x:f>
        <x:v>Source only</x:v>
      </x:c>
      <x:c r="R110" s="14" t="n">
        <x:f>IF(AND(Q110='Read Me + Evidence'!$K$11,OR(D110='Read Me + Evidence'!$H$7,D110='Read Me + Evidence'!$H$8,D110='Read Me + Evidence'!$H$9)),1,0)</x:f>
        <x:v>0</x:v>
      </x:c>
      <x:c r="S110" s="14" t="n">
        <x:f>IF(AND(Q110='Read Me + Evidence'!$K$11,D110='Read Me + Evidence'!$H$7),1,0)</x:f>
        <x:v>0</x:v>
      </x:c>
      <x:c r="T110" s="14" t="n">
        <x:f>IF(AND(Q110='Read Me + Evidence'!$K$11,D110&lt;&gt;'Read Me + Evidence'!$H$12),1,0)</x:f>
        <x:v>0</x:v>
      </x:c>
      <x:c r="U110" s="3" t="str"/>
    </x:row>
    <x:row r="111" ht="153" customHeight="1">
      <x:c r="A111" s="3" t="str">
        <x:v>MARKET-06</x:v>
      </x:c>
      <x:c r="B111" s="3" t="str">
        <x:v>Marketplace</x:v>
      </x:c>
      <x:c r="C111" s="3" t="str">
        <x:v>Media empty/error/refresh</x:v>
      </x:c>
      <x:c r="D111" s="13" t="str">
        <x:v>Partially observed</x:v>
      </x:c>
      <x:c r="E111" s="3" t="str">
        <x:v>Media error/empty/loading state is independent from app catalog and sanitizes internal details.</x:v>
      </x:c>
      <x:c r="F111" s="12" t="str">
        <x:v>Media opens an explicit No protected media available state while installed app catalog remains intact. Natural backend error and retry branches are not present.</x:v>
      </x:c>
      <x:c r="G111" s="3" t="str">
        <x:v>safe-read-only</x:v>
      </x:c>
      <x:c r="H111" s="3" t="str">
        <x:v>implemented-source</x:v>
      </x:c>
      <x:c r="I111" s="3" t="str">
        <x:v>Media; Retry; Search</x:v>
      </x:c>
      <x:c r="J111" s="3" t="str">
        <x:v>1. Open Media empty
2. Inspect provider error only if naturally present
3. Retry once</x:v>
      </x:c>
      <x:c r="K111" s="3" t="str">
        <x:v>Signed-in Home</x:v>
      </x:c>
      <x:c r="L111" s="3" t="str"/>
      <x:c r="M111" s="3" t="str"/>
      <x:c r="N111" s="3" t="str">
        <x:v>E-049</x:v>
      </x:c>
      <x:c r="O111" s="3" t="str">
        <x:v>S-112</x:v>
      </x:c>
      <x:c r="P111" s="3" t="str">
        <x:v>marketplace</x:v>
      </x:c>
      <x:c r="Q111" s="3" t="str">
        <x:f>IF(OR(H111='Read Me + Evidence'!$K$6,H111='Read Me + Evidence'!$K$7,H111='Read Me + Evidence'!$K$8,P111='Read Me + Evidence'!$K$9,P111='Read Me + Evidence'!$K$10),'Read Me + Evidence'!$K$12,'Read Me + Evidence'!$K$11)</x:f>
        <x:v>GUI</x:v>
      </x:c>
      <x:c r="R111" s="14" t="n">
        <x:f>IF(AND(Q111='Read Me + Evidence'!$K$11,OR(D111='Read Me + Evidence'!$H$7,D111='Read Me + Evidence'!$H$8,D111='Read Me + Evidence'!$H$9)),1,0)</x:f>
        <x:v>1</x:v>
      </x:c>
      <x:c r="S111" s="14" t="n">
        <x:f>IF(AND(Q111='Read Me + Evidence'!$K$11,D111='Read Me + Evidence'!$H$7),1,0)</x:f>
        <x:v>0</x:v>
      </x:c>
      <x:c r="T111" s="14" t="n">
        <x:f>IF(AND(Q111='Read Me + Evidence'!$K$11,D111&lt;&gt;'Read Me + Evidence'!$H$12),1,0)</x:f>
        <x:v>1</x:v>
      </x:c>
      <x:c r="U111" s="3" t="str"/>
    </x:row>
    <x:row r="112" ht="153" customHeight="1">
      <x:c r="A112" s="3" t="str">
        <x:v>MARKET-07</x:v>
      </x:c>
      <x:c r="B112" s="3" t="str">
        <x:v>Marketplace</x:v>
      </x:c>
      <x:c r="C112" s="3" t="str">
        <x:v>Media listing facts</x:v>
      </x:c>
      <x:c r="D112" s="13" t="str">
        <x:v>Blocked prerequisite</x:v>
      </x:c>
      <x:c r="E112" s="3" t="str">
        <x:v>Canonical uint256 hex stays on wire; display is decimal with token address and last verified replicas.</x:v>
      </x:c>
      <x:c r="F112" s="12" t="str">
        <x:v>No canonical controlled protected listing exists in this installation.</x:v>
      </x:c>
      <x:c r="G112" s="3" t="str">
        <x:v>safe-read-only</x:v>
      </x:c>
      <x:c r="H112" s="3" t="str">
        <x:v>implemented-config-gated</x:v>
      </x:c>
      <x:c r="I112" s="3" t="str">
        <x:v>Quantity; Price base units; Token; Replicas; Access state</x:v>
      </x:c>
      <x:c r="J112" s="3" t="str">
        <x:v>1. Inspect controlled listing
2. Search visible decimal quantity/price</x:v>
      </x:c>
      <x:c r="K112" s="3" t="str">
        <x:v>Controlled immutable listing</x:v>
      </x:c>
      <x:c r="L112" s="3" t="str"/>
      <x:c r="M112" s="3" t="str"/>
      <x:c r="N112" s="3" t="str">
        <x:v>E-049</x:v>
      </x:c>
      <x:c r="O112" s="3" t="str">
        <x:v>S-113</x:v>
      </x:c>
      <x:c r="P112" s="3" t="str">
        <x:v>marketplace</x:v>
      </x:c>
      <x:c r="Q112" s="3" t="str">
        <x:f>IF(OR(H112='Read Me + Evidence'!$K$6,H112='Read Me + Evidence'!$K$7,H112='Read Me + Evidence'!$K$8,P112='Read Me + Evidence'!$K$9,P112='Read Me + Evidence'!$K$10),'Read Me + Evidence'!$K$12,'Read Me + Evidence'!$K$11)</x:f>
        <x:v>GUI</x:v>
      </x:c>
      <x:c r="R112" s="14" t="n">
        <x:f>IF(AND(Q112='Read Me + Evidence'!$K$11,OR(D112='Read Me + Evidence'!$H$7,D112='Read Me + Evidence'!$H$8,D112='Read Me + Evidence'!$H$9)),1,0)</x:f>
        <x:v>0</x:v>
      </x:c>
      <x:c r="S112" s="14" t="n">
        <x:f>IF(AND(Q112='Read Me + Evidence'!$K$11,D112='Read Me + Evidence'!$H$7),1,0)</x:f>
        <x:v>0</x:v>
      </x:c>
      <x:c r="T112" s="14" t="n">
        <x:f>IF(AND(Q112='Read Me + Evidence'!$K$11,D112&lt;&gt;'Read Me + Evidence'!$H$12),1,0)</x:f>
        <x:v>1</x:v>
      </x:c>
      <x:c r="U112" s="3" t="str"/>
    </x:row>
    <x:row r="113" ht="153" customHeight="1">
      <x:c r="A113" s="3" t="str">
        <x:v>MARKET-08</x:v>
      </x:c>
      <x:c r="B113" s="3" t="str">
        <x:v>Marketplace</x:v>
      </x:c>
      <x:c r="C113" s="3" t="str">
        <x:v>Buy and duplicate activation</x:v>
      </x:c>
      <x:c r="D113" s="13" t="str">
        <x:v>Blocked prerequisite</x:v>
      </x:c>
      <x:c r="E113" s="3" t="str">
        <x:v>Request contains mint_id only; Runtime derives authority. Pending guard and coordinator preserve one effect.</x:v>
      </x:c>
      <x:c r="F113" s="12" t="str">
        <x:v>Buy requires signed availability, private Chain/custody configuration, a funded test Wallet and explicit transaction approval.</x:v>
      </x:c>
      <x:c r="G113" s="3" t="str">
        <x:v>controlled-financial</x:v>
      </x:c>
      <x:c r="H113" s="3" t="str">
        <x:v>implemented-config-gated</x:v>
      </x:c>
      <x:c r="I113" s="3" t="str">
        <x:v>Buy; Buying...; Trusted Wallet/Inbox approval</x:v>
      </x:c>
      <x:c r="J113" s="3" t="str">
        <x:v>1. Preview terms
2. Buy only approved test listing
3. Repeat activation in controlled proof</x:v>
      </x:c>
      <x:c r="K113" s="3" t="str">
        <x:v>Funded approved test account; Signed availability; Chain proof</x:v>
      </x:c>
      <x:c r="L113" s="3" t="str">
        <x:v>F-10</x:v>
      </x:c>
      <x:c r="M113" s="3" t="str"/>
      <x:c r="N113" s="3" t="str">
        <x:v>E-049</x:v>
      </x:c>
      <x:c r="O113" s="3" t="str">
        <x:v>S-114</x:v>
      </x:c>
      <x:c r="P113" s="3" t="str">
        <x:v>marketplace</x:v>
      </x:c>
      <x:c r="Q113" s="3" t="str">
        <x:f>IF(OR(H113='Read Me + Evidence'!$K$6,H113='Read Me + Evidence'!$K$7,H113='Read Me + Evidence'!$K$8,P113='Read Me + Evidence'!$K$9,P113='Read Me + Evidence'!$K$10),'Read Me + Evidence'!$K$12,'Read Me + Evidence'!$K$11)</x:f>
        <x:v>GUI</x:v>
      </x:c>
      <x:c r="R113" s="14" t="n">
        <x:f>IF(AND(Q113='Read Me + Evidence'!$K$11,OR(D113='Read Me + Evidence'!$H$7,D113='Read Me + Evidence'!$H$8,D113='Read Me + Evidence'!$H$9)),1,0)</x:f>
        <x:v>0</x:v>
      </x:c>
      <x:c r="S113" s="14" t="n">
        <x:f>IF(AND(Q113='Read Me + Evidence'!$K$11,D113='Read Me + Evidence'!$H$7),1,0)</x:f>
        <x:v>0</x:v>
      </x:c>
      <x:c r="T113" s="14" t="n">
        <x:f>IF(AND(Q113='Read Me + Evidence'!$K$11,D113&lt;&gt;'Read Me + Evidence'!$H$12),1,0)</x:f>
        <x:v>1</x:v>
      </x:c>
      <x:c r="U113" s="3" t="str"/>
    </x:row>
    <x:row r="114" ht="153" customHeight="1">
      <x:c r="A114" s="3" t="str">
        <x:v>MARKET-09</x:v>
      </x:c>
      <x:c r="B114" s="3" t="str">
        <x:v>Marketplace</x:v>
      </x:c>
      <x:c r="C114" s="3" t="str">
        <x:v>Owned/creator open</x:v>
      </x:c>
      <x:c r="D114" s="13" t="str">
        <x:v>Blocked prerequisite</x:v>
      </x:c>
      <x:c r="E114" s="3" t="str">
        <x:v>Exact mint_id goes through Home to elacity-player; fresh Runtime rights/availability remain authoritative.</x:v>
      </x:c>
      <x:c r="F114" s="12" t="str">
        <x:v>Owned/creator playback requires a controlled rights-bearing listing; none exists.</x:v>
      </x:c>
      <x:c r="G114" s="3" t="str">
        <x:v>controlled-protected-play</x:v>
      </x:c>
      <x:c r="H114" s="3" t="str">
        <x:v>implemented-config-gated</x:v>
      </x:c>
      <x:c r="I114" s="3" t="str">
        <x:v>Open</x:v>
      </x:c>
      <x:c r="J114" s="3" t="str">
        <x:v>1. Open creator/purchased listing
2. Inspect denied/unavailable state</x:v>
      </x:c>
      <x:c r="K114" s="3" t="str">
        <x:v>Controlled protected listing</x:v>
      </x:c>
      <x:c r="L114" s="3" t="str"/>
      <x:c r="M114" s="3" t="str"/>
      <x:c r="N114" s="3" t="str">
        <x:v>E-049</x:v>
      </x:c>
      <x:c r="O114" s="3" t="str">
        <x:v>S-115</x:v>
      </x:c>
      <x:c r="P114" s="3" t="str">
        <x:v>marketplace</x:v>
      </x:c>
      <x:c r="Q114" s="3" t="str">
        <x:f>IF(OR(H114='Read Me + Evidence'!$K$6,H114='Read Me + Evidence'!$K$7,H114='Read Me + Evidence'!$K$8,P114='Read Me + Evidence'!$K$9,P114='Read Me + Evidence'!$K$10),'Read Me + Evidence'!$K$12,'Read Me + Evidence'!$K$11)</x:f>
        <x:v>GUI</x:v>
      </x:c>
      <x:c r="R114" s="14" t="n">
        <x:f>IF(AND(Q114='Read Me + Evidence'!$K$11,OR(D114='Read Me + Evidence'!$H$7,D114='Read Me + Evidence'!$H$8,D114='Read Me + Evidence'!$H$9)),1,0)</x:f>
        <x:v>0</x:v>
      </x:c>
      <x:c r="S114" s="14" t="n">
        <x:f>IF(AND(Q114='Read Me + Evidence'!$K$11,D114='Read Me + Evidence'!$H$7),1,0)</x:f>
        <x:v>0</x:v>
      </x:c>
      <x:c r="T114" s="14" t="n">
        <x:f>IF(AND(Q114='Read Me + Evidence'!$K$11,D114&lt;&gt;'Read Me + Evidence'!$H$12),1,0)</x:f>
        <x:v>1</x:v>
      </x:c>
      <x:c r="U114" s="3" t="str"/>
    </x:row>
    <x:row r="115" ht="153" customHeight="1">
      <x:c r="A115" s="3" t="str">
        <x:v>MARKET-10</x:v>
      </x:c>
      <x:c r="B115" s="3" t="str">
        <x:v>Marketplace</x:v>
      </x:c>
      <x:c r="C115" s="3" t="str">
        <x:v>Shared listing discovery</x:v>
      </x:c>
      <x:c r="D115" s="13" t="str">
        <x:v>Partially observed</x:v>
      </x:c>
      <x:c r="E115" s="3" t="str">
        <x:v>Portable import is implemented in Runtime; visible link-entry UX and global discovery are separate concerns.</x:v>
      </x:c>
      <x:c r="F115" s="12" t="str">
        <x:v>Current visible Marketplace navigation has no dedicated shared-listing link import. Runtime import and global discovery remain distinct; existing F-11 tracks the UI entry gap.</x:v>
      </x:c>
      <x:c r="G115" s="3" t="str">
        <x:v>safe-read-only</x:v>
      </x:c>
      <x:c r="H115" s="3" t="str">
        <x:v>runtime-only-no-ui</x:v>
      </x:c>
      <x:c r="I115" s="3" t="str">
        <x:v>Shared elastos:// listing link</x:v>
      </x:c>
      <x:c r="J115" s="3" t="str">
        <x:v>1. Map link import entry; do not substitute a global marketplace search</x:v>
      </x:c>
      <x:c r="K115" s="3" t="str">
        <x:v>Canonical shared listing</x:v>
      </x:c>
      <x:c r="L115" s="3" t="str">
        <x:v>F-11</x:v>
      </x:c>
      <x:c r="M115" s="3" t="str"/>
      <x:c r="N115" s="3" t="str">
        <x:v>E-049</x:v>
      </x:c>
      <x:c r="O115" s="3" t="str">
        <x:v>S-116, S-108</x:v>
      </x:c>
      <x:c r="P115" s="3" t="str">
        <x:v>marketplace</x:v>
      </x:c>
      <x:c r="Q115" s="3" t="str">
        <x:f>IF(OR(H115='Read Me + Evidence'!$K$6,H115='Read Me + Evidence'!$K$7,H115='Read Me + Evidence'!$K$8,P115='Read Me + Evidence'!$K$9,P115='Read Me + Evidence'!$K$10),'Read Me + Evidence'!$K$12,'Read Me + Evidence'!$K$11)</x:f>
        <x:v>Source only</x:v>
      </x:c>
      <x:c r="R115" s="14" t="n">
        <x:f>IF(AND(Q115='Read Me + Evidence'!$K$11,OR(D115='Read Me + Evidence'!$H$7,D115='Read Me + Evidence'!$H$8,D115='Read Me + Evidence'!$H$9)),1,0)</x:f>
        <x:v>0</x:v>
      </x:c>
      <x:c r="S115" s="14" t="n">
        <x:f>IF(AND(Q115='Read Me + Evidence'!$K$11,D115='Read Me + Evidence'!$H$7),1,0)</x:f>
        <x:v>0</x:v>
      </x:c>
      <x:c r="T115" s="14" t="n">
        <x:f>IF(AND(Q115='Read Me + Evidence'!$K$11,D115&lt;&gt;'Read Me + Evidence'!$H$12),1,0)</x:f>
        <x:v>0</x:v>
      </x:c>
      <x:c r="U115" s="3" t="str"/>
    </x:row>
    <x:row r="116" ht="153" customHeight="1">
      <x:c r="A116" s="3" t="str">
        <x:v>PLAYER-01</x:v>
      </x:c>
      <x:c r="B116" s="3" t="str">
        <x:v>Protected video player</x:v>
      </x:c>
      <x:c r="C116" s="3" t="str">
        <x:v>Launch and empty authority</x:v>
      </x:c>
      <x:c r="D116" s="13" t="str">
        <x:v>Partially observed</x:v>
      </x:c>
      <x:c r="E116" s="3" t="str">
        <x:v>Player requests only typed Runtime session authority; direct app launch cannot invent playback rights.</x:v>
      </x:c>
      <x:c r="F116" s="12" t="str">
        <x:v>Direct launch without mint_id renders no media and does not invent authority. F-34: duplicate generic unavailable text lacks a no-selection explanation.</x:v>
      </x:c>
      <x:c r="G116" s="3" t="str">
        <x:v>controlled-session</x:v>
      </x:c>
      <x:c r="H116" s="3" t="str">
        <x:v>implemented-source</x:v>
      </x:c>
      <x:c r="I116" s="3" t="str">
        <x:v>Home launch; Player state</x:v>
      </x:c>
      <x:c r="J116" s="3" t="str">
        <x:v>1. Open player without selected protected item
2. Inspect locked/empty state</x:v>
      </x:c>
      <x:c r="K116" s="3" t="str">
        <x:v>No media required</x:v>
      </x:c>
      <x:c r="L116" s="3" t="str">
        <x:v>F-34</x:v>
      </x:c>
      <x:c r="M116" s="3" t="str"/>
      <x:c r="N116" s="3" t="str">
        <x:v>E-050</x:v>
      </x:c>
      <x:c r="O116" s="3" t="str">
        <x:v>S-117</x:v>
      </x:c>
      <x:c r="P116" s="3" t="str">
        <x:v>elacity-player</x:v>
      </x:c>
      <x:c r="Q116" s="3" t="str">
        <x:f>IF(OR(H116='Read Me + Evidence'!$K$6,H116='Read Me + Evidence'!$K$7,H116='Read Me + Evidence'!$K$8,P116='Read Me + Evidence'!$K$9,P116='Read Me + Evidence'!$K$10),'Read Me + Evidence'!$K$12,'Read Me + Evidence'!$K$11)</x:f>
        <x:v>GUI</x:v>
      </x:c>
      <x:c r="R116" s="14" t="n">
        <x:f>IF(AND(Q116='Read Me + Evidence'!$K$11,OR(D116='Read Me + Evidence'!$H$7,D116='Read Me + Evidence'!$H$8,D116='Read Me + Evidence'!$H$9)),1,0)</x:f>
        <x:v>1</x:v>
      </x:c>
      <x:c r="S116" s="14" t="n">
        <x:f>IF(AND(Q116='Read Me + Evidence'!$K$11,D116='Read Me + Evidence'!$H$7),1,0)</x:f>
        <x:v>0</x:v>
      </x:c>
      <x:c r="T116" s="14" t="n">
        <x:f>IF(AND(Q116='Read Me + Evidence'!$K$11,D116&lt;&gt;'Read Me + Evidence'!$H$12),1,0)</x:f>
        <x:v>1</x:v>
      </x:c>
      <x:c r="U116" s="3" t="str"/>
    </x:row>
    <x:row r="117" ht="153" customHeight="1">
      <x:c r="A117" s="3" t="str">
        <x:v>PLAYER-02</x:v>
      </x:c>
      <x:c r="B117" s="3" t="str">
        <x:v>Protected video player</x:v>
      </x:c>
      <x:c r="C117" s="3" t="str">
        <x:v>Playback controls</x:v>
      </x:c>
      <x:c r="D117" s="13" t="str">
        <x:v>Blocked prerequisite</x:v>
      </x:c>
      <x:c r="E117" s="3" t="str">
        <x:v>Player owns media presentation; Home owns chrome; typed bounded reads retain exact session binding.</x:v>
      </x:c>
      <x:c r="F117" s="12" t="str">
        <x:v>No controlled rights-bearing protected video exists; playback/seek/read binding remains unproven installed.</x:v>
      </x:c>
      <x:c r="G117" s="3" t="str">
        <x:v>controlled-protected-play</x:v>
      </x:c>
      <x:c r="H117" s="3" t="str">
        <x:v>implemented-config-gated</x:v>
      </x:c>
      <x:c r="I117" s="3" t="str">
        <x:v>Native Play/Pause; Seek; Volume/Mute; Fullscreen</x:v>
      </x:c>
      <x:c r="J117" s="3" t="str">
        <x:v>1. Play approved fixture
2. Read init and segment
3. Pause/seek/resize</x:v>
      </x:c>
      <x:c r="K117" s="3" t="str">
        <x:v>Controlled rights-bearing video</x:v>
      </x:c>
      <x:c r="L117" s="3" t="str">
        <x:v>F-10</x:v>
      </x:c>
      <x:c r="M117" s="3" t="str"/>
      <x:c r="N117" s="3" t="str">
        <x:v>E-050</x:v>
      </x:c>
      <x:c r="O117" s="3" t="str">
        <x:v>S-117</x:v>
      </x:c>
      <x:c r="P117" s="3" t="str">
        <x:v>elacity-player</x:v>
      </x:c>
      <x:c r="Q117" s="3" t="str">
        <x:f>IF(OR(H117='Read Me + Evidence'!$K$6,H117='Read Me + Evidence'!$K$7,H117='Read Me + Evidence'!$K$8,P117='Read Me + Evidence'!$K$9,P117='Read Me + Evidence'!$K$10),'Read Me + Evidence'!$K$12,'Read Me + Evidence'!$K$11)</x:f>
        <x:v>GUI</x:v>
      </x:c>
      <x:c r="R117" s="14" t="n">
        <x:f>IF(AND(Q117='Read Me + Evidence'!$K$11,OR(D117='Read Me + Evidence'!$H$7,D117='Read Me + Evidence'!$H$8,D117='Read Me + Evidence'!$H$9)),1,0)</x:f>
        <x:v>0</x:v>
      </x:c>
      <x:c r="S117" s="14" t="n">
        <x:f>IF(AND(Q117='Read Me + Evidence'!$K$11,D117='Read Me + Evidence'!$H$7),1,0)</x:f>
        <x:v>0</x:v>
      </x:c>
      <x:c r="T117" s="14" t="n">
        <x:f>IF(AND(Q117='Read Me + Evidence'!$K$11,D117&lt;&gt;'Read Me + Evidence'!$H$12),1,0)</x:f>
        <x:v>1</x:v>
      </x:c>
      <x:c r="U117" s="3" t="str"/>
    </x:row>
    <x:row r="118" ht="153" customHeight="1">
      <x:c r="A118" s="3" t="str">
        <x:v>PLAYER-03</x:v>
      </x:c>
      <x:c r="B118" s="3" t="str">
        <x:v>Protected video player</x:v>
      </x:c>
      <x:c r="C118" s="3" t="str">
        <x:v>Denied and unavailable</x:v>
      </x:c>
      <x:c r="D118" s="13" t="str">
        <x:v>Blocked prerequisite</x:v>
      </x:c>
      <x:c r="E118" s="3" t="str">
        <x:v>New open fails before custody/decrypt effect when rights or fresh availability fail.</x:v>
      </x:c>
      <x:c r="F118" s="12" t="str">
        <x:v>Controlled allowed/denied accounts and fresh availability fixtures are required.</x:v>
      </x:c>
      <x:c r="G118" s="3" t="str">
        <x:v>controlled-protected-play</x:v>
      </x:c>
      <x:c r="H118" s="3" t="str">
        <x:v>implemented-config-gated</x:v>
      </x:c>
      <x:c r="I118" s="3" t="str">
        <x:v>Error/status; Retry by new admitted launch</x:v>
      </x:c>
      <x:c r="J118" s="3" t="str">
        <x:v>1. Attempt controlled denied/unavailable item</x:v>
      </x:c>
      <x:c r="K118" s="3" t="str">
        <x:v>Dedicated allowed/denied test accounts</x:v>
      </x:c>
      <x:c r="L118" s="3" t="str"/>
      <x:c r="M118" s="3" t="str"/>
      <x:c r="N118" s="3" t="str">
        <x:v>E-050</x:v>
      </x:c>
      <x:c r="O118" s="3" t="str">
        <x:v>S-087</x:v>
      </x:c>
      <x:c r="P118" s="3" t="str">
        <x:v>elacity-player</x:v>
      </x:c>
      <x:c r="Q118" s="3" t="str">
        <x:f>IF(OR(H118='Read Me + Evidence'!$K$6,H118='Read Me + Evidence'!$K$7,H118='Read Me + Evidence'!$K$8,P118='Read Me + Evidence'!$K$9,P118='Read Me + Evidence'!$K$10),'Read Me + Evidence'!$K$12,'Read Me + Evidence'!$K$11)</x:f>
        <x:v>GUI</x:v>
      </x:c>
      <x:c r="R118" s="14" t="n">
        <x:f>IF(AND(Q118='Read Me + Evidence'!$K$11,OR(D118='Read Me + Evidence'!$H$7,D118='Read Me + Evidence'!$H$8,D118='Read Me + Evidence'!$H$9)),1,0)</x:f>
        <x:v>0</x:v>
      </x:c>
      <x:c r="S118" s="14" t="n">
        <x:f>IF(AND(Q118='Read Me + Evidence'!$K$11,D118='Read Me + Evidence'!$H$7),1,0)</x:f>
        <x:v>0</x:v>
      </x:c>
      <x:c r="T118" s="14" t="n">
        <x:f>IF(AND(Q118='Read Me + Evidence'!$K$11,D118&lt;&gt;'Read Me + Evidence'!$H$12),1,0)</x:f>
        <x:v>1</x:v>
      </x:c>
      <x:c r="U118" s="3" t="str"/>
    </x:row>
    <x:row r="119" ht="153" customHeight="1">
      <x:c r="A119" s="3" t="str">
        <x:v>PLAYER-04</x:v>
      </x:c>
      <x:c r="B119" s="3" t="str">
        <x:v>Protected video player</x:v>
      </x:c>
      <x:c r="C119" s="3" t="str">
        <x:v>Close and reopen</x:v>
      </x:c>
      <x:c r="D119" s="13" t="str">
        <x:v>Blocked prerequisite</x:v>
      </x:c>
      <x:c r="E119" s="3" t="str">
        <x:v>Runtime settles exact viewer/decrypt/release ownership; old launch/read authority cannot be reused.</x:v>
      </x:c>
      <x:c r="F119" s="12" t="str">
        <x:v>Empty app close works, but protected-session cleanup/reopen requires an approved session.</x:v>
      </x:c>
      <x:c r="G119" s="3" t="str">
        <x:v>controlled-protected-play</x:v>
      </x:c>
      <x:c r="H119" s="3" t="str">
        <x:v>implemented-config-gated</x:v>
      </x:c>
      <x:c r="I119" s="3" t="str">
        <x:v>Home Close; Reopen owned item</x:v>
      </x:c>
      <x:c r="J119" s="3" t="str">
        <x:v>1. Close approved test session
2. Reopen by fresh admitted launch</x:v>
      </x:c>
      <x:c r="K119" s="3" t="str">
        <x:v>Controlled protected session</x:v>
      </x:c>
      <x:c r="L119" s="3" t="str"/>
      <x:c r="M119" s="3" t="str"/>
      <x:c r="N119" s="3" t="str">
        <x:v>E-050</x:v>
      </x:c>
      <x:c r="O119" s="3" t="str">
        <x:v>S-118</x:v>
      </x:c>
      <x:c r="P119" s="3" t="str">
        <x:v>elacity-player</x:v>
      </x:c>
      <x:c r="Q119" s="3" t="str">
        <x:f>IF(OR(H119='Read Me + Evidence'!$K$6,H119='Read Me + Evidence'!$K$7,H119='Read Me + Evidence'!$K$8,P119='Read Me + Evidence'!$K$9,P119='Read Me + Evidence'!$K$10),'Read Me + Evidence'!$K$12,'Read Me + Evidence'!$K$11)</x:f>
        <x:v>GUI</x:v>
      </x:c>
      <x:c r="R119" s="14" t="n">
        <x:f>IF(AND(Q119='Read Me + Evidence'!$K$11,OR(D119='Read Me + Evidence'!$H$7,D119='Read Me + Evidence'!$H$8,D119='Read Me + Evidence'!$H$9)),1,0)</x:f>
        <x:v>0</x:v>
      </x:c>
      <x:c r="S119" s="14" t="n">
        <x:f>IF(AND(Q119='Read Me + Evidence'!$K$11,D119='Read Me + Evidence'!$H$7),1,0)</x:f>
        <x:v>0</x:v>
      </x:c>
      <x:c r="T119" s="14" t="n">
        <x:f>IF(AND(Q119='Read Me + Evidence'!$K$11,D119&lt;&gt;'Read Me + Evidence'!$H$12),1,0)</x:f>
        <x:v>1</x:v>
      </x:c>
      <x:c r="U119" s="3" t="str"/>
    </x:row>
    <x:row r="120" ht="153" customHeight="1">
      <x:c r="A120" s="3" t="str">
        <x:v>PLAYER-05</x:v>
      </x:c>
      <x:c r="B120" s="3" t="str">
        <x:v>Protected video player</x:v>
      </x:c>
      <x:c r="C120" s="3" t="str">
        <x:v>Restart and failure cleanup</x:v>
      </x:c>
      <x:c r="D120" s="13" t="str">
        <x:v>Blocked prerequisite</x:v>
      </x:c>
      <x:c r="E120" s="3" t="str">
        <x:v>Durable viewer lifecycle settles same session with imported listing and no creator journal; installed proof remains required.</x:v>
      </x:c>
      <x:c r="F120" s="12" t="str">
        <x:v>Active protected-session restart is a separate operator gate. This audit did not restart with such a session.</x:v>
      </x:c>
      <x:c r="G120" s="3" t="str">
        <x:v>privileged-operator</x:v>
      </x:c>
      <x:c r="H120" s="3" t="str">
        <x:v>implemented-config-gated</x:v>
      </x:c>
      <x:c r="I120" s="3" t="str">
        <x:v>Operator restart; Cleanup-pending state</x:v>
      </x:c>
      <x:c r="J120" s="3" t="str">
        <x:v>1. Plan controlled restart with active disposable viewer; do not run during live audit</x:v>
      </x:c>
      <x:c r="K120" s="3" t="str">
        <x:v>Separate operator-controlled restart gate</x:v>
      </x:c>
      <x:c r="L120" s="3" t="str"/>
      <x:c r="M120" s="3" t="str"/>
      <x:c r="N120" s="3" t="str">
        <x:v>E-050</x:v>
      </x:c>
      <x:c r="O120" s="3" t="str">
        <x:v>S-087</x:v>
      </x:c>
      <x:c r="P120" s="3" t="str">
        <x:v>elacity-player</x:v>
      </x:c>
      <x:c r="Q120" s="3" t="str">
        <x:f>IF(OR(H120='Read Me + Evidence'!$K$6,H120='Read Me + Evidence'!$K$7,H120='Read Me + Evidence'!$K$8,P120='Read Me + Evidence'!$K$9,P120='Read Me + Evidence'!$K$10),'Read Me + Evidence'!$K$12,'Read Me + Evidence'!$K$11)</x:f>
        <x:v>GUI</x:v>
      </x:c>
      <x:c r="R120" s="14" t="n">
        <x:f>IF(AND(Q120='Read Me + Evidence'!$K$11,OR(D120='Read Me + Evidence'!$H$7,D120='Read Me + Evidence'!$H$8,D120='Read Me + Evidence'!$H$9)),1,0)</x:f>
        <x:v>0</x:v>
      </x:c>
      <x:c r="S120" s="14" t="n">
        <x:f>IF(AND(Q120='Read Me + Evidence'!$K$11,D120='Read Me + Evidence'!$H$7),1,0)</x:f>
        <x:v>0</x:v>
      </x:c>
      <x:c r="T120" s="14" t="n">
        <x:f>IF(AND(Q120='Read Me + Evidence'!$K$11,D120&lt;&gt;'Read Me + Evidence'!$H$12),1,0)</x:f>
        <x:v>1</x:v>
      </x:c>
      <x:c r="U120" s="3" t="str"/>
    </x:row>
    <x:row r="121" ht="153" customHeight="1">
      <x:c r="A121" s="3" t="str">
        <x:v>WALLET-01</x:v>
      </x:c>
      <x:c r="B121" s="3" t="str">
        <x:v>Wallet</x:v>
      </x:c>
      <x:c r="C121" s="3" t="str">
        <x:v>Empty and populated overview</x:v>
      </x:c>
      <x:c r="D121" s="13" t="str">
        <x:v>Partially observed</x:v>
      </x:c>
      <x:c r="E121" s="3" t="str">
        <x:v>Balance is not invented; missing/cached price state is explicit and separate from ownership.</x:v>
      </x:c>
      <x:c r="F121" s="12" t="str">
        <x:v>Wallet shows 0 accounts and unavailable total balance rather than invented funds. Hide/Show toggles the privacy control; the original shown setting is restored. Populated assets require a test account.</x:v>
      </x:c>
      <x:c r="G121" s="3" t="str">
        <x:v>safe-read-only</x:v>
      </x:c>
      <x:c r="H121" s="3" t="str">
        <x:v>implemented-source</x:v>
      </x:c>
      <x:c r="I121" s="3" t="str">
        <x:v>Balance; Account card; Asset list; Privacy eye</x:v>
      </x:c>
      <x:c r="J121" s="3" t="str">
        <x:v>1. Inspect zero accounts/zero balance/configured assets
2. Toggle privacy</x:v>
      </x:c>
      <x:c r="K121" s="3" t="str">
        <x:v>Signed-in Home</x:v>
      </x:c>
      <x:c r="L121" s="3" t="str"/>
      <x:c r="M121" s="3" t="str"/>
      <x:c r="N121" s="3" t="str">
        <x:v>E-047</x:v>
      </x:c>
      <x:c r="O121" s="3" t="str">
        <x:v>S-119</x:v>
      </x:c>
      <x:c r="P121" s="3" t="str">
        <x:v>wallet</x:v>
      </x:c>
      <x:c r="Q121" s="3" t="str">
        <x:f>IF(OR(H121='Read Me + Evidence'!$K$6,H121='Read Me + Evidence'!$K$7,H121='Read Me + Evidence'!$K$8,P121='Read Me + Evidence'!$K$9,P121='Read Me + Evidence'!$K$10),'Read Me + Evidence'!$K$12,'Read Me + Evidence'!$K$11)</x:f>
        <x:v>GUI</x:v>
      </x:c>
      <x:c r="R121" s="14" t="n">
        <x:f>IF(AND(Q121='Read Me + Evidence'!$K$11,OR(D121='Read Me + Evidence'!$H$7,D121='Read Me + Evidence'!$H$8,D121='Read Me + Evidence'!$H$9)),1,0)</x:f>
        <x:v>1</x:v>
      </x:c>
      <x:c r="S121" s="14" t="n">
        <x:f>IF(AND(Q121='Read Me + Evidence'!$K$11,D121='Read Me + Evidence'!$H$7),1,0)</x:f>
        <x:v>0</x:v>
      </x:c>
      <x:c r="T121" s="14" t="n">
        <x:f>IF(AND(Q121='Read Me + Evidence'!$K$11,D121&lt;&gt;'Read Me + Evidence'!$H$12),1,0)</x:f>
        <x:v>1</x:v>
      </x:c>
      <x:c r="U121" s="3" t="str"/>
    </x:row>
    <x:row r="122" ht="153" customHeight="1">
      <x:c r="A122" s="3" t="str">
        <x:v>WALLET-02</x:v>
      </x:c>
      <x:c r="B122" s="3" t="str">
        <x:v>Wallet</x:v>
      </x:c>
      <x:c r="C122" s="3" t="str">
        <x:v>Currency and presentation</x:v>
      </x:c>
      <x:c r="D122" s="13" t="str">
        <x:v>Partially observed</x:v>
      </x:c>
      <x:c r="E122" s="3" t="str">
        <x:v>Conversion only uses approved available price data; absent prices stay unavailable.</x:v>
      </x:c>
      <x:c r="F122" s="12" t="str">
        <x:v>Settings exposes USD/BTC/ELA. Original BTC was visually selected; USD and ELA were exercised, then BTC restored. No price approval was granted; conversion with actual assets remains blocked.</x:v>
      </x:c>
      <x:c r="G122" s="3" t="str">
        <x:v>controlled-layout</x:v>
      </x:c>
      <x:c r="H122" s="3" t="str">
        <x:v>implemented-source</x:v>
      </x:c>
      <x:c r="I122" s="3" t="str">
        <x:v>Settings; USD/BTC/ELA; Privacy</x:v>
      </x:c>
      <x:c r="J122" s="3" t="str">
        <x:v>1. Inspect currency choices
2. Restore original setting</x:v>
      </x:c>
      <x:c r="K122" s="3" t="str">
        <x:v>Restore presentation setting</x:v>
      </x:c>
      <x:c r="L122" s="3" t="str"/>
      <x:c r="M122" s="3" t="str"/>
      <x:c r="N122" s="3" t="str">
        <x:v>E-047</x:v>
      </x:c>
      <x:c r="O122" s="3" t="str">
        <x:v>S-120</x:v>
      </x:c>
      <x:c r="P122" s="3" t="str">
        <x:v>wallet</x:v>
      </x:c>
      <x:c r="Q122" s="3" t="str">
        <x:f>IF(OR(H122='Read Me + Evidence'!$K$6,H122='Read Me + Evidence'!$K$7,H122='Read Me + Evidence'!$K$8,P122='Read Me + Evidence'!$K$9,P122='Read Me + Evidence'!$K$10),'Read Me + Evidence'!$K$12,'Read Me + Evidence'!$K$11)</x:f>
        <x:v>GUI</x:v>
      </x:c>
      <x:c r="R122" s="14" t="n">
        <x:f>IF(AND(Q122='Read Me + Evidence'!$K$11,OR(D122='Read Me + Evidence'!$H$7,D122='Read Me + Evidence'!$H$8,D122='Read Me + Evidence'!$H$9)),1,0)</x:f>
        <x:v>1</x:v>
      </x:c>
      <x:c r="S122" s="14" t="n">
        <x:f>IF(AND(Q122='Read Me + Evidence'!$K$11,D122='Read Me + Evidence'!$H$7),1,0)</x:f>
        <x:v>0</x:v>
      </x:c>
      <x:c r="T122" s="14" t="n">
        <x:f>IF(AND(Q122='Read Me + Evidence'!$K$11,D122&lt;&gt;'Read Me + Evidence'!$H$12),1,0)</x:f>
        <x:v>1</x:v>
      </x:c>
      <x:c r="U122" s="3" t="str"/>
    </x:row>
    <x:row r="123" ht="153" customHeight="1">
      <x:c r="A123" s="3" t="str">
        <x:v>WALLET-03</x:v>
      </x:c>
      <x:c r="B123" s="3" t="str">
        <x:v>Wallet</x:v>
      </x:c>
      <x:c r="C123" s="3" t="str">
        <x:v>Create EVM/Bitcoin account</x:v>
      </x:c>
      <x:c r="D123" s="13" t="str">
        <x:v>Partially observed</x:v>
      </x:c>
      <x:c r="E123" s="3" t="str">
        <x:v>Wallet owns keys/account identity and requires intended passkey consent.</x:v>
      </x:c>
      <x:c r="F123" s="12" t="str">
        <x:v>Create account presents EVM and Bitcoin. Each opens its named form and Back returns to type choice. Cancel leaves 0 accounts. Create was not pressed.</x:v>
      </x:c>
      <x:c r="G123" s="3" t="str">
        <x:v>controlled-identity</x:v>
      </x:c>
      <x:c r="H123" s="3" t="str">
        <x:v>implemented-source</x:v>
      </x:c>
      <x:c r="I123" s="3" t="str">
        <x:v>Create account; Type; Label; Create; Cancel</x:v>
      </x:c>
      <x:c r="J123" s="3" t="str">
        <x:v>1. Inspect types/form
2. Cancel; create only user-approved test account</x:v>
      </x:c>
      <x:c r="K123" s="3" t="str">
        <x:v>Explicit identity/key creation approval</x:v>
      </x:c>
      <x:c r="L123" s="3" t="str"/>
      <x:c r="M123" s="3" t="str"/>
      <x:c r="N123" s="3" t="str">
        <x:v>E-047</x:v>
      </x:c>
      <x:c r="O123" s="3" t="str">
        <x:v>S-121</x:v>
      </x:c>
      <x:c r="P123" s="3" t="str">
        <x:v>wallet</x:v>
      </x:c>
      <x:c r="Q123" s="3" t="str">
        <x:f>IF(OR(H123='Read Me + Evidence'!$K$6,H123='Read Me + Evidence'!$K$7,H123='Read Me + Evidence'!$K$8,P123='Read Me + Evidence'!$K$9,P123='Read Me + Evidence'!$K$10),'Read Me + Evidence'!$K$12,'Read Me + Evidence'!$K$11)</x:f>
        <x:v>GUI</x:v>
      </x:c>
      <x:c r="R123" s="14" t="n">
        <x:f>IF(AND(Q123='Read Me + Evidence'!$K$11,OR(D123='Read Me + Evidence'!$H$7,D123='Read Me + Evidence'!$H$8,D123='Read Me + Evidence'!$H$9)),1,0)</x:f>
        <x:v>1</x:v>
      </x:c>
      <x:c r="S123" s="14" t="n">
        <x:f>IF(AND(Q123='Read Me + Evidence'!$K$11,D123='Read Me + Evidence'!$H$7),1,0)</x:f>
        <x:v>0</x:v>
      </x:c>
      <x:c r="T123" s="14" t="n">
        <x:f>IF(AND(Q123='Read Me + Evidence'!$K$11,D123&lt;&gt;'Read Me + Evidence'!$H$12),1,0)</x:f>
        <x:v>1</x:v>
      </x:c>
      <x:c r="U123" s="3" t="str"/>
    </x:row>
    <x:row r="124" ht="153" customHeight="1">
      <x:c r="A124" s="3" t="str">
        <x:v>WALLET-04</x:v>
      </x:c>
      <x:c r="B124" s="3" t="str">
        <x:v>Wallet</x:v>
      </x:c>
      <x:c r="C124" s="3" t="str">
        <x:v>Import recovery key</x:v>
      </x:c>
      <x:c r="D124" s="13" t="str">
        <x:v>Partially observed</x:v>
      </x:c>
      <x:c r="E124" s="3" t="str">
        <x:v>Wallet validates key and account type; secrets are never captured in audit evidence.</x:v>
      </x:c>
      <x:c r="F124" s="12" t="str">
        <x:v>Import recovery key shows empty key and name fields and states fresh passkey verification is required. Cancel closes it. No key was entered or read.</x:v>
      </x:c>
      <x:c r="G124" s="3" t="str">
        <x:v>controlled-secret</x:v>
      </x:c>
      <x:c r="H124" s="3" t="str">
        <x:v>implemented-source</x:v>
      </x:c>
      <x:c r="I124" s="3" t="str">
        <x:v>Import key; Network/type; Label; Import; Cancel</x:v>
      </x:c>
      <x:c r="J124" s="3" t="str">
        <x:v>1. Inspect form only; use disposable key solely under explicit test authorization</x:v>
      </x:c>
      <x:c r="K124" s="3" t="str">
        <x:v>Disposable test key handled by user</x:v>
      </x:c>
      <x:c r="L124" s="3" t="str"/>
      <x:c r="M124" s="3" t="str"/>
      <x:c r="N124" s="3" t="str">
        <x:v>E-047</x:v>
      </x:c>
      <x:c r="O124" s="3" t="str">
        <x:v>S-122</x:v>
      </x:c>
      <x:c r="P124" s="3" t="str">
        <x:v>wallet</x:v>
      </x:c>
      <x:c r="Q124" s="3" t="str">
        <x:f>IF(OR(H124='Read Me + Evidence'!$K$6,H124='Read Me + Evidence'!$K$7,H124='Read Me + Evidence'!$K$8,P124='Read Me + Evidence'!$K$9,P124='Read Me + Evidence'!$K$10),'Read Me + Evidence'!$K$12,'Read Me + Evidence'!$K$11)</x:f>
        <x:v>GUI</x:v>
      </x:c>
      <x:c r="R124" s="14" t="n">
        <x:f>IF(AND(Q124='Read Me + Evidence'!$K$11,OR(D124='Read Me + Evidence'!$H$7,D124='Read Me + Evidence'!$H$8,D124='Read Me + Evidence'!$H$9)),1,0)</x:f>
        <x:v>1</x:v>
      </x:c>
      <x:c r="S124" s="14" t="n">
        <x:f>IF(AND(Q124='Read Me + Evidence'!$K$11,D124='Read Me + Evidence'!$H$7),1,0)</x:f>
        <x:v>0</x:v>
      </x:c>
      <x:c r="T124" s="14" t="n">
        <x:f>IF(AND(Q124='Read Me + Evidence'!$K$11,D124&lt;&gt;'Read Me + Evidence'!$H$12),1,0)</x:f>
        <x:v>1</x:v>
      </x:c>
      <x:c r="U124" s="3" t="str"/>
    </x:row>
    <x:row r="125" ht="153" customHeight="1">
      <x:c r="A125" s="3" t="str">
        <x:v>WALLET-05</x:v>
      </x:c>
      <x:c r="B125" s="3" t="str">
        <x:v>Wallet</x:v>
      </x:c>
      <x:c r="C125" s="3" t="str">
        <x:v>Account select/default</x:v>
      </x:c>
      <x:c r="D125" s="13" t="str">
        <x:v>Blocked prerequisite</x:v>
      </x:c>
      <x:c r="E125" s="3" t="str">
        <x:v>Display selection differs from Runtime-verified default; exact account record controls transaction binding.</x:v>
      </x:c>
      <x:c r="F125" s="12" t="str">
        <x:v>This installed principal has 0 accounts. Default/account selection requires a user-approved disposable account.</x:v>
      </x:c>
      <x:c r="G125" s="3" t="str">
        <x:v>controlled-wallet</x:v>
      </x:c>
      <x:c r="H125" s="3" t="str">
        <x:v>implemented-source</x:v>
      </x:c>
      <x:c r="I125" s="3" t="str">
        <x:v>Show in hero; Show default wallet; Set default; Exact account choice</x:v>
      </x:c>
      <x:c r="J125" s="3" t="str">
        <x:v>1. Inspect grouped networks
2. Select intended test account
3. Restore</x:v>
      </x:c>
      <x:c r="K125" s="3" t="str">
        <x:v>Test account; Restore choice</x:v>
      </x:c>
      <x:c r="L125" s="3" t="str"/>
      <x:c r="M125" s="3" t="str"/>
      <x:c r="N125" s="3" t="str">
        <x:v>E-047</x:v>
      </x:c>
      <x:c r="O125" s="3" t="str">
        <x:v>S-123, S-124</x:v>
      </x:c>
      <x:c r="P125" s="3" t="str">
        <x:v>wallet</x:v>
      </x:c>
      <x:c r="Q125" s="3" t="str">
        <x:f>IF(OR(H125='Read Me + Evidence'!$K$6,H125='Read Me + Evidence'!$K$7,H125='Read Me + Evidence'!$K$8,P125='Read Me + Evidence'!$K$9,P125='Read Me + Evidence'!$K$10),'Read Me + Evidence'!$K$12,'Read Me + Evidence'!$K$11)</x:f>
        <x:v>GUI</x:v>
      </x:c>
      <x:c r="R125" s="14" t="n">
        <x:f>IF(AND(Q125='Read Me + Evidence'!$K$11,OR(D125='Read Me + Evidence'!$H$7,D125='Read Me + Evidence'!$H$8,D125='Read Me + Evidence'!$H$9)),1,0)</x:f>
        <x:v>0</x:v>
      </x:c>
      <x:c r="S125" s="14" t="n">
        <x:f>IF(AND(Q125='Read Me + Evidence'!$K$11,D125='Read Me + Evidence'!$H$7),1,0)</x:f>
        <x:v>0</x:v>
      </x:c>
      <x:c r="T125" s="14" t="n">
        <x:f>IF(AND(Q125='Read Me + Evidence'!$K$11,D125&lt;&gt;'Read Me + Evidence'!$H$12),1,0)</x:f>
        <x:v>1</x:v>
      </x:c>
      <x:c r="U125" s="3" t="str"/>
    </x:row>
    <x:row r="126" ht="153" customHeight="1">
      <x:c r="A126" s="3" t="str">
        <x:v>WALLET-06</x:v>
      </x:c>
      <x:c r="B126" s="3" t="str">
        <x:v>Wallet</x:v>
      </x:c>
      <x:c r="C126" s="3" t="str">
        <x:v>Rename account</x:v>
      </x:c>
      <x:c r="D126" s="13" t="str">
        <x:v>Blocked prerequisite</x:v>
      </x:c>
      <x:c r="E126" s="3" t="str">
        <x:v>Only display label changes; address and account identity remain exact.</x:v>
      </x:c>
      <x:c r="F126" s="12" t="str">
        <x:v>No disposable account exists for label changes.</x:v>
      </x:c>
      <x:c r="G126" s="3" t="str">
        <x:v>controlled-wallet</x:v>
      </x:c>
      <x:c r="H126" s="3" t="str">
        <x:v>implemented-source</x:v>
      </x:c>
      <x:c r="I126" s="3" t="str">
        <x:v>Rename; Save; Cancel</x:v>
      </x:c>
      <x:c r="J126" s="3" t="str">
        <x:v>1. Rename disposable label
2. Cancel once
3. Restore</x:v>
      </x:c>
      <x:c r="K126" s="3" t="str">
        <x:v>Disposable account label</x:v>
      </x:c>
      <x:c r="L126" s="3" t="str"/>
      <x:c r="M126" s="3" t="str"/>
      <x:c r="N126" s="3" t="str">
        <x:v>E-047</x:v>
      </x:c>
      <x:c r="O126" s="3" t="str">
        <x:v>S-125</x:v>
      </x:c>
      <x:c r="P126" s="3" t="str">
        <x:v>wallet</x:v>
      </x:c>
      <x:c r="Q126" s="3" t="str">
        <x:f>IF(OR(H126='Read Me + Evidence'!$K$6,H126='Read Me + Evidence'!$K$7,H126='Read Me + Evidence'!$K$8,P126='Read Me + Evidence'!$K$9,P126='Read Me + Evidence'!$K$10),'Read Me + Evidence'!$K$12,'Read Me + Evidence'!$K$11)</x:f>
        <x:v>GUI</x:v>
      </x:c>
      <x:c r="R126" s="14" t="n">
        <x:f>IF(AND(Q126='Read Me + Evidence'!$K$11,OR(D126='Read Me + Evidence'!$H$7,D126='Read Me + Evidence'!$H$8,D126='Read Me + Evidence'!$H$9)),1,0)</x:f>
        <x:v>0</x:v>
      </x:c>
      <x:c r="S126" s="14" t="n">
        <x:f>IF(AND(Q126='Read Me + Evidence'!$K$11,D126='Read Me + Evidence'!$H$7),1,0)</x:f>
        <x:v>0</x:v>
      </x:c>
      <x:c r="T126" s="14" t="n">
        <x:f>IF(AND(Q126='Read Me + Evidence'!$K$11,D126&lt;&gt;'Read Me + Evidence'!$H$12),1,0)</x:f>
        <x:v>1</x:v>
      </x:c>
      <x:c r="U126" s="3" t="str"/>
    </x:row>
    <x:row r="127" ht="153" customHeight="1">
      <x:c r="A127" s="3" t="str">
        <x:v>WALLET-07</x:v>
      </x:c>
      <x:c r="B127" s="3" t="str">
        <x:v>Wallet</x:v>
      </x:c>
      <x:c r="C127" s="3" t="str">
        <x:v>Receive</x:v>
      </x:c>
      <x:c r="D127" s="13" t="str">
        <x:v>Blocked prerequisite</x:v>
      </x:c>
      <x:c r="E127" s="3" t="str">
        <x:v>Address, chain and network agree; receive UI does not claim funds arrived.</x:v>
      </x:c>
      <x:c r="F127" s="12" t="str">
        <x:v>No approved public test address is available. No clipboard access occurred.</x:v>
      </x:c>
      <x:c r="G127" s="3" t="str">
        <x:v>controlled-clipboard</x:v>
      </x:c>
      <x:c r="H127" s="3" t="str">
        <x:v>implemented-source</x:v>
      </x:c>
      <x:c r="I127" s="3" t="str">
        <x:v>Receive; Account choice; QR; Copy address</x:v>
      </x:c>
      <x:c r="J127" s="3" t="str">
        <x:v>1. Inspect known test address/QR
2. Copy harmless public address with consent</x:v>
      </x:c>
      <x:c r="K127" s="3" t="str">
        <x:v>Public test account</x:v>
      </x:c>
      <x:c r="L127" s="3" t="str"/>
      <x:c r="M127" s="3" t="str"/>
      <x:c r="N127" s="3" t="str">
        <x:v>E-047</x:v>
      </x:c>
      <x:c r="O127" s="3" t="str">
        <x:v>S-126</x:v>
      </x:c>
      <x:c r="P127" s="3" t="str">
        <x:v>wallet</x:v>
      </x:c>
      <x:c r="Q127" s="3" t="str">
        <x:f>IF(OR(H127='Read Me + Evidence'!$K$6,H127='Read Me + Evidence'!$K$7,H127='Read Me + Evidence'!$K$8,P127='Read Me + Evidence'!$K$9,P127='Read Me + Evidence'!$K$10),'Read Me + Evidence'!$K$12,'Read Me + Evidence'!$K$11)</x:f>
        <x:v>GUI</x:v>
      </x:c>
      <x:c r="R127" s="14" t="n">
        <x:f>IF(AND(Q127='Read Me + Evidence'!$K$11,OR(D127='Read Me + Evidence'!$H$7,D127='Read Me + Evidence'!$H$8,D127='Read Me + Evidence'!$H$9)),1,0)</x:f>
        <x:v>0</x:v>
      </x:c>
      <x:c r="S127" s="14" t="n">
        <x:f>IF(AND(Q127='Read Me + Evidence'!$K$11,D127='Read Me + Evidence'!$H$7),1,0)</x:f>
        <x:v>0</x:v>
      </x:c>
      <x:c r="T127" s="14" t="n">
        <x:f>IF(AND(Q127='Read Me + Evidence'!$K$11,D127&lt;&gt;'Read Me + Evidence'!$H$12),1,0)</x:f>
        <x:v>1</x:v>
      </x:c>
      <x:c r="U127" s="3" t="str"/>
    </x:row>
    <x:row r="128" ht="153" customHeight="1">
      <x:c r="A128" s="3" t="str">
        <x:v>WALLET-08</x:v>
      </x:c>
      <x:c r="B128" s="3" t="str">
        <x:v>Wallet</x:v>
      </x:c>
      <x:c r="C128" s="3" t="str">
        <x:v>Send admission</x:v>
      </x:c>
      <x:c r="D128" s="13" t="str">
        <x:v>Partially observed</x:v>
      </x:c>
      <x:c r="E128" s="3" t="str">
        <x:v>UI explains unavailable signing paths. Current built-in send path is passkey-managed EVM, not every displayed account type.</x:v>
      </x:c>
      <x:c r="F128" s="12" t="str">
        <x:v>Zero-account overview offers Create or Connect and no active Send control. Watch-only and unsupported-account branches need test accounts.</x:v>
      </x:c>
      <x:c r="G128" s="3" t="str">
        <x:v>safe-read-only</x:v>
      </x:c>
      <x:c r="H128" s="3" t="str">
        <x:v>implemented-source</x:v>
      </x:c>
      <x:c r="I128" s="3" t="str">
        <x:v>Send; Choose account; Choose asset</x:v>
      </x:c>
      <x:c r="J128" s="3" t="str">
        <x:v>1. Open Send with empty/watch-only/unsupported/valid account</x:v>
      </x:c>
      <x:c r="K128" s="3" t="str">
        <x:v>Inspect only; no funds effect</x:v>
      </x:c>
      <x:c r="L128" s="3" t="str"/>
      <x:c r="M128" s="3" t="str"/>
      <x:c r="N128" s="3" t="str">
        <x:v>E-047</x:v>
      </x:c>
      <x:c r="O128" s="3" t="str">
        <x:v>S-127, S-128</x:v>
      </x:c>
      <x:c r="P128" s="3" t="str">
        <x:v>wallet</x:v>
      </x:c>
      <x:c r="Q128" s="3" t="str">
        <x:f>IF(OR(H128='Read Me + Evidence'!$K$6,H128='Read Me + Evidence'!$K$7,H128='Read Me + Evidence'!$K$8,P128='Read Me + Evidence'!$K$9,P128='Read Me + Evidence'!$K$10),'Read Me + Evidence'!$K$12,'Read Me + Evidence'!$K$11)</x:f>
        <x:v>GUI</x:v>
      </x:c>
      <x:c r="R128" s="14" t="n">
        <x:f>IF(AND(Q128='Read Me + Evidence'!$K$11,OR(D128='Read Me + Evidence'!$H$7,D128='Read Me + Evidence'!$H$8,D128='Read Me + Evidence'!$H$9)),1,0)</x:f>
        <x:v>1</x:v>
      </x:c>
      <x:c r="S128" s="14" t="n">
        <x:f>IF(AND(Q128='Read Me + Evidence'!$K$11,D128='Read Me + Evidence'!$H$7),1,0)</x:f>
        <x:v>0</x:v>
      </x:c>
      <x:c r="T128" s="14" t="n">
        <x:f>IF(AND(Q128='Read Me + Evidence'!$K$11,D128&lt;&gt;'Read Me + Evidence'!$H$12),1,0)</x:f>
        <x:v>1</x:v>
      </x:c>
      <x:c r="U128" s="3" t="str"/>
    </x:row>
    <x:row r="129" ht="153" customHeight="1">
      <x:c r="A129" s="3" t="str">
        <x:v>WALLET-09</x:v>
      </x:c>
      <x:c r="B129" s="3" t="str">
        <x:v>Wallet</x:v>
      </x:c>
      <x:c r="C129" s="3" t="str">
        <x:v>Send form and review</x:v>
      </x:c>
      <x:c r="D129" s="13" t="str">
        <x:v>Blocked prerequisite</x:v>
      </x:c>
      <x:c r="E129" s="3" t="str">
        <x:v>Exact account/network/asset/recipient/amount and fees stay visible; Runtime/Wallet own effect.</x:v>
      </x:c>
      <x:c r="F129" s="12" t="str">
        <x:v>No test account or explicit transfer review authority is available.</x:v>
      </x:c>
      <x:c r="G129" s="3" t="str">
        <x:v>controlled-financial</x:v>
      </x:c>
      <x:c r="H129" s="3" t="str">
        <x:v>implemented-source</x:v>
      </x:c>
      <x:c r="I129" s="3" t="str">
        <x:v>Recipient; Amount; Review; Back; Cancel; Confirm</x:v>
      </x:c>
      <x:c r="J129" s="3" t="str">
        <x:v>1. Inspect invalid address/amount
2. Review approved test transfer
3. Cancel by default</x:v>
      </x:c>
      <x:c r="K129" s="3" t="str">
        <x:v>Explicit financial approval for dispatch</x:v>
      </x:c>
      <x:c r="L129" s="3" t="str"/>
      <x:c r="M129" s="3" t="str"/>
      <x:c r="N129" s="3" t="str">
        <x:v>E-047</x:v>
      </x:c>
      <x:c r="O129" s="3" t="str">
        <x:v>S-129</x:v>
      </x:c>
      <x:c r="P129" s="3" t="str">
        <x:v>wallet</x:v>
      </x:c>
      <x:c r="Q129" s="3" t="str">
        <x:f>IF(OR(H129='Read Me + Evidence'!$K$6,H129='Read Me + Evidence'!$K$7,H129='Read Me + Evidence'!$K$8,P129='Read Me + Evidence'!$K$9,P129='Read Me + Evidence'!$K$10),'Read Me + Evidence'!$K$12,'Read Me + Evidence'!$K$11)</x:f>
        <x:v>GUI</x:v>
      </x:c>
      <x:c r="R129" s="14" t="n">
        <x:f>IF(AND(Q129='Read Me + Evidence'!$K$11,OR(D129='Read Me + Evidence'!$H$7,D129='Read Me + Evidence'!$H$8,D129='Read Me + Evidence'!$H$9)),1,0)</x:f>
        <x:v>0</x:v>
      </x:c>
      <x:c r="S129" s="14" t="n">
        <x:f>IF(AND(Q129='Read Me + Evidence'!$K$11,D129='Read Me + Evidence'!$H$7),1,0)</x:f>
        <x:v>0</x:v>
      </x:c>
      <x:c r="T129" s="14" t="n">
        <x:f>IF(AND(Q129='Read Me + Evidence'!$K$11,D129&lt;&gt;'Read Me + Evidence'!$H$12),1,0)</x:f>
        <x:v>1</x:v>
      </x:c>
      <x:c r="U129" s="3" t="str"/>
    </x:row>
    <x:row r="130" ht="153" customHeight="1">
      <x:c r="A130" s="3" t="str">
        <x:v>WALLET-10</x:v>
      </x:c>
      <x:c r="B130" s="3" t="str">
        <x:v>Wallet</x:v>
      </x:c>
      <x:c r="C130" s="3" t="str">
        <x:v>Sign/send result and replay</x:v>
      </x:c>
      <x:c r="D130" s="13" t="str">
        <x:v>Blocked prerequisite</x:v>
      </x:c>
      <x:c r="E130" s="3" t="str">
        <x:v>One exact transaction effect and broadcast; cancellation and failure are honest.</x:v>
      </x:c>
      <x:c r="F130" s="12" t="str">
        <x:v>A funded disposable account and approved recipient/amount are required. No signing or transfer occurred.</x:v>
      </x:c>
      <x:c r="G130" s="3" t="str">
        <x:v>controlled-financial</x:v>
      </x:c>
      <x:c r="H130" s="3" t="str">
        <x:v>implemented-source</x:v>
      </x:c>
      <x:c r="I130" s="3" t="str">
        <x:v>Confirm passkey; Pending/completed/error</x:v>
      </x:c>
      <x:c r="J130" s="3" t="str">
        <x:v>1. Perform separately approved bounded transfer
2. Inspect pending/failure/resume</x:v>
      </x:c>
      <x:c r="K130" s="3" t="str">
        <x:v>Funded disposable account; Approved recipient/amount</x:v>
      </x:c>
      <x:c r="L130" s="3" t="str"/>
      <x:c r="M130" s="3" t="str"/>
      <x:c r="N130" s="3" t="str">
        <x:v>E-047</x:v>
      </x:c>
      <x:c r="O130" s="3" t="str">
        <x:v>S-130</x:v>
      </x:c>
      <x:c r="P130" s="3" t="str">
        <x:v>wallet</x:v>
      </x:c>
      <x:c r="Q130" s="3" t="str">
        <x:f>IF(OR(H130='Read Me + Evidence'!$K$6,H130='Read Me + Evidence'!$K$7,H130='Read Me + Evidence'!$K$8,P130='Read Me + Evidence'!$K$9,P130='Read Me + Evidence'!$K$10),'Read Me + Evidence'!$K$12,'Read Me + Evidence'!$K$11)</x:f>
        <x:v>GUI</x:v>
      </x:c>
      <x:c r="R130" s="14" t="n">
        <x:f>IF(AND(Q130='Read Me + Evidence'!$K$11,OR(D130='Read Me + Evidence'!$H$7,D130='Read Me + Evidence'!$H$8,D130='Read Me + Evidence'!$H$9)),1,0)</x:f>
        <x:v>0</x:v>
      </x:c>
      <x:c r="S130" s="14" t="n">
        <x:f>IF(AND(Q130='Read Me + Evidence'!$K$11,D130='Read Me + Evidence'!$H$7),1,0)</x:f>
        <x:v>0</x:v>
      </x:c>
      <x:c r="T130" s="14" t="n">
        <x:f>IF(AND(Q130='Read Me + Evidence'!$K$11,D130&lt;&gt;'Read Me + Evidence'!$H$12),1,0)</x:f>
        <x:v>1</x:v>
      </x:c>
      <x:c r="U130" s="3" t="str"/>
    </x:row>
    <x:row r="131" ht="153" customHeight="1">
      <x:c r="A131" s="3" t="str">
        <x:v>WALLET-11</x:v>
      </x:c>
      <x:c r="B131" s="3" t="str">
        <x:v>Wallet</x:v>
      </x:c>
      <x:c r="C131" s="3" t="str">
        <x:v>Activity</x:v>
      </x:c>
      <x:c r="D131" s="13" t="str">
        <x:v>Partially observed</x:v>
      </x:c>
      <x:c r="E131" s="3" t="str">
        <x:v>Displayed record is Runtime-derived; empty/cached/rejected/completed states differ.</x:v>
      </x:c>
      <x:c r="F131" s="12" t="str">
        <x:v>Activity opens and states No wallet activity yet. Populated pending/rejected/completed records require controlled requests.</x:v>
      </x:c>
      <x:c r="G131" s="3" t="str">
        <x:v>safe-read-only</x:v>
      </x:c>
      <x:c r="H131" s="3" t="str">
        <x:v>implemented-source</x:v>
      </x:c>
      <x:c r="I131" s="3" t="str">
        <x:v>Activity; Pending request badge</x:v>
      </x:c>
      <x:c r="J131" s="3" t="str">
        <x:v>1. Inspect test transaction history and pending request</x:v>
      </x:c>
      <x:c r="K131" s="3" t="str">
        <x:v>Signed-in Home</x:v>
      </x:c>
      <x:c r="L131" s="3" t="str"/>
      <x:c r="M131" s="3" t="str"/>
      <x:c r="N131" s="3" t="str">
        <x:v>E-047</x:v>
      </x:c>
      <x:c r="O131" s="3" t="str">
        <x:v>S-131</x:v>
      </x:c>
      <x:c r="P131" s="3" t="str">
        <x:v>wallet</x:v>
      </x:c>
      <x:c r="Q131" s="3" t="str">
        <x:f>IF(OR(H131='Read Me + Evidence'!$K$6,H131='Read Me + Evidence'!$K$7,H131='Read Me + Evidence'!$K$8,P131='Read Me + Evidence'!$K$9,P131='Read Me + Evidence'!$K$10),'Read Me + Evidence'!$K$12,'Read Me + Evidence'!$K$11)</x:f>
        <x:v>GUI</x:v>
      </x:c>
      <x:c r="R131" s="14" t="n">
        <x:f>IF(AND(Q131='Read Me + Evidence'!$K$11,OR(D131='Read Me + Evidence'!$H$7,D131='Read Me + Evidence'!$H$8,D131='Read Me + Evidence'!$H$9)),1,0)</x:f>
        <x:v>1</x:v>
      </x:c>
      <x:c r="S131" s="14" t="n">
        <x:f>IF(AND(Q131='Read Me + Evidence'!$K$11,D131='Read Me + Evidence'!$H$7),1,0)</x:f>
        <x:v>0</x:v>
      </x:c>
      <x:c r="T131" s="14" t="n">
        <x:f>IF(AND(Q131='Read Me + Evidence'!$K$11,D131&lt;&gt;'Read Me + Evidence'!$H$12),1,0)</x:f>
        <x:v>1</x:v>
      </x:c>
      <x:c r="U131" s="3" t="str"/>
    </x:row>
    <x:row r="132" ht="153" customHeight="1">
      <x:c r="A132" s="3" t="str">
        <x:v>WALLET-12</x:v>
      </x:c>
      <x:c r="B132" s="3" t="str">
        <x:v>Wallet</x:v>
      </x:c>
      <x:c r="C132" s="3" t="str">
        <x:v>Approval review</x:v>
      </x:c>
      <x:c r="D132" s="13" t="str">
        <x:v>Blocked prerequisite</x:v>
      </x:c>
      <x:c r="E132" s="3" t="str">
        <x:v>Wallet/Inbox own trusted consent; passkey signs exact request, not arbitrary capsule data.</x:v>
      </x:c>
      <x:c r="F132" s="12" t="str">
        <x:v>No controlled Wallet approval request exists; the pre-existing network-price request remains in Inbox.</x:v>
      </x:c>
      <x:c r="G132" s="3" t="str">
        <x:v>controlled-permission</x:v>
      </x:c>
      <x:c r="H132" s="3" t="str">
        <x:v>implemented-source</x:v>
      </x:c>
      <x:c r="I132" s="3" t="str">
        <x:v>Allow/Approve; Exact account access; Reject</x:v>
      </x:c>
      <x:c r="J132" s="3" t="str">
        <x:v>1. Inspect controlled request account/origin/scope
2. Reject or explicit approval</x:v>
      </x:c>
      <x:c r="K132" s="3" t="str">
        <x:v>Controlled request</x:v>
      </x:c>
      <x:c r="L132" s="3" t="str"/>
      <x:c r="M132" s="3" t="str"/>
      <x:c r="N132" s="3" t="str">
        <x:v>E-047</x:v>
      </x:c>
      <x:c r="O132" s="3" t="str">
        <x:v>S-132</x:v>
      </x:c>
      <x:c r="P132" s="3" t="str">
        <x:v>wallet</x:v>
      </x:c>
      <x:c r="Q132" s="3" t="str">
        <x:f>IF(OR(H132='Read Me + Evidence'!$K$6,H132='Read Me + Evidence'!$K$7,H132='Read Me + Evidence'!$K$8,P132='Read Me + Evidence'!$K$9,P132='Read Me + Evidence'!$K$10),'Read Me + Evidence'!$K$12,'Read Me + Evidence'!$K$11)</x:f>
        <x:v>GUI</x:v>
      </x:c>
      <x:c r="R132" s="14" t="n">
        <x:f>IF(AND(Q132='Read Me + Evidence'!$K$11,OR(D132='Read Me + Evidence'!$H$7,D132='Read Me + Evidence'!$H$8,D132='Read Me + Evidence'!$H$9)),1,0)</x:f>
        <x:v>0</x:v>
      </x:c>
      <x:c r="S132" s="14" t="n">
        <x:f>IF(AND(Q132='Read Me + Evidence'!$K$11,D132='Read Me + Evidence'!$H$7),1,0)</x:f>
        <x:v>0</x:v>
      </x:c>
      <x:c r="T132" s="14" t="n">
        <x:f>IF(AND(Q132='Read Me + Evidence'!$K$11,D132&lt;&gt;'Read Me + Evidence'!$H$12),1,0)</x:f>
        <x:v>1</x:v>
      </x:c>
      <x:c r="U132" s="3" t="str"/>
    </x:row>
    <x:row r="133" ht="153" customHeight="1">
      <x:c r="A133" s="3" t="str">
        <x:v>WALLET-13</x:v>
      </x:c>
      <x:c r="B133" s="3" t="str">
        <x:v>Wallet</x:v>
      </x:c>
      <x:c r="C133" s="3" t="str">
        <x:v>Connect approval method</x:v>
      </x:c>
      <x:c r="D133" s="13" t="str">
        <x:v>Partially observed</x:v>
      </x:c>
      <x:c r="E133" s="3" t="str">
        <x:v>One Runtime connector path selects methods; connector UI does not own signing authority.</x:v>
      </x:c>
      <x:c r="F133" s="12" t="str">
        <x:v>Connect a wallet leads to the signer section. MetaMask opens its Home-owned connector window, showing 0 linked and no approval requests. External Connect wallet remains untouched.</x:v>
      </x:c>
      <x:c r="G133" s="3" t="str">
        <x:v>controlled-wallet</x:v>
      </x:c>
      <x:c r="H133" s="3" t="str">
        <x:v>implemented-source</x:v>
      </x:c>
      <x:c r="I133" s="3" t="str">
        <x:v>Connect; MetaMask; UniSat; WalletConnect</x:v>
      </x:c>
      <x:c r="J133" s="3" t="str">
        <x:v>1. Inspect available methods
2. Open connector
3. Cancel before external access</x:v>
      </x:c>
      <x:c r="K133" s="3" t="str">
        <x:v>User-operated extension/external wallet</x:v>
      </x:c>
      <x:c r="L133" s="3" t="str"/>
      <x:c r="M133" s="3" t="str"/>
      <x:c r="N133" s="3" t="str">
        <x:v>E-047</x:v>
      </x:c>
      <x:c r="O133" s="3" t="str">
        <x:v>S-120</x:v>
      </x:c>
      <x:c r="P133" s="3" t="str">
        <x:v>wallet</x:v>
      </x:c>
      <x:c r="Q133" s="3" t="str">
        <x:f>IF(OR(H133='Read Me + Evidence'!$K$6,H133='Read Me + Evidence'!$K$7,H133='Read Me + Evidence'!$K$8,P133='Read Me + Evidence'!$K$9,P133='Read Me + Evidence'!$K$10),'Read Me + Evidence'!$K$12,'Read Me + Evidence'!$K$11)</x:f>
        <x:v>GUI</x:v>
      </x:c>
      <x:c r="R133" s="14" t="n">
        <x:f>IF(AND(Q133='Read Me + Evidence'!$K$11,OR(D133='Read Me + Evidence'!$H$7,D133='Read Me + Evidence'!$H$8,D133='Read Me + Evidence'!$H$9)),1,0)</x:f>
        <x:v>1</x:v>
      </x:c>
      <x:c r="S133" s="14" t="n">
        <x:f>IF(AND(Q133='Read Me + Evidence'!$K$11,D133='Read Me + Evidence'!$H$7),1,0)</x:f>
        <x:v>0</x:v>
      </x:c>
      <x:c r="T133" s="14" t="n">
        <x:f>IF(AND(Q133='Read Me + Evidence'!$K$11,D133&lt;&gt;'Read Me + Evidence'!$H$12),1,0)</x:f>
        <x:v>1</x:v>
      </x:c>
      <x:c r="U133" s="3" t="str"/>
    </x:row>
    <x:row r="134" ht="153" customHeight="1">
      <x:c r="A134" s="3" t="str">
        <x:v>WALLET-14</x:v>
      </x:c>
      <x:c r="B134" s="3" t="str">
        <x:v>Wallet</x:v>
      </x:c>
      <x:c r="C134" s="3" t="str">
        <x:v>Show/copy recovery key</x:v>
      </x:c>
      <x:c r="D134" s="13" t="str">
        <x:v>Blocked prerequisite</x:v>
      </x:c>
      <x:c r="E134" s="3" t="str">
        <x:v>Runtime step-up protects disclosure. Any actual key-export test uses disposable account with redacted evidence.</x:v>
      </x:c>
      <x:c r="F134" s="12" t="str">
        <x:v>No disposable account exists and secret disclosure is outside this audit authority. No recovery material was displayed.</x:v>
      </x:c>
      <x:c r="G134" s="3" t="str">
        <x:v>controlled-secret</x:v>
      </x:c>
      <x:c r="H134" s="3" t="str">
        <x:v>implemented-source</x:v>
      </x:c>
      <x:c r="I134" s="3" t="str">
        <x:v>Show recovery key; Passkey; Copy key</x:v>
      </x:c>
      <x:c r="J134" s="3" t="str">
        <x:v>1. Inspect consent boundary only; stop before displaying real secret</x:v>
      </x:c>
      <x:c r="K134" s="3" t="str">
        <x:v>Explicit secret-disclosure approval</x:v>
      </x:c>
      <x:c r="L134" s="3" t="str"/>
      <x:c r="M134" s="3" t="str"/>
      <x:c r="N134" s="3" t="str">
        <x:v>E-047</x:v>
      </x:c>
      <x:c r="O134" s="3" t="str">
        <x:v>S-133</x:v>
      </x:c>
      <x:c r="P134" s="3" t="str">
        <x:v>wallet</x:v>
      </x:c>
      <x:c r="Q134" s="3" t="str">
        <x:f>IF(OR(H134='Read Me + Evidence'!$K$6,H134='Read Me + Evidence'!$K$7,H134='Read Me + Evidence'!$K$8,P134='Read Me + Evidence'!$K$9,P134='Read Me + Evidence'!$K$10),'Read Me + Evidence'!$K$12,'Read Me + Evidence'!$K$11)</x:f>
        <x:v>GUI</x:v>
      </x:c>
      <x:c r="R134" s="14" t="n">
        <x:f>IF(AND(Q134='Read Me + Evidence'!$K$11,OR(D134='Read Me + Evidence'!$H$7,D134='Read Me + Evidence'!$H$8,D134='Read Me + Evidence'!$H$9)),1,0)</x:f>
        <x:v>0</x:v>
      </x:c>
      <x:c r="S134" s="14" t="n">
        <x:f>IF(AND(Q134='Read Me + Evidence'!$K$11,D134='Read Me + Evidence'!$H$7),1,0)</x:f>
        <x:v>0</x:v>
      </x:c>
      <x:c r="T134" s="14" t="n">
        <x:f>IF(AND(Q134='Read Me + Evidence'!$K$11,D134&lt;&gt;'Read Me + Evidence'!$H$12),1,0)</x:f>
        <x:v>1</x:v>
      </x:c>
      <x:c r="U134" s="3" t="str"/>
    </x:row>
    <x:row r="135" ht="153" customHeight="1">
      <x:c r="A135" s="3" t="str">
        <x:v>WALLET-15</x:v>
      </x:c>
      <x:c r="B135" s="3" t="str">
        <x:v>Wallet</x:v>
      </x:c>
      <x:c r="C135" s="3" t="str">
        <x:v>Delete account</x:v>
      </x:c>
      <x:c r="D135" s="13" t="str">
        <x:v>Blocked prerequisite</x:v>
      </x:c>
      <x:c r="E135" s="3" t="str">
        <x:v>Removal is explicit; recovery implications are clear and unrelated accounts remain intact.</x:v>
      </x:c>
      <x:c r="F135" s="12" t="str">
        <x:v>No disposable account exists. Account deletion was not attempted.</x:v>
      </x:c>
      <x:c r="G135" s="3" t="str">
        <x:v>destructive-controlled</x:v>
      </x:c>
      <x:c r="H135" s="3" t="str">
        <x:v>implemented-source</x:v>
      </x:c>
      <x:c r="I135" s="3" t="str">
        <x:v>Delete account; Cancel; Delete</x:v>
      </x:c>
      <x:c r="J135" s="3" t="str">
        <x:v>1. Preview confirmation on disposable account
2. Cancel by default</x:v>
      </x:c>
      <x:c r="K135" s="3" t="str">
        <x:v>Disposable recoverable account</x:v>
      </x:c>
      <x:c r="L135" s="3" t="str"/>
      <x:c r="M135" s="3" t="str"/>
      <x:c r="N135" s="3" t="str">
        <x:v>E-047</x:v>
      </x:c>
      <x:c r="O135" s="3" t="str">
        <x:v>S-134</x:v>
      </x:c>
      <x:c r="P135" s="3" t="str">
        <x:v>wallet</x:v>
      </x:c>
      <x:c r="Q135" s="3" t="str">
        <x:f>IF(OR(H135='Read Me + Evidence'!$K$6,H135='Read Me + Evidence'!$K$7,H135='Read Me + Evidence'!$K$8,P135='Read Me + Evidence'!$K$9,P135='Read Me + Evidence'!$K$10),'Read Me + Evidence'!$K$12,'Read Me + Evidence'!$K$11)</x:f>
        <x:v>GUI</x:v>
      </x:c>
      <x:c r="R135" s="14" t="n">
        <x:f>IF(AND(Q135='Read Me + Evidence'!$K$11,OR(D135='Read Me + Evidence'!$H$7,D135='Read Me + Evidence'!$H$8,D135='Read Me + Evidence'!$H$9)),1,0)</x:f>
        <x:v>0</x:v>
      </x:c>
      <x:c r="S135" s="14" t="n">
        <x:f>IF(AND(Q135='Read Me + Evidence'!$K$11,D135='Read Me + Evidence'!$H$7),1,0)</x:f>
        <x:v>0</x:v>
      </x:c>
      <x:c r="T135" s="14" t="n">
        <x:f>IF(AND(Q135='Read Me + Evidence'!$K$11,D135&lt;&gt;'Read Me + Evidence'!$H$12),1,0)</x:f>
        <x:v>1</x:v>
      </x:c>
      <x:c r="U135" s="3" t="str"/>
    </x:row>
    <x:row r="136" ht="153" customHeight="1">
      <x:c r="A136" s="3" t="str">
        <x:v>MM-01</x:v>
      </x:c>
      <x:c r="B136" s="3" t="str">
        <x:v>MetaMask connector</x:v>
      </x:c>
      <x:c r="C136" s="3" t="str">
        <x:v>Availability and connect</x:v>
      </x:c>
      <x:c r="D136" s="13" t="str">
        <x:v>Partially observed</x:v>
      </x:c>
      <x:c r="E136" s="3" t="str">
        <x:v>Connector explains unavailable prerequisite and submits typed Runtime request; no silent substitute method.</x:v>
      </x:c>
      <x:c r="F136" s="12" t="str">
        <x:v>MetaMask preview opens with Connect wallet, 0 linked accounts and no approval requests. Closed without requesting external account access.</x:v>
      </x:c>
      <x:c r="G136" s="3" t="str">
        <x:v>controlled-wallet</x:v>
      </x:c>
      <x:c r="H136" s="3" t="str">
        <x:v>implemented-config-gated</x:v>
      </x:c>
      <x:c r="I136" s="3" t="str">
        <x:v>Connect; Status</x:v>
      </x:c>
      <x:c r="J136" s="3" t="str">
        <x:v>1. Open connector
2. Inspect missing/locked/configured branch
3. Cancel access</x:v>
      </x:c>
      <x:c r="K136" s="3" t="str">
        <x:v>Installed supported test extension</x:v>
      </x:c>
      <x:c r="L136" s="3" t="str"/>
      <x:c r="M136" s="3" t="str"/>
      <x:c r="N136" s="3" t="str">
        <x:v>E-047</x:v>
      </x:c>
      <x:c r="O136" s="3" t="str">
        <x:v>S-135</x:v>
      </x:c>
      <x:c r="P136" s="3" t="str">
        <x:v>wallet-metamask</x:v>
      </x:c>
      <x:c r="Q136" s="3" t="str">
        <x:f>IF(OR(H136='Read Me + Evidence'!$K$6,H136='Read Me + Evidence'!$K$7,H136='Read Me + Evidence'!$K$8,P136='Read Me + Evidence'!$K$9,P136='Read Me + Evidence'!$K$10),'Read Me + Evidence'!$K$12,'Read Me + Evidence'!$K$11)</x:f>
        <x:v>GUI</x:v>
      </x:c>
      <x:c r="R136" s="14" t="n">
        <x:f>IF(AND(Q136='Read Me + Evidence'!$K$11,OR(D136='Read Me + Evidence'!$H$7,D136='Read Me + Evidence'!$H$8,D136='Read Me + Evidence'!$H$9)),1,0)</x:f>
        <x:v>1</x:v>
      </x:c>
      <x:c r="S136" s="14" t="n">
        <x:f>IF(AND(Q136='Read Me + Evidence'!$K$11,D136='Read Me + Evidence'!$H$7),1,0)</x:f>
        <x:v>0</x:v>
      </x:c>
      <x:c r="T136" s="14" t="n">
        <x:f>IF(AND(Q136='Read Me + Evidence'!$K$11,D136&lt;&gt;'Read Me + Evidence'!$H$12),1,0)</x:f>
        <x:v>1</x:v>
      </x:c>
      <x:c r="U136" s="3" t="str"/>
    </x:row>
    <x:row r="137" ht="153" customHeight="1">
      <x:c r="A137" s="3" t="str">
        <x:v>MM-02</x:v>
      </x:c>
      <x:c r="B137" s="3" t="str">
        <x:v>MetaMask connector</x:v>
      </x:c>
      <x:c r="C137" s="3" t="str">
        <x:v>Exact approval handoff</x:v>
      </x:c>
      <x:c r="D137" s="13" t="str">
        <x:v>Blocked prerequisite</x:v>
      </x:c>
      <x:c r="E137" s="3" t="str">
        <x:v>Home/Inbox/Wallet remain trusted approval owner; exact account/chain/request binding is preserved.</x:v>
      </x:c>
      <x:c r="F137" s="12" t="str">
        <x:v>Needs a controlled external-wallet request and user-operated test account.</x:v>
      </x:c>
      <x:c r="G137" s="3" t="str">
        <x:v>controlled-permission</x:v>
      </x:c>
      <x:c r="H137" s="3" t="str">
        <x:v>implemented-config-gated</x:v>
      </x:c>
      <x:c r="I137" s="3" t="str">
        <x:v>Request review; Account/network; Cancel/reject</x:v>
      </x:c>
      <x:c r="J137" s="3" t="str">
        <x:v>1. Use controlled Wallet request
2. Inspect external prompt
3. Reject once</x:v>
      </x:c>
      <x:c r="K137" s="3" t="str">
        <x:v>Controlled connector request</x:v>
      </x:c>
      <x:c r="L137" s="3" t="str"/>
      <x:c r="M137" s="3" t="str"/>
      <x:c r="N137" s="3" t="str">
        <x:v>E-047</x:v>
      </x:c>
      <x:c r="O137" s="3" t="str">
        <x:v>S-135</x:v>
      </x:c>
      <x:c r="P137" s="3" t="str">
        <x:v>wallet-metamask</x:v>
      </x:c>
      <x:c r="Q137" s="3" t="str">
        <x:f>IF(OR(H137='Read Me + Evidence'!$K$6,H137='Read Me + Evidence'!$K$7,H137='Read Me + Evidence'!$K$8,P137='Read Me + Evidence'!$K$9,P137='Read Me + Evidence'!$K$10),'Read Me + Evidence'!$K$12,'Read Me + Evidence'!$K$11)</x:f>
        <x:v>GUI</x:v>
      </x:c>
      <x:c r="R137" s="14" t="n">
        <x:f>IF(AND(Q137='Read Me + Evidence'!$K$11,OR(D137='Read Me + Evidence'!$H$7,D137='Read Me + Evidence'!$H$8,D137='Read Me + Evidence'!$H$9)),1,0)</x:f>
        <x:v>0</x:v>
      </x:c>
      <x:c r="S137" s="14" t="n">
        <x:f>IF(AND(Q137='Read Me + Evidence'!$K$11,D137='Read Me + Evidence'!$H$7),1,0)</x:f>
        <x:v>0</x:v>
      </x:c>
      <x:c r="T137" s="14" t="n">
        <x:f>IF(AND(Q137='Read Me + Evidence'!$K$11,D137&lt;&gt;'Read Me + Evidence'!$H$12),1,0)</x:f>
        <x:v>1</x:v>
      </x:c>
      <x:c r="U137" s="3" t="str"/>
    </x:row>
    <x:row r="138" ht="153" customHeight="1">
      <x:c r="A138" s="3" t="str">
        <x:v>MM-03</x:v>
      </x:c>
      <x:c r="B138" s="3" t="str">
        <x:v>MetaMask connector</x:v>
      </x:c>
      <x:c r="C138" s="3" t="str">
        <x:v>Return and error</x:v>
      </x:c>
      <x:c r="D138" s="13" t="str">
        <x:v>Blocked prerequisite</x:v>
      </x:c>
      <x:c r="E138" s="3" t="str">
        <x:v>Pending, rejected, expired and disconnected states cannot falsely claim signing success.</x:v>
      </x:c>
      <x:c r="F138" s="12" t="str">
        <x:v>Preview close succeeds; rejection/expiry/pending semantics require an approved external-wallet test session.</x:v>
      </x:c>
      <x:c r="G138" s="3" t="str">
        <x:v>controlled-wallet</x:v>
      </x:c>
      <x:c r="H138" s="3" t="str">
        <x:v>implemented-config-gated</x:v>
      </x:c>
      <x:c r="I138" s="3" t="str">
        <x:v>Close; Reopen; Expired request</x:v>
      </x:c>
      <x:c r="J138" s="3" t="str">
        <x:v>1. Close connector during controlled pending request
2. Inspect returned status</x:v>
      </x:c>
      <x:c r="K138" s="3" t="str">
        <x:v>Controlled external wallet session</x:v>
      </x:c>
      <x:c r="L138" s="3" t="str"/>
      <x:c r="M138" s="3" t="str"/>
      <x:c r="N138" s="3" t="str">
        <x:v>E-047</x:v>
      </x:c>
      <x:c r="O138" s="3" t="str">
        <x:v>S-135</x:v>
      </x:c>
      <x:c r="P138" s="3" t="str">
        <x:v>wallet-metamask</x:v>
      </x:c>
      <x:c r="Q138" s="3" t="str">
        <x:f>IF(OR(H138='Read Me + Evidence'!$K$6,H138='Read Me + Evidence'!$K$7,H138='Read Me + Evidence'!$K$8,P138='Read Me + Evidence'!$K$9,P138='Read Me + Evidence'!$K$10),'Read Me + Evidence'!$K$12,'Read Me + Evidence'!$K$11)</x:f>
        <x:v>GUI</x:v>
      </x:c>
      <x:c r="R138" s="14" t="n">
        <x:f>IF(AND(Q138='Read Me + Evidence'!$K$11,OR(D138='Read Me + Evidence'!$H$7,D138='Read Me + Evidence'!$H$8,D138='Read Me + Evidence'!$H$9)),1,0)</x:f>
        <x:v>0</x:v>
      </x:c>
      <x:c r="S138" s="14" t="n">
        <x:f>IF(AND(Q138='Read Me + Evidence'!$K$11,D138='Read Me + Evidence'!$H$7),1,0)</x:f>
        <x:v>0</x:v>
      </x:c>
      <x:c r="T138" s="14" t="n">
        <x:f>IF(AND(Q138='Read Me + Evidence'!$K$11,D138&lt;&gt;'Read Me + Evidence'!$H$12),1,0)</x:f>
        <x:v>1</x:v>
      </x:c>
      <x:c r="U138" s="3" t="str"/>
    </x:row>
    <x:row r="139" ht="153" customHeight="1">
      <x:c r="A139" s="3" t="str">
        <x:v>UNI-01</x:v>
      </x:c>
      <x:c r="B139" s="3" t="str">
        <x:v>UniSat connector</x:v>
      </x:c>
      <x:c r="C139" s="3" t="str">
        <x:v>Availability and connect</x:v>
      </x:c>
      <x:c r="D139" s="13" t="str">
        <x:v>Partially observed</x:v>
      </x:c>
      <x:c r="E139" s="3" t="str">
        <x:v>Connector explains unavailable prerequisite and submits typed Runtime request; no silent substitute method.</x:v>
      </x:c>
      <x:c r="F139" s="12" t="str">
        <x:v>UniSat preview shows Connect UniSat, 0 linked accounts and no requests. Closed before requesting external account access.</x:v>
      </x:c>
      <x:c r="G139" s="3" t="str">
        <x:v>controlled-wallet</x:v>
      </x:c>
      <x:c r="H139" s="3" t="str">
        <x:v>implemented-config-gated</x:v>
      </x:c>
      <x:c r="I139" s="3" t="str">
        <x:v>Connect; Status</x:v>
      </x:c>
      <x:c r="J139" s="3" t="str">
        <x:v>1. Open connector
2. Inspect missing/locked/configured branch
3. Cancel access</x:v>
      </x:c>
      <x:c r="K139" s="3" t="str">
        <x:v>Installed supported test extension</x:v>
      </x:c>
      <x:c r="L139" s="3" t="str"/>
      <x:c r="M139" s="3" t="str"/>
      <x:c r="N139" s="3" t="str">
        <x:v>E-047</x:v>
      </x:c>
      <x:c r="O139" s="3" t="str">
        <x:v>S-136</x:v>
      </x:c>
      <x:c r="P139" s="3" t="str">
        <x:v>wallet-unisat</x:v>
      </x:c>
      <x:c r="Q139" s="3" t="str">
        <x:f>IF(OR(H139='Read Me + Evidence'!$K$6,H139='Read Me + Evidence'!$K$7,H139='Read Me + Evidence'!$K$8,P139='Read Me + Evidence'!$K$9,P139='Read Me + Evidence'!$K$10),'Read Me + Evidence'!$K$12,'Read Me + Evidence'!$K$11)</x:f>
        <x:v>GUI</x:v>
      </x:c>
      <x:c r="R139" s="14" t="n">
        <x:f>IF(AND(Q139='Read Me + Evidence'!$K$11,OR(D139='Read Me + Evidence'!$H$7,D139='Read Me + Evidence'!$H$8,D139='Read Me + Evidence'!$H$9)),1,0)</x:f>
        <x:v>1</x:v>
      </x:c>
      <x:c r="S139" s="14" t="n">
        <x:f>IF(AND(Q139='Read Me + Evidence'!$K$11,D139='Read Me + Evidence'!$H$7),1,0)</x:f>
        <x:v>0</x:v>
      </x:c>
      <x:c r="T139" s="14" t="n">
        <x:f>IF(AND(Q139='Read Me + Evidence'!$K$11,D139&lt;&gt;'Read Me + Evidence'!$H$12),1,0)</x:f>
        <x:v>1</x:v>
      </x:c>
      <x:c r="U139" s="3" t="str"/>
    </x:row>
    <x:row r="140" ht="153" customHeight="1">
      <x:c r="A140" s="3" t="str">
        <x:v>UNI-02</x:v>
      </x:c>
      <x:c r="B140" s="3" t="str">
        <x:v>UniSat connector</x:v>
      </x:c>
      <x:c r="C140" s="3" t="str">
        <x:v>Exact approval handoff</x:v>
      </x:c>
      <x:c r="D140" s="13" t="str">
        <x:v>Blocked prerequisite</x:v>
      </x:c>
      <x:c r="E140" s="3" t="str">
        <x:v>Home/Inbox/Wallet remain trusted approval owner; exact account/chain/request binding is preserved.</x:v>
      </x:c>
      <x:c r="F140" s="12" t="str">
        <x:v>Needs a controlled UniSat approval request and user-operated test account.</x:v>
      </x:c>
      <x:c r="G140" s="3" t="str">
        <x:v>controlled-permission</x:v>
      </x:c>
      <x:c r="H140" s="3" t="str">
        <x:v>implemented-config-gated</x:v>
      </x:c>
      <x:c r="I140" s="3" t="str">
        <x:v>Request review; Account/network; Cancel/reject</x:v>
      </x:c>
      <x:c r="J140" s="3" t="str">
        <x:v>1. Use controlled Wallet request
2. Inspect external prompt
3. Reject once</x:v>
      </x:c>
      <x:c r="K140" s="3" t="str">
        <x:v>Controlled connector request</x:v>
      </x:c>
      <x:c r="L140" s="3" t="str"/>
      <x:c r="M140" s="3" t="str"/>
      <x:c r="N140" s="3" t="str">
        <x:v>E-047</x:v>
      </x:c>
      <x:c r="O140" s="3" t="str">
        <x:v>S-136</x:v>
      </x:c>
      <x:c r="P140" s="3" t="str">
        <x:v>wallet-unisat</x:v>
      </x:c>
      <x:c r="Q140" s="3" t="str">
        <x:f>IF(OR(H140='Read Me + Evidence'!$K$6,H140='Read Me + Evidence'!$K$7,H140='Read Me + Evidence'!$K$8,P140='Read Me + Evidence'!$K$9,P140='Read Me + Evidence'!$K$10),'Read Me + Evidence'!$K$12,'Read Me + Evidence'!$K$11)</x:f>
        <x:v>GUI</x:v>
      </x:c>
      <x:c r="R140" s="14" t="n">
        <x:f>IF(AND(Q140='Read Me + Evidence'!$K$11,OR(D140='Read Me + Evidence'!$H$7,D140='Read Me + Evidence'!$H$8,D140='Read Me + Evidence'!$H$9)),1,0)</x:f>
        <x:v>0</x:v>
      </x:c>
      <x:c r="S140" s="14" t="n">
        <x:f>IF(AND(Q140='Read Me + Evidence'!$K$11,D140='Read Me + Evidence'!$H$7),1,0)</x:f>
        <x:v>0</x:v>
      </x:c>
      <x:c r="T140" s="14" t="n">
        <x:f>IF(AND(Q140='Read Me + Evidence'!$K$11,D140&lt;&gt;'Read Me + Evidence'!$H$12),1,0)</x:f>
        <x:v>1</x:v>
      </x:c>
      <x:c r="U140" s="3" t="str"/>
    </x:row>
    <x:row r="141" ht="153" customHeight="1">
      <x:c r="A141" s="3" t="str">
        <x:v>UNI-03</x:v>
      </x:c>
      <x:c r="B141" s="3" t="str">
        <x:v>UniSat connector</x:v>
      </x:c>
      <x:c r="C141" s="3" t="str">
        <x:v>Return and error</x:v>
      </x:c>
      <x:c r="D141" s="13" t="str">
        <x:v>Blocked prerequisite</x:v>
      </x:c>
      <x:c r="E141" s="3" t="str">
        <x:v>Pending, rejected, expired and disconnected states cannot falsely claim signing success.</x:v>
      </x:c>
      <x:c r="F141" s="12" t="str">
        <x:v>Preview close succeeds. Pending/rejection/expiry tests need an approved external-wallet session.</x:v>
      </x:c>
      <x:c r="G141" s="3" t="str">
        <x:v>controlled-wallet</x:v>
      </x:c>
      <x:c r="H141" s="3" t="str">
        <x:v>implemented-config-gated</x:v>
      </x:c>
      <x:c r="I141" s="3" t="str">
        <x:v>Close; Reopen; Expired request</x:v>
      </x:c>
      <x:c r="J141" s="3" t="str">
        <x:v>1. Close connector during controlled pending request
2. Inspect returned status</x:v>
      </x:c>
      <x:c r="K141" s="3" t="str">
        <x:v>Controlled external wallet session</x:v>
      </x:c>
      <x:c r="L141" s="3" t="str"/>
      <x:c r="M141" s="3" t="str"/>
      <x:c r="N141" s="3" t="str">
        <x:v>E-047</x:v>
      </x:c>
      <x:c r="O141" s="3" t="str">
        <x:v>S-136</x:v>
      </x:c>
      <x:c r="P141" s="3" t="str">
        <x:v>wallet-unisat</x:v>
      </x:c>
      <x:c r="Q141" s="3" t="str">
        <x:f>IF(OR(H141='Read Me + Evidence'!$K$6,H141='Read Me + Evidence'!$K$7,H141='Read Me + Evidence'!$K$8,P141='Read Me + Evidence'!$K$9,P141='Read Me + Evidence'!$K$10),'Read Me + Evidence'!$K$12,'Read Me + Evidence'!$K$11)</x:f>
        <x:v>GUI</x:v>
      </x:c>
      <x:c r="R141" s="14" t="n">
        <x:f>IF(AND(Q141='Read Me + Evidence'!$K$11,OR(D141='Read Me + Evidence'!$H$7,D141='Read Me + Evidence'!$H$8,D141='Read Me + Evidence'!$H$9)),1,0)</x:f>
        <x:v>0</x:v>
      </x:c>
      <x:c r="S141" s="14" t="n">
        <x:f>IF(AND(Q141='Read Me + Evidence'!$K$11,D141='Read Me + Evidence'!$H$7),1,0)</x:f>
        <x:v>0</x:v>
      </x:c>
      <x:c r="T141" s="14" t="n">
        <x:f>IF(AND(Q141='Read Me + Evidence'!$K$11,D141&lt;&gt;'Read Me + Evidence'!$H$12),1,0)</x:f>
        <x:v>1</x:v>
      </x:c>
      <x:c r="U141" s="3" t="str"/>
    </x:row>
    <x:row r="142" ht="153" customHeight="1">
      <x:c r="A142" s="3" t="str">
        <x:v>WC-01</x:v>
      </x:c>
      <x:c r="B142" s="3" t="str">
        <x:v>WalletConnect connector</x:v>
      </x:c>
      <x:c r="C142" s="3" t="str">
        <x:v>Availability and connect</x:v>
      </x:c>
      <x:c r="D142" s="13" t="str">
        <x:v>Blocked prerequisite</x:v>
      </x:c>
      <x:c r="E142" s="3" t="str">
        <x:v>Connector explains unavailable prerequisite and submits typed Runtime request; no silent substitute method.</x:v>
      </x:c>
      <x:c r="F142" s="12" t="str">
        <x:v>WalletConnect is absent from the visible signer list. Source gates it on pinned operator configuration; no configuration or external session was created.</x:v>
      </x:c>
      <x:c r="G142" s="3" t="str">
        <x:v>controlled-wallet</x:v>
      </x:c>
      <x:c r="H142" s="3" t="str">
        <x:v>implemented-config-gated</x:v>
      </x:c>
      <x:c r="I142" s="3" t="str">
        <x:v>Connect; Status</x:v>
      </x:c>
      <x:c r="J142" s="3" t="str">
        <x:v>1. Open connector
2. Inspect missing/locked/configured branch
3. Cancel access</x:v>
      </x:c>
      <x:c r="K142" s="3" t="str">
        <x:v>Operator WalletConnect setup; External test wallet</x:v>
      </x:c>
      <x:c r="L142" s="3" t="str"/>
      <x:c r="M142" s="3" t="str"/>
      <x:c r="N142" s="3" t="str">
        <x:v>E-047</x:v>
      </x:c>
      <x:c r="O142" s="3" t="str">
        <x:v>S-137</x:v>
      </x:c>
      <x:c r="P142" s="3" t="str">
        <x:v>wallet-walletconnect</x:v>
      </x:c>
      <x:c r="Q142" s="3" t="str">
        <x:f>IF(OR(H142='Read Me + Evidence'!$K$6,H142='Read Me + Evidence'!$K$7,H142='Read Me + Evidence'!$K$8,P142='Read Me + Evidence'!$K$9,P142='Read Me + Evidence'!$K$10),'Read Me + Evidence'!$K$12,'Read Me + Evidence'!$K$11)</x:f>
        <x:v>GUI</x:v>
      </x:c>
      <x:c r="R142" s="14" t="n">
        <x:f>IF(AND(Q142='Read Me + Evidence'!$K$11,OR(D142='Read Me + Evidence'!$H$7,D142='Read Me + Evidence'!$H$8,D142='Read Me + Evidence'!$H$9)),1,0)</x:f>
        <x:v>0</x:v>
      </x:c>
      <x:c r="S142" s="14" t="n">
        <x:f>IF(AND(Q142='Read Me + Evidence'!$K$11,D142='Read Me + Evidence'!$H$7),1,0)</x:f>
        <x:v>0</x:v>
      </x:c>
      <x:c r="T142" s="14" t="n">
        <x:f>IF(AND(Q142='Read Me + Evidence'!$K$11,D142&lt;&gt;'Read Me + Evidence'!$H$12),1,0)</x:f>
        <x:v>1</x:v>
      </x:c>
      <x:c r="U142" s="3" t="str"/>
    </x:row>
    <x:row r="143" ht="153" customHeight="1">
      <x:c r="A143" s="3" t="str">
        <x:v>WC-02</x:v>
      </x:c>
      <x:c r="B143" s="3" t="str">
        <x:v>WalletConnect connector</x:v>
      </x:c>
      <x:c r="C143" s="3" t="str">
        <x:v>Exact approval handoff</x:v>
      </x:c>
      <x:c r="D143" s="13" t="str">
        <x:v>Blocked prerequisite</x:v>
      </x:c>
      <x:c r="E143" s="3" t="str">
        <x:v>Home/Inbox/Wallet remain trusted approval owner; exact account/chain/request binding is preserved.</x:v>
      </x:c>
      <x:c r="F143" s="12" t="str">
        <x:v>Requires configured WalletConnect and a controlled approval request.</x:v>
      </x:c>
      <x:c r="G143" s="3" t="str">
        <x:v>controlled-permission</x:v>
      </x:c>
      <x:c r="H143" s="3" t="str">
        <x:v>implemented-config-gated</x:v>
      </x:c>
      <x:c r="I143" s="3" t="str">
        <x:v>Request review; Account/network; Cancel/reject</x:v>
      </x:c>
      <x:c r="J143" s="3" t="str">
        <x:v>1. Use controlled Wallet request
2. Inspect external prompt
3. Reject once</x:v>
      </x:c>
      <x:c r="K143" s="3" t="str">
        <x:v>Controlled connector request</x:v>
      </x:c>
      <x:c r="L143" s="3" t="str"/>
      <x:c r="M143" s="3" t="str"/>
      <x:c r="N143" s="3" t="str">
        <x:v>E-047</x:v>
      </x:c>
      <x:c r="O143" s="3" t="str">
        <x:v>S-137</x:v>
      </x:c>
      <x:c r="P143" s="3" t="str">
        <x:v>wallet-walletconnect</x:v>
      </x:c>
      <x:c r="Q143" s="3" t="str">
        <x:f>IF(OR(H143='Read Me + Evidence'!$K$6,H143='Read Me + Evidence'!$K$7,H143='Read Me + Evidence'!$K$8,P143='Read Me + Evidence'!$K$9,P143='Read Me + Evidence'!$K$10),'Read Me + Evidence'!$K$12,'Read Me + Evidence'!$K$11)</x:f>
        <x:v>GUI</x:v>
      </x:c>
      <x:c r="R143" s="14" t="n">
        <x:f>IF(AND(Q143='Read Me + Evidence'!$K$11,OR(D143='Read Me + Evidence'!$H$7,D143='Read Me + Evidence'!$H$8,D143='Read Me + Evidence'!$H$9)),1,0)</x:f>
        <x:v>0</x:v>
      </x:c>
      <x:c r="S143" s="14" t="n">
        <x:f>IF(AND(Q143='Read Me + Evidence'!$K$11,D143='Read Me + Evidence'!$H$7),1,0)</x:f>
        <x:v>0</x:v>
      </x:c>
      <x:c r="T143" s="14" t="n">
        <x:f>IF(AND(Q143='Read Me + Evidence'!$K$11,D143&lt;&gt;'Read Me + Evidence'!$H$12),1,0)</x:f>
        <x:v>1</x:v>
      </x:c>
      <x:c r="U143" s="3" t="str"/>
    </x:row>
    <x:row r="144" ht="153" customHeight="1">
      <x:c r="A144" s="3" t="str">
        <x:v>WC-03</x:v>
      </x:c>
      <x:c r="B144" s="3" t="str">
        <x:v>WalletConnect connector</x:v>
      </x:c>
      <x:c r="C144" s="3" t="str">
        <x:v>Return and error</x:v>
      </x:c>
      <x:c r="D144" s="13" t="str">
        <x:v>Blocked prerequisite</x:v>
      </x:c>
      <x:c r="E144" s="3" t="str">
        <x:v>Pending, rejected, expired and disconnected states cannot falsely claim signing success.</x:v>
      </x:c>
      <x:c r="F144" s="12" t="str">
        <x:v>Requires a controlled WalletConnect session to test pending/rejected/expired results.</x:v>
      </x:c>
      <x:c r="G144" s="3" t="str">
        <x:v>controlled-wallet</x:v>
      </x:c>
      <x:c r="H144" s="3" t="str">
        <x:v>implemented-config-gated</x:v>
      </x:c>
      <x:c r="I144" s="3" t="str">
        <x:v>Close; Reopen; Expired request</x:v>
      </x:c>
      <x:c r="J144" s="3" t="str">
        <x:v>1. Close connector during controlled pending request
2. Inspect returned status</x:v>
      </x:c>
      <x:c r="K144" s="3" t="str">
        <x:v>Controlled external wallet session</x:v>
      </x:c>
      <x:c r="L144" s="3" t="str"/>
      <x:c r="M144" s="3" t="str"/>
      <x:c r="N144" s="3" t="str">
        <x:v>E-047</x:v>
      </x:c>
      <x:c r="O144" s="3" t="str">
        <x:v>S-137</x:v>
      </x:c>
      <x:c r="P144" s="3" t="str">
        <x:v>wallet-walletconnect</x:v>
      </x:c>
      <x:c r="Q144" s="3" t="str">
        <x:f>IF(OR(H144='Read Me + Evidence'!$K$6,H144='Read Me + Evidence'!$K$7,H144='Read Me + Evidence'!$K$8,P144='Read Me + Evidence'!$K$9,P144='Read Me + Evidence'!$K$10),'Read Me + Evidence'!$K$12,'Read Me + Evidence'!$K$11)</x:f>
        <x:v>GUI</x:v>
      </x:c>
      <x:c r="R144" s="14" t="n">
        <x:f>IF(AND(Q144='Read Me + Evidence'!$K$11,OR(D144='Read Me + Evidence'!$H$7,D144='Read Me + Evidence'!$H$8,D144='Read Me + Evidence'!$H$9)),1,0)</x:f>
        <x:v>0</x:v>
      </x:c>
      <x:c r="S144" s="14" t="n">
        <x:f>IF(AND(Q144='Read Me + Evidence'!$K$11,D144='Read Me + Evidence'!$H$7),1,0)</x:f>
        <x:v>0</x:v>
      </x:c>
      <x:c r="T144" s="14" t="n">
        <x:f>IF(AND(Q144='Read Me + Evidence'!$K$11,D144&lt;&gt;'Read Me + Evidence'!$H$12),1,0)</x:f>
        <x:v>1</x:v>
      </x:c>
      <x:c r="U144" s="3" t="str"/>
    </x:row>
    <x:row r="145" ht="153" customHeight="1">
      <x:c r="A145" s="3" t="str">
        <x:v>SERVICE-01</x:v>
      </x:c>
      <x:c r="B145" s="3" t="str">
        <x:v>Services</x:v>
      </x:c>
      <x:c r="C145" s="3" t="str">
        <x:v>Local/remote inventory</x:v>
      </x:c>
      <x:c r="D145" s="13" t="str">
        <x:v>Partially observed</x:v>
      </x:c>
      <x:c r="E145" s="3" t="str">
        <x:v>Runtime projects service status; provider presence and service permission are separate.</x:v>
      </x:c>
      <x:c r="F145" s="12" t="str">
        <x:v>Initially zero shared and subscribed offers. Private Browser Engine and Exit cards are visible. No remote offers exist; refresh preserves inventory.</x:v>
      </x:c>
      <x:c r="G145" s="3" t="str">
        <x:v>safe-read-only</x:v>
      </x:c>
      <x:c r="H145" s="3" t="str">
        <x:v>implemented-source</x:v>
      </x:c>
      <x:c r="I145" s="3" t="str">
        <x:v>This device; From People; Refresh</x:v>
      </x:c>
      <x:c r="J145" s="3" t="str">
        <x:v>1. Inspect local configured services
2. Inspect empty remote offers</x:v>
      </x:c>
      <x:c r="K145" s="3" t="str">
        <x:v>Signed-in Home</x:v>
      </x:c>
      <x:c r="L145" s="3" t="str"/>
      <x:c r="M145" s="3" t="str"/>
      <x:c r="N145" s="3" t="str">
        <x:v>E-048</x:v>
      </x:c>
      <x:c r="O145" s="3" t="str">
        <x:v>S-138</x:v>
      </x:c>
      <x:c r="P145" s="3" t="str">
        <x:v>services</x:v>
      </x:c>
      <x:c r="Q145" s="3" t="str">
        <x:f>IF(OR(H145='Read Me + Evidence'!$K$6,H145='Read Me + Evidence'!$K$7,H145='Read Me + Evidence'!$K$8,P145='Read Me + Evidence'!$K$9,P145='Read Me + Evidence'!$K$10),'Read Me + Evidence'!$K$12,'Read Me + Evidence'!$K$11)</x:f>
        <x:v>GUI</x:v>
      </x:c>
      <x:c r="R145" s="14" t="n">
        <x:f>IF(AND(Q145='Read Me + Evidence'!$K$11,OR(D145='Read Me + Evidence'!$H$7,D145='Read Me + Evidence'!$H$8,D145='Read Me + Evidence'!$H$9)),1,0)</x:f>
        <x:v>1</x:v>
      </x:c>
      <x:c r="S145" s="14" t="n">
        <x:f>IF(AND(Q145='Read Me + Evidence'!$K$11,D145='Read Me + Evidence'!$H$7),1,0)</x:f>
        <x:v>0</x:v>
      </x:c>
      <x:c r="T145" s="14" t="n">
        <x:f>IF(AND(Q145='Read Me + Evidence'!$K$11,D145&lt;&gt;'Read Me + Evidence'!$H$12),1,0)</x:f>
        <x:v>1</x:v>
      </x:c>
      <x:c r="U145" s="3" t="str"/>
    </x:row>
    <x:row r="146" ht="153" customHeight="1">
      <x:c r="A146" s="3" t="str">
        <x:v>SERVICE-02</x:v>
      </x:c>
      <x:c r="B146" s="3" t="str">
        <x:v>Services</x:v>
      </x:c>
      <x:c r="C146" s="3" t="str">
        <x:v>Select local service</x:v>
      </x:c>
      <x:c r="D146" s="13" t="str">
        <x:v>Partially observed</x:v>
      </x:c>
      <x:c r="E146" s="3" t="str">
        <x:v>Runtime owns selection and reports pending/applied/error state honestly.</x:v>
      </x:c>
      <x:c r="F146" s="12" t="str">
        <x:v>Share with People applies immediately, not a preview. The tester unintentionally enabled Browser Engine while inspecting this action, then used Stop sharing confirmation to restore Private. Zero shared offers was verified again. No peer grant was approved.</x:v>
      </x:c>
      <x:c r="G146" s="3" t="str">
        <x:v>controlled-service</x:v>
      </x:c>
      <x:c r="H146" s="3" t="str">
        <x:v>implemented-source</x:v>
      </x:c>
      <x:c r="I146" s="3" t="str">
        <x:v>Enable/Disable or offered action; Confirm; Cancel</x:v>
      </x:c>
      <x:c r="J146" s="3" t="str">
        <x:v>1. Inspect available action
2. Cancel; select only controlled service</x:v>
      </x:c>
      <x:c r="K146" s="3" t="str">
        <x:v>Operator-approved test service</x:v>
      </x:c>
      <x:c r="L146" s="3" t="str"/>
      <x:c r="M146" s="3" t="str"/>
      <x:c r="N146" s="3" t="str">
        <x:v>E-048</x:v>
      </x:c>
      <x:c r="O146" s="3" t="str">
        <x:v>S-139</x:v>
      </x:c>
      <x:c r="P146" s="3" t="str">
        <x:v>services</x:v>
      </x:c>
      <x:c r="Q146" s="3" t="str">
        <x:f>IF(OR(H146='Read Me + Evidence'!$K$6,H146='Read Me + Evidence'!$K$7,H146='Read Me + Evidence'!$K$8,P146='Read Me + Evidence'!$K$9,P146='Read Me + Evidence'!$K$10),'Read Me + Evidence'!$K$12,'Read Me + Evidence'!$K$11)</x:f>
        <x:v>GUI</x:v>
      </x:c>
      <x:c r="R146" s="14" t="n">
        <x:f>IF(AND(Q146='Read Me + Evidence'!$K$11,OR(D146='Read Me + Evidence'!$H$7,D146='Read Me + Evidence'!$H$8,D146='Read Me + Evidence'!$H$9)),1,0)</x:f>
        <x:v>1</x:v>
      </x:c>
      <x:c r="S146" s="14" t="n">
        <x:f>IF(AND(Q146='Read Me + Evidence'!$K$11,D146='Read Me + Evidence'!$H$7),1,0)</x:f>
        <x:v>0</x:v>
      </x:c>
      <x:c r="T146" s="14" t="n">
        <x:f>IF(AND(Q146='Read Me + Evidence'!$K$11,D146&lt;&gt;'Read Me + Evidence'!$H$12),1,0)</x:f>
        <x:v>1</x:v>
      </x:c>
      <x:c r="U146" s="3" t="str"/>
    </x:row>
    <x:row r="147" ht="153" customHeight="1">
      <x:c r="A147" s="3" t="str">
        <x:v>SERVICE-03</x:v>
      </x:c>
      <x:c r="B147" s="3" t="str">
        <x:v>Services</x:v>
      </x:c>
      <x:c r="C147" s="3" t="str">
        <x:v>Remote service request</x:v>
      </x:c>
      <x:c r="D147" s="13" t="str">
        <x:v>Blocked prerequisite</x:v>
      </x:c>
      <x:c r="E147" s="3" t="str">
        <x:v>Discovered Profile/service offer is not a grant; typed Runtime policy governs selection.</x:v>
      </x:c>
      <x:c r="F147" s="12" t="str">
        <x:v>No consenting remote Runtime or connected Profile offers exist; no remote service request was sent.</x:v>
      </x:c>
      <x:c r="G147" s="3" t="str">
        <x:v>multi-runtime-controlled</x:v>
      </x:c>
      <x:c r="H147" s="3" t="str">
        <x:v>implemented-source</x:v>
      </x:c>
      <x:c r="I147" s="3" t="str">
        <x:v>Request/selected action; Confirm; Cancel</x:v>
      </x:c>
      <x:c r="J147" s="3" t="str">
        <x:v>1. Inspect a real test offer if present
2. Request only with peer consent</x:v>
      </x:c>
      <x:c r="K147" s="3" t="str">
        <x:v>Consenting remote Runtime/offer</x:v>
      </x:c>
      <x:c r="L147" s="3" t="str"/>
      <x:c r="M147" s="3" t="str"/>
      <x:c r="N147" s="3" t="str">
        <x:v>E-048</x:v>
      </x:c>
      <x:c r="O147" s="3" t="str">
        <x:v>S-140</x:v>
      </x:c>
      <x:c r="P147" s="3" t="str">
        <x:v>services</x:v>
      </x:c>
      <x:c r="Q147" s="3" t="str">
        <x:f>IF(OR(H147='Read Me + Evidence'!$K$6,H147='Read Me + Evidence'!$K$7,H147='Read Me + Evidence'!$K$8,P147='Read Me + Evidence'!$K$9,P147='Read Me + Evidence'!$K$10),'Read Me + Evidence'!$K$12,'Read Me + Evidence'!$K$11)</x:f>
        <x:v>GUI</x:v>
      </x:c>
      <x:c r="R147" s="14" t="n">
        <x:f>IF(AND(Q147='Read Me + Evidence'!$K$11,OR(D147='Read Me + Evidence'!$H$7,D147='Read Me + Evidence'!$H$8,D147='Read Me + Evidence'!$H$9)),1,0)</x:f>
        <x:v>0</x:v>
      </x:c>
      <x:c r="S147" s="14" t="n">
        <x:f>IF(AND(Q147='Read Me + Evidence'!$K$11,D147='Read Me + Evidence'!$H$7),1,0)</x:f>
        <x:v>0</x:v>
      </x:c>
      <x:c r="T147" s="14" t="n">
        <x:f>IF(AND(Q147='Read Me + Evidence'!$K$11,D147&lt;&gt;'Read Me + Evidence'!$H$12),1,0)</x:f>
        <x:v>1</x:v>
      </x:c>
      <x:c r="U147" s="3" t="str"/>
    </x:row>
    <x:row r="148" ht="153" customHeight="1">
      <x:c r="A148" s="3" t="str">
        <x:v>SERVICE-04</x:v>
      </x:c>
      <x:c r="B148" s="3" t="str">
        <x:v>Services</x:v>
      </x:c>
      <x:c r="C148" s="3" t="str">
        <x:v>Read-only and unavailable cards</x:v>
      </x:c>
      <x:c r="D148" s="13" t="str">
        <x:v>Partially observed</x:v>
      </x:c>
      <x:c r="E148" s="3" t="str">
        <x:v>Unavailable or read-only service stays explicit; UI invents no enable button.</x:v>
      </x:c>
      <x:c r="F148" s="12" t="str">
        <x:v>Private local cards clearly show approval-needed state. A read-only configured-remote service card is absent and needs an operator fixture.</x:v>
      </x:c>
      <x:c r="G148" s="3" t="str">
        <x:v>safe-read-only</x:v>
      </x:c>
      <x:c r="H148" s="3" t="str">
        <x:v>implemented-source</x:v>
      </x:c>
      <x:c r="I148" s="3" t="str">
        <x:v>Read-only status; No action</x:v>
      </x:c>
      <x:c r="J148" s="3" t="str">
        <x:v>1. Inspect service cards without writable affordance</x:v>
      </x:c>
      <x:c r="K148" s="3" t="str">
        <x:v>Signed-in Home</x:v>
      </x:c>
      <x:c r="L148" s="3" t="str"/>
      <x:c r="M148" s="3" t="str"/>
      <x:c r="N148" s="3" t="str">
        <x:v>E-048</x:v>
      </x:c>
      <x:c r="O148" s="3" t="str">
        <x:v>S-141</x:v>
      </x:c>
      <x:c r="P148" s="3" t="str">
        <x:v>services</x:v>
      </x:c>
      <x:c r="Q148" s="3" t="str">
        <x:f>IF(OR(H148='Read Me + Evidence'!$K$6,H148='Read Me + Evidence'!$K$7,H148='Read Me + Evidence'!$K$8,P148='Read Me + Evidence'!$K$9,P148='Read Me + Evidence'!$K$10),'Read Me + Evidence'!$K$12,'Read Me + Evidence'!$K$11)</x:f>
        <x:v>GUI</x:v>
      </x:c>
      <x:c r="R148" s="14" t="n">
        <x:f>IF(AND(Q148='Read Me + Evidence'!$K$11,OR(D148='Read Me + Evidence'!$H$7,D148='Read Me + Evidence'!$H$8,D148='Read Me + Evidence'!$H$9)),1,0)</x:f>
        <x:v>1</x:v>
      </x:c>
      <x:c r="S148" s="14" t="n">
        <x:f>IF(AND(Q148='Read Me + Evidence'!$K$11,D148='Read Me + Evidence'!$H$7),1,0)</x:f>
        <x:v>0</x:v>
      </x:c>
      <x:c r="T148" s="14" t="n">
        <x:f>IF(AND(Q148='Read Me + Evidence'!$K$11,D148&lt;&gt;'Read Me + Evidence'!$H$12),1,0)</x:f>
        <x:v>1</x:v>
      </x:c>
      <x:c r="U148" s="3" t="str"/>
    </x:row>
    <x:row r="149" ht="153" customHeight="1">
      <x:c r="A149" s="3" t="str">
        <x:v>SERVICE-05</x:v>
      </x:c>
      <x:c r="B149" s="3" t="str">
        <x:v>Services</x:v>
      </x:c>
      <x:c r="C149" s="3" t="str">
        <x:v>Error and refresh</x:v>
      </x:c>
      <x:c r="D149" s="13" t="str">
        <x:v>Partially observed</x:v>
      </x:c>
      <x:c r="E149" s="3" t="str">
        <x:v>Public error copy hides topology and configuration secrets; local and remote sections stay usable.</x:v>
      </x:c>
      <x:c r="F149" s="12" t="str">
        <x:v>Refresh succeeds and reports Services updated; empty remote sections remain usable. No naturally failing provider response was available.</x:v>
      </x:c>
      <x:c r="G149" s="3" t="str">
        <x:v>safe-read-only</x:v>
      </x:c>
      <x:c r="H149" s="3" t="str">
        <x:v>implemented-source</x:v>
      </x:c>
      <x:c r="I149" s="3" t="str">
        <x:v>Refresh; Error state</x:v>
      </x:c>
      <x:c r="J149" s="3" t="str">
        <x:v>1. Inspect naturally unavailable service
2. Refresh once</x:v>
      </x:c>
      <x:c r="K149" s="3" t="str">
        <x:v>Signed-in Home</x:v>
      </x:c>
      <x:c r="L149" s="3" t="str"/>
      <x:c r="M149" s="3" t="str"/>
      <x:c r="N149" s="3" t="str">
        <x:v>E-048</x:v>
      </x:c>
      <x:c r="O149" s="3" t="str">
        <x:v>S-142</x:v>
      </x:c>
      <x:c r="P149" s="3" t="str">
        <x:v>services</x:v>
      </x:c>
      <x:c r="Q149" s="3" t="str">
        <x:f>IF(OR(H149='Read Me + Evidence'!$K$6,H149='Read Me + Evidence'!$K$7,H149='Read Me + Evidence'!$K$8,P149='Read Me + Evidence'!$K$9,P149='Read Me + Evidence'!$K$10),'Read Me + Evidence'!$K$12,'Read Me + Evidence'!$K$11)</x:f>
        <x:v>GUI</x:v>
      </x:c>
      <x:c r="R149" s="14" t="n">
        <x:f>IF(AND(Q149='Read Me + Evidence'!$K$11,OR(D149='Read Me + Evidence'!$H$7,D149='Read Me + Evidence'!$H$8,D149='Read Me + Evidence'!$H$9)),1,0)</x:f>
        <x:v>1</x:v>
      </x:c>
      <x:c r="S149" s="14" t="n">
        <x:f>IF(AND(Q149='Read Me + Evidence'!$K$11,D149='Read Me + Evidence'!$H$7),1,0)</x:f>
        <x:v>0</x:v>
      </x:c>
      <x:c r="T149" s="14" t="n">
        <x:f>IF(AND(Q149='Read Me + Evidence'!$K$11,D149&lt;&gt;'Read Me + Evidence'!$H$12),1,0)</x:f>
        <x:v>1</x:v>
      </x:c>
      <x:c r="U149" s="3" t="str"/>
    </x:row>
    <x:row r="150" ht="153" customHeight="1">
      <x:c r="A150" s="3" t="str">
        <x:v>SERVICE-06</x:v>
      </x:c>
      <x:c r="B150" s="3" t="str">
        <x:v>Services</x:v>
      </x:c>
      <x:c r="C150" s="3" t="str">
        <x:v>Future offer kinds</x:v>
      </x:c>
      <x:c r="D150" s="13" t="str">
        <x:v>Not applicable</x:v>
      </x:c>
      <x:c r="E150" s="3" t="str">
        <x:v>Provider-backed offers and principal grants are explicit open work; current discovery is not a universal service market.</x:v>
      </x:c>
      <x:c r="F150" s="12" t="str">
        <x:v>Future offer kinds are planning scope, not an installed live action. Current UI names Browser Engine and Browser Exit explicitly.</x:v>
      </x:c>
      <x:c r="G150" s="3" t="str">
        <x:v>deferred</x:v>
      </x:c>
      <x:c r="H150" s="3" t="str">
        <x:v>planned</x:v>
      </x:c>
      <x:c r="I150" s="3" t="str">
        <x:v>Remote Exit/storage/relay/model/hosting</x:v>
      </x:c>
      <x:c r="J150" s="3" t="str">
        <x:v>1. Record missing remote offer support as planned, not a failed local control</x:v>
      </x:c>
      <x:c r="K150" s="3" t="str">
        <x:v>Later reviewed remote-service implementation</x:v>
      </x:c>
      <x:c r="L150" s="3" t="str">
        <x:v>F-09</x:v>
      </x:c>
      <x:c r="M150" s="3" t="str"/>
      <x:c r="N150" s="3" t="str">
        <x:v>E-048</x:v>
      </x:c>
      <x:c r="O150" s="3" t="str">
        <x:v>S-143</x:v>
      </x:c>
      <x:c r="P150" s="3" t="str">
        <x:v>services</x:v>
      </x:c>
      <x:c r="Q150" s="3" t="str">
        <x:f>IF(OR(H150='Read Me + Evidence'!$K$6,H150='Read Me + Evidence'!$K$7,H150='Read Me + Evidence'!$K$8,P150='Read Me + Evidence'!$K$9,P150='Read Me + Evidence'!$K$10),'Read Me + Evidence'!$K$12,'Read Me + Evidence'!$K$11)</x:f>
        <x:v>Source only</x:v>
      </x:c>
      <x:c r="R150" s="14" t="n">
        <x:f>IF(AND(Q150='Read Me + Evidence'!$K$11,OR(D150='Read Me + Evidence'!$H$7,D150='Read Me + Evidence'!$H$8,D150='Read Me + Evidence'!$H$9)),1,0)</x:f>
        <x:v>0</x:v>
      </x:c>
      <x:c r="S150" s="14" t="n">
        <x:f>IF(AND(Q150='Read Me + Evidence'!$K$11,D150='Read Me + Evidence'!$H$7),1,0)</x:f>
        <x:v>0</x:v>
      </x:c>
      <x:c r="T150" s="14" t="n">
        <x:f>IF(AND(Q150='Read Me + Evidence'!$K$11,D150&lt;&gt;'Read Me + Evidence'!$H$12),1,0)</x:f>
        <x:v>0</x:v>
      </x:c>
      <x:c r="U150" s="3" t="str"/>
    </x:row>
    <x:row r="151" ht="153" customHeight="1">
      <x:c r="A151" s="3" t="str">
        <x:v>AI-01</x:v>
      </x:c>
      <x:c r="B151" s="3" t="str">
        <x:v>Assistant</x:v>
      </x:c>
      <x:c r="C151" s="3" t="str">
        <x:v>Empty workspace and starters</x:v>
      </x:c>
      <x:c r="D151" s="13" t="str">
        <x:v>Pass</x:v>
      </x:c>
      <x:c r="E151" s="3" t="str">
        <x:v>Starter sets editable prompt; empty search and no session states are clear.</x:v>
      </x:c>
      <x:c r="F151" s="12" t="str">
        <x:v>Empty Chat and Build have labeled starter actions and zero-offer status. Space on Chat plan starter populates the Message exactly; Send stays disabled with no model. Search aud shows No sessions match, clearing restores New chat. Draft cleared and Chat restored.</x:v>
      </x:c>
      <x:c r="G151" s="3" t="str">
        <x:v>safe-read-only</x:v>
      </x:c>
      <x:c r="H151" s="3" t="str">
        <x:v>implemented-source</x:v>
      </x:c>
      <x:c r="I151" s="3" t="str">
        <x:v>New conversation; Starter prompt; Search</x:v>
      </x:c>
      <x:c r="J151" s="3" t="str">
        <x:v>1. Inspect empty workspace
2. Choose harmless starter without send
3. Search</x:v>
      </x:c>
      <x:c r="K151" s="3" t="str">
        <x:v>Signed-in Home</x:v>
      </x:c>
      <x:c r="L151" s="3" t="str"/>
      <x:c r="M151" s="3" t="str"/>
      <x:c r="N151" s="3" t="str">
        <x:v>E-054</x:v>
      </x:c>
      <x:c r="O151" s="3" t="str">
        <x:v>S-144</x:v>
      </x:c>
      <x:c r="P151" s="3" t="str">
        <x:v>assistant</x:v>
      </x:c>
      <x:c r="Q151" s="3" t="str">
        <x:f>IF(OR(H151='Read Me + Evidence'!$K$6,H151='Read Me + Evidence'!$K$7,H151='Read Me + Evidence'!$K$8,P151='Read Me + Evidence'!$K$9,P151='Read Me + Evidence'!$K$10),'Read Me + Evidence'!$K$12,'Read Me + Evidence'!$K$11)</x:f>
        <x:v>GUI</x:v>
      </x:c>
      <x:c r="R151" s="14" t="n">
        <x:f>IF(AND(Q151='Read Me + Evidence'!$K$11,OR(D151='Read Me + Evidence'!$H$7,D151='Read Me + Evidence'!$H$8,D151='Read Me + Evidence'!$H$9)),1,0)</x:f>
        <x:v>1</x:v>
      </x:c>
      <x:c r="S151" s="14" t="n">
        <x:f>IF(AND(Q151='Read Me + Evidence'!$K$11,D151='Read Me + Evidence'!$H$7),1,0)</x:f>
        <x:v>1</x:v>
      </x:c>
      <x:c r="T151" s="14" t="n">
        <x:f>IF(AND(Q151='Read Me + Evidence'!$K$11,D151&lt;&gt;'Read Me + Evidence'!$H$12),1,0)</x:f>
        <x:v>1</x:v>
      </x:c>
      <x:c r="U151" s="3" t="str"/>
    </x:row>
    <x:row r="152" ht="153" customHeight="1">
      <x:c r="A152" s="3" t="str">
        <x:v>AI-02</x:v>
      </x:c>
      <x:c r="B152" s="3" t="str">
        <x:v>Assistant</x:v>
      </x:c>
      <x:c r="C152" s="3" t="str">
        <x:v>Session management</x:v>
      </x:c>
      <x:c r="D152" s="13" t="str">
        <x:v>Partially observed</x:v>
      </x:c>
      <x:c r="E152" s="3" t="str">
        <x:v>Typed workspace owns persistence; labels/focus/conflicts remain clear.</x:v>
      </x:c>
      <x:c r="F152" s="12" t="str">
        <x:v>F-17 fixed and independently verified at03757c2b: changing the already-empty Chat workspace to Build saves without error, and Build survives closing/reopening Assistant. Chat restored with empty prompt. Rename/pin/delete and populated-session/conflict UX remain untested.</x:v>
      </x:c>
      <x:c r="G152" s="3" t="str">
        <x:v>controlled-files</x:v>
      </x:c>
      <x:c r="H152" s="3" t="str">
        <x:v>implemented-source</x:v>
      </x:c>
      <x:c r="I152" s="3" t="str">
        <x:v>Select; Pin/unpin; Rename; Save/Cancel; Delete/Keep</x:v>
      </x:c>
      <x:c r="J152" s="3" t="str">
        <x:v>1. Create only disposable conversation
2. Inspect rename/pin/delete
3. Cancel deletion</x:v>
      </x:c>
      <x:c r="K152" s="3" t="str">
        <x:v>Disposable Assistant session</x:v>
      </x:c>
      <x:c r="L152" s="3" t="str">
        <x:v>F-17</x:v>
      </x:c>
      <x:c r="M152" s="3" t="str"/>
      <x:c r="N152" s="3" t="str">
        <x:v>E-037; E-038; E-039</x:v>
      </x:c>
      <x:c r="O152" s="3" t="str">
        <x:v>S-145</x:v>
      </x:c>
      <x:c r="P152" s="3" t="str">
        <x:v>assistant</x:v>
      </x:c>
      <x:c r="Q152" s="3" t="str">
        <x:f>IF(OR(H152='Read Me + Evidence'!$K$6,H152='Read Me + Evidence'!$K$7,H152='Read Me + Evidence'!$K$8,P152='Read Me + Evidence'!$K$9,P152='Read Me + Evidence'!$K$10),'Read Me + Evidence'!$K$12,'Read Me + Evidence'!$K$11)</x:f>
        <x:v>GUI</x:v>
      </x:c>
      <x:c r="R152" s="14" t="n">
        <x:f>IF(AND(Q152='Read Me + Evidence'!$K$11,OR(D152='Read Me + Evidence'!$H$7,D152='Read Me + Evidence'!$H$8,D152='Read Me + Evidence'!$H$9)),1,0)</x:f>
        <x:v>1</x:v>
      </x:c>
      <x:c r="S152" s="14" t="n">
        <x:f>IF(AND(Q152='Read Me + Evidence'!$K$11,D152='Read Me + Evidence'!$H$7),1,0)</x:f>
        <x:v>0</x:v>
      </x:c>
      <x:c r="T152" s="14" t="n">
        <x:f>IF(AND(Q152='Read Me + Evidence'!$K$11,D152&lt;&gt;'Read Me + Evidence'!$H$12),1,0)</x:f>
        <x:v>1</x:v>
      </x:c>
      <x:c r="U152" s="3" t="str"/>
    </x:row>
    <x:row r="153" ht="153" customHeight="1">
      <x:c r="A153" s="3" t="str">
        <x:v>AI-03</x:v>
      </x:c>
      <x:c r="B153" s="3" t="str">
        <x:v>Assistant</x:v>
      </x:c>
      <x:c r="C153" s="3" t="str">
        <x:v>Modes</x:v>
      </x:c>
      <x:c r="D153" s="13" t="str">
        <x:v>Partially observed</x:v>
      </x:c>
      <x:c r="E153" s="3" t="str">
        <x:v>Only eligible typed offers are selectable; missing modality produces explicit unavailable state.</x:v>
      </x:c>
      <x:c r="F153" s="12" t="str">
        <x:v>Chat/Build/Studio select correctly through screenshot-grounded clicks. Text/media modes expose the correct zero-offer state with disabled Send/Generate. Empty workspace mode persists after F-17 repair. Configured eligible-offer paths remain untested.</x:v>
      </x:c>
      <x:c r="G153" s="3" t="str">
        <x:v>safe-read-only</x:v>
      </x:c>
      <x:c r="H153" s="3" t="str">
        <x:v>implemented-source</x:v>
      </x:c>
      <x:c r="I153" s="3" t="str">
        <x:v>Chat; Build; Studio</x:v>
      </x:c>
      <x:c r="J153" s="3" t="str">
        <x:v>1. Switch each mode
2. Inspect prompts/offer choices/results</x:v>
      </x:c>
      <x:c r="K153" s="3" t="str">
        <x:v>Signed-in Home</x:v>
      </x:c>
      <x:c r="L153" s="3" t="str">
        <x:v>F-16; F-17</x:v>
      </x:c>
      <x:c r="M153" s="3" t="str"/>
      <x:c r="N153" s="3" t="str">
        <x:v>E-034; E-037; E-039</x:v>
      </x:c>
      <x:c r="O153" s="3" t="str">
        <x:v>S-146</x:v>
      </x:c>
      <x:c r="P153" s="3" t="str">
        <x:v>assistant</x:v>
      </x:c>
      <x:c r="Q153" s="3" t="str">
        <x:f>IF(OR(H153='Read Me + Evidence'!$K$6,H153='Read Me + Evidence'!$K$7,H153='Read Me + Evidence'!$K$8,P153='Read Me + Evidence'!$K$9,P153='Read Me + Evidence'!$K$10),'Read Me + Evidence'!$K$12,'Read Me + Evidence'!$K$11)</x:f>
        <x:v>GUI</x:v>
      </x:c>
      <x:c r="R153" s="14" t="n">
        <x:f>IF(AND(Q153='Read Me + Evidence'!$K$11,OR(D153='Read Me + Evidence'!$H$7,D153='Read Me + Evidence'!$H$8,D153='Read Me + Evidence'!$H$9)),1,0)</x:f>
        <x:v>1</x:v>
      </x:c>
      <x:c r="S153" s="14" t="n">
        <x:f>IF(AND(Q153='Read Me + Evidence'!$K$11,D153='Read Me + Evidence'!$H$7),1,0)</x:f>
        <x:v>0</x:v>
      </x:c>
      <x:c r="T153" s="14" t="n">
        <x:f>IF(AND(Q153='Read Me + Evidence'!$K$11,D153&lt;&gt;'Read Me + Evidence'!$H$12),1,0)</x:f>
        <x:v>1</x:v>
      </x:c>
      <x:c r="U153" s="3" t="str"/>
    </x:row>
    <x:row r="154" ht="153" customHeight="1">
      <x:c r="A154" s="3" t="str">
        <x:v>AI-04</x:v>
      </x:c>
      <x:c r="B154" s="3" t="str">
        <x:v>Assistant</x:v>
      </x:c>
      <x:c r="C154" s="3" t="str">
        <x:v>No model offers</x:v>
      </x:c>
      <x:c r="D154" s="13" t="str">
        <x:v>Pass</x:v>
      </x:c>
      <x:c r="E154" s="3" t="str">
        <x:v>Assistant distinguishes no configured offer from provider startup failure; it does not invent a backend.</x:v>
      </x:c>
      <x:c r="F154" s="12" t="str">
        <x:v>Final03757c2b: Assistant completes startup and reports No model offers available. Chat/Build show No text offers with disabled selector/Send; Studio shows No image or video offers and disabled Generate. F-16/F-17 repaired; no workspace-save error.</x:v>
      </x:c>
      <x:c r="G154" s="3" t="str">
        <x:v>safe-read-only</x:v>
      </x:c>
      <x:c r="H154" s="3" t="str">
        <x:v>implemented-config-gated</x:v>
      </x:c>
      <x:c r="I154" s="3" t="str">
        <x:v>Offer selector; No text/image/video offers; Disabled send</x:v>
      </x:c>
      <x:c r="J154" s="3" t="str">
        <x:v>1. Open each mode with zero configured offers</x:v>
      </x:c>
      <x:c r="K154" s="3" t="str">
        <x:v>Zero-offer configuration</x:v>
      </x:c>
      <x:c r="L154" s="3" t="str">
        <x:v>F-02; F-08; F-16</x:v>
      </x:c>
      <x:c r="M154" s="3" t="str"/>
      <x:c r="N154" s="3" t="str">
        <x:v>E-034; E-036; E-038; E-039</x:v>
      </x:c>
      <x:c r="O154" s="3" t="str">
        <x:v>S-147</x:v>
      </x:c>
      <x:c r="P154" s="3" t="str">
        <x:v>assistant</x:v>
      </x:c>
      <x:c r="Q154" s="3" t="str">
        <x:f>IF(OR(H154='Read Me + Evidence'!$K$6,H154='Read Me + Evidence'!$K$7,H154='Read Me + Evidence'!$K$8,P154='Read Me + Evidence'!$K$9,P154='Read Me + Evidence'!$K$10),'Read Me + Evidence'!$K$12,'Read Me + Evidence'!$K$11)</x:f>
        <x:v>GUI</x:v>
      </x:c>
      <x:c r="R154" s="14" t="n">
        <x:f>IF(AND(Q154='Read Me + Evidence'!$K$11,OR(D154='Read Me + Evidence'!$H$7,D154='Read Me + Evidence'!$H$8,D154='Read Me + Evidence'!$H$9)),1,0)</x:f>
        <x:v>1</x:v>
      </x:c>
      <x:c r="S154" s="14" t="n">
        <x:f>IF(AND(Q154='Read Me + Evidence'!$K$11,D154='Read Me + Evidence'!$H$7),1,0)</x:f>
        <x:v>1</x:v>
      </x:c>
      <x:c r="T154" s="14" t="n">
        <x:f>IF(AND(Q154='Read Me + Evidence'!$K$11,D154&lt;&gt;'Read Me + Evidence'!$H$12),1,0)</x:f>
        <x:v>1</x:v>
      </x:c>
      <x:c r="U154" s="3" t="str"/>
    </x:row>
    <x:row r="155" ht="153" customHeight="1">
      <x:c r="A155" s="3" t="str">
        <x:v>AI-05</x:v>
      </x:c>
      <x:c r="B155" s="3" t="str">
        <x:v>Assistant</x:v>
      </x:c>
      <x:c r="C155" s="3" t="str">
        <x:v>Chat run</x:v>
      </x:c>
      <x:c r="D155" s="13" t="str">
        <x:v>Blocked prerequisite</x:v>
      </x:c>
      <x:c r="E155" s="3" t="str">
        <x:v>Runtime owns admission/provider/run lifecycle; Assistant receives typed events and public output only.</x:v>
      </x:c>
      <x:c r="F155" s="12" t="str">
        <x:v>Installed Assistant now starts correctly but exposes zero configured model offers. A compatible approved backend/offer and model/cost consent are required for this run branch; no request was submitted.</x:v>
      </x:c>
      <x:c r="G155" s="3" t="str">
        <x:v>controlled-model</x:v>
      </x:c>
      <x:c r="H155" s="3" t="str">
        <x:v>implemented-config-gated</x:v>
      </x:c>
      <x:c r="I155" s="3" t="str">
        <x:v>Prompt; Offer; Send; Streaming response</x:v>
      </x:c>
      <x:c r="J155" s="3" t="str">
        <x:v>1. Use approved harmless prompt and configured text offer</x:v>
      </x:c>
      <x:c r="K155" s="3" t="str">
        <x:v>Configured provider/offer; User consent to model submission</x:v>
      </x:c>
      <x:c r="L155" s="3" t="str"/>
      <x:c r="M155" s="3" t="str"/>
      <x:c r="N155" s="3" t="str">
        <x:v>E-036; E-038; E-039</x:v>
      </x:c>
      <x:c r="O155" s="3" t="str">
        <x:v>S-148</x:v>
      </x:c>
      <x:c r="P155" s="3" t="str">
        <x:v>assistant</x:v>
      </x:c>
      <x:c r="Q155" s="3" t="str">
        <x:f>IF(OR(H155='Read Me + Evidence'!$K$6,H155='Read Me + Evidence'!$K$7,H155='Read Me + Evidence'!$K$8,P155='Read Me + Evidence'!$K$9,P155='Read Me + Evidence'!$K$10),'Read Me + Evidence'!$K$12,'Read Me + Evidence'!$K$11)</x:f>
        <x:v>GUI</x:v>
      </x:c>
      <x:c r="R155" s="14" t="n">
        <x:f>IF(AND(Q155='Read Me + Evidence'!$K$11,OR(D155='Read Me + Evidence'!$H$7,D155='Read Me + Evidence'!$H$8,D155='Read Me + Evidence'!$H$9)),1,0)</x:f>
        <x:v>0</x:v>
      </x:c>
      <x:c r="S155" s="14" t="n">
        <x:f>IF(AND(Q155='Read Me + Evidence'!$K$11,D155='Read Me + Evidence'!$H$7),1,0)</x:f>
        <x:v>0</x:v>
      </x:c>
      <x:c r="T155" s="14" t="n">
        <x:f>IF(AND(Q155='Read Me + Evidence'!$K$11,D155&lt;&gt;'Read Me + Evidence'!$H$12),1,0)</x:f>
        <x:v>1</x:v>
      </x:c>
      <x:c r="U155" s="3" t="str"/>
    </x:row>
    <x:row r="156" ht="153" customHeight="1">
      <x:c r="A156" s="3" t="str">
        <x:v>AI-06</x:v>
      </x:c>
      <x:c r="B156" s="3" t="str">
        <x:v>Assistant</x:v>
      </x:c>
      <x:c r="C156" s="3" t="str">
        <x:v>Build mode</x:v>
      </x:c>
      <x:c r="D156" s="13" t="str">
        <x:v>Blocked prerequisite</x:v>
      </x:c>
      <x:c r="E156" s="3" t="str">
        <x:v>Build is typed model/workspace behavior; UI does not acquire arbitrary host execution authority.</x:v>
      </x:c>
      <x:c r="F156" s="12" t="str">
        <x:v>Installed Assistant now starts correctly but exposes zero configured model offers. A compatible approved backend/offer and model/cost consent are required for this run branch; no request was submitted.</x:v>
      </x:c>
      <x:c r="G156" s="3" t="str">
        <x:v>controlled-model</x:v>
      </x:c>
      <x:c r="H156" s="3" t="str">
        <x:v>implemented-config-gated</x:v>
      </x:c>
      <x:c r="I156" s="3" t="str">
        <x:v>Build prompt; Offer; Send; Output</x:v>
      </x:c>
      <x:c r="J156" s="3" t="str">
        <x:v>1. Submit bounded code request only to approved offer</x:v>
      </x:c>
      <x:c r="K156" s="3" t="str">
        <x:v>Configured text offer; Disposable workspace</x:v>
      </x:c>
      <x:c r="L156" s="3" t="str"/>
      <x:c r="M156" s="3" t="str"/>
      <x:c r="N156" s="3" t="str">
        <x:v>E-036; E-038; E-039</x:v>
      </x:c>
      <x:c r="O156" s="3" t="str">
        <x:v>S-148</x:v>
      </x:c>
      <x:c r="P156" s="3" t="str">
        <x:v>assistant</x:v>
      </x:c>
      <x:c r="Q156" s="3" t="str">
        <x:f>IF(OR(H156='Read Me + Evidence'!$K$6,H156='Read Me + Evidence'!$K$7,H156='Read Me + Evidence'!$K$8,P156='Read Me + Evidence'!$K$9,P156='Read Me + Evidence'!$K$10),'Read Me + Evidence'!$K$12,'Read Me + Evidence'!$K$11)</x:f>
        <x:v>GUI</x:v>
      </x:c>
      <x:c r="R156" s="14" t="n">
        <x:f>IF(AND(Q156='Read Me + Evidence'!$K$11,OR(D156='Read Me + Evidence'!$H$7,D156='Read Me + Evidence'!$H$8,D156='Read Me + Evidence'!$H$9)),1,0)</x:f>
        <x:v>0</x:v>
      </x:c>
      <x:c r="S156" s="14" t="n">
        <x:f>IF(AND(Q156='Read Me + Evidence'!$K$11,D156='Read Me + Evidence'!$H$7),1,0)</x:f>
        <x:v>0</x:v>
      </x:c>
      <x:c r="T156" s="14" t="n">
        <x:f>IF(AND(Q156='Read Me + Evidence'!$K$11,D156&lt;&gt;'Read Me + Evidence'!$H$12),1,0)</x:f>
        <x:v>1</x:v>
      </x:c>
      <x:c r="U156" s="3" t="str"/>
    </x:row>
    <x:row r="157" ht="153" customHeight="1">
      <x:c r="A157" s="3" t="str">
        <x:v>AI-07</x:v>
      </x:c>
      <x:c r="B157" s="3" t="str">
        <x:v>Assistant</x:v>
      </x:c>
      <x:c r="C157" s="3" t="str">
        <x:v>Studio generation</x:v>
      </x:c>
      <x:c r="D157" s="13" t="str">
        <x:v>Blocked prerequisite</x:v>
      </x:c>
      <x:c r="E157" s="3" t="str">
        <x:v>Provider returns typed bounded content result; no raw backend URL or credential reaches app.</x:v>
      </x:c>
      <x:c r="F157" s="12" t="str">
        <x:v>Installed Assistant now starts correctly but exposes zero configured model offers. A compatible approved backend/offer and model/cost consent are required for this run branch; no request was submitted.</x:v>
      </x:c>
      <x:c r="G157" s="3" t="str">
        <x:v>controlled-model</x:v>
      </x:c>
      <x:c r="H157" s="3" t="str">
        <x:v>implemented-config-gated</x:v>
      </x:c>
      <x:c r="I157" s="3" t="str">
        <x:v>Image/video offer; Generate; Progress; Result</x:v>
      </x:c>
      <x:c r="J157" s="3" t="str">
        <x:v>1. Inspect supported operation
2. Generate only approved small artifact</x:v>
      </x:c>
      <x:c r="K157" s="3" t="str">
        <x:v>Configured image/video offer; Cost approval</x:v>
      </x:c>
      <x:c r="L157" s="3" t="str"/>
      <x:c r="M157" s="3" t="str"/>
      <x:c r="N157" s="3" t="str">
        <x:v>E-036; E-038; E-039</x:v>
      </x:c>
      <x:c r="O157" s="3" t="str">
        <x:v>S-149</x:v>
      </x:c>
      <x:c r="P157" s="3" t="str">
        <x:v>assistant</x:v>
      </x:c>
      <x:c r="Q157" s="3" t="str">
        <x:f>IF(OR(H157='Read Me + Evidence'!$K$6,H157='Read Me + Evidence'!$K$7,H157='Read Me + Evidence'!$K$8,P157='Read Me + Evidence'!$K$9,P157='Read Me + Evidence'!$K$10),'Read Me + Evidence'!$K$12,'Read Me + Evidence'!$K$11)</x:f>
        <x:v>GUI</x:v>
      </x:c>
      <x:c r="R157" s="14" t="n">
        <x:f>IF(AND(Q157='Read Me + Evidence'!$K$11,OR(D157='Read Me + Evidence'!$H$7,D157='Read Me + Evidence'!$H$8,D157='Read Me + Evidence'!$H$9)),1,0)</x:f>
        <x:v>0</x:v>
      </x:c>
      <x:c r="S157" s="14" t="n">
        <x:f>IF(AND(Q157='Read Me + Evidence'!$K$11,D157='Read Me + Evidence'!$H$7),1,0)</x:f>
        <x:v>0</x:v>
      </x:c>
      <x:c r="T157" s="14" t="n">
        <x:f>IF(AND(Q157='Read Me + Evidence'!$K$11,D157&lt;&gt;'Read Me + Evidence'!$H$12),1,0)</x:f>
        <x:v>1</x:v>
      </x:c>
      <x:c r="U157" s="3" t="str"/>
    </x:row>
    <x:row r="158" ht="153" customHeight="1">
      <x:c r="A158" s="3" t="str">
        <x:v>AI-08</x:v>
      </x:c>
      <x:c r="B158" s="3" t="str">
        <x:v>Assistant</x:v>
      </x:c>
      <x:c r="C158" s="3" t="str">
        <x:v>Cancel and failure</x:v>
      </x:c>
      <x:c r="D158" s="13" t="str">
        <x:v>Blocked prerequisite</x:v>
      </x:c>
      <x:c r="E158" s="3" t="str">
        <x:v>Cancellation settles exact run; errors do not claim success or duplicate work.</x:v>
      </x:c>
      <x:c r="F158" s="12" t="str">
        <x:v>Installed Assistant now starts correctly but exposes zero configured model offers. A compatible approved backend/offer and model/cost consent are required for this run branch; no request was submitted.</x:v>
      </x:c>
      <x:c r="G158" s="3" t="str">
        <x:v>controlled-model</x:v>
      </x:c>
      <x:c r="H158" s="3" t="str">
        <x:v>implemented-config-gated</x:v>
      </x:c>
      <x:c r="I158" s="3" t="str">
        <x:v>Stop; Run failed/cancelled; Retry by new run</x:v>
      </x:c>
      <x:c r="J158" s="3" t="str">
        <x:v>1. Start controlled bounded run
2. Stop once
3. Inspect terminal state</x:v>
      </x:c>
      <x:c r="K158" s="3" t="str">
        <x:v>Controlled model run</x:v>
      </x:c>
      <x:c r="L158" s="3" t="str"/>
      <x:c r="M158" s="3" t="str"/>
      <x:c r="N158" s="3" t="str">
        <x:v>E-036; E-038; E-039</x:v>
      </x:c>
      <x:c r="O158" s="3" t="str">
        <x:v>S-148</x:v>
      </x:c>
      <x:c r="P158" s="3" t="str">
        <x:v>assistant</x:v>
      </x:c>
      <x:c r="Q158" s="3" t="str">
        <x:f>IF(OR(H158='Read Me + Evidence'!$K$6,H158='Read Me + Evidence'!$K$7,H158='Read Me + Evidence'!$K$8,P158='Read Me + Evidence'!$K$9,P158='Read Me + Evidence'!$K$10),'Read Me + Evidence'!$K$12,'Read Me + Evidence'!$K$11)</x:f>
        <x:v>GUI</x:v>
      </x:c>
      <x:c r="R158" s="14" t="n">
        <x:f>IF(AND(Q158='Read Me + Evidence'!$K$11,OR(D158='Read Me + Evidence'!$H$7,D158='Read Me + Evidence'!$H$8,D158='Read Me + Evidence'!$H$9)),1,0)</x:f>
        <x:v>0</x:v>
      </x:c>
      <x:c r="S158" s="14" t="n">
        <x:f>IF(AND(Q158='Read Me + Evidence'!$K$11,D158='Read Me + Evidence'!$H$7),1,0)</x:f>
        <x:v>0</x:v>
      </x:c>
      <x:c r="T158" s="14" t="n">
        <x:f>IF(AND(Q158='Read Me + Evidence'!$K$11,D158&lt;&gt;'Read Me + Evidence'!$H$12),1,0)</x:f>
        <x:v>1</x:v>
      </x:c>
      <x:c r="U158" s="3" t="str"/>
    </x:row>
    <x:row r="159" ht="153" customHeight="1">
      <x:c r="A159" s="3" t="str">
        <x:v>AI-09</x:v>
      </x:c>
      <x:c r="B159" s="3" t="str">
        <x:v>Assistant</x:v>
      </x:c>
      <x:c r="C159" s="3" t="str">
        <x:v>Safe rendering</x:v>
      </x:c>
      <x:c r="D159" s="13" t="str">
        <x:v>Blocked prerequisite</x:v>
      </x:c>
      <x:c r="E159" s="3" t="str">
        <x:v>Untrusted output renders through bounded safe subset and vendored math; arbitrary HTML/network links remain inert.</x:v>
      </x:c>
      <x:c r="F159" s="12" t="str">
        <x:v>No approved generated response fixture is present for live HTML/math/code rendering. Existing source rendering tests remain separate from GUI proof.</x:v>
      </x:c>
      <x:c r="G159" s="3" t="str">
        <x:v>safe-read-only</x:v>
      </x:c>
      <x:c r="H159" s="3" t="str">
        <x:v>implemented-source</x:v>
      </x:c>
      <x:c r="I159" s="3" t="str">
        <x:v>Markdown; Tables; Code; Inline/display math; Inert links</x:v>
      </x:c>
      <x:c r="J159" s="3" t="str">
        <x:v>1. Inspect controlled literal HTML/math/code output</x:v>
      </x:c>
      <x:c r="K159" s="3" t="str">
        <x:v>Harmless rendering fixture</x:v>
      </x:c>
      <x:c r="L159" s="3" t="str"/>
      <x:c r="M159" s="3" t="str"/>
      <x:c r="N159" s="3" t="str">
        <x:v>E-038; E-039</x:v>
      </x:c>
      <x:c r="O159" s="3" t="str">
        <x:v>S-150</x:v>
      </x:c>
      <x:c r="P159" s="3" t="str">
        <x:v>assistant</x:v>
      </x:c>
      <x:c r="Q159" s="3" t="str">
        <x:f>IF(OR(H159='Read Me + Evidence'!$K$6,H159='Read Me + Evidence'!$K$7,H159='Read Me + Evidence'!$K$8,P159='Read Me + Evidence'!$K$9,P159='Read Me + Evidence'!$K$10),'Read Me + Evidence'!$K$12,'Read Me + Evidence'!$K$11)</x:f>
        <x:v>GUI</x:v>
      </x:c>
      <x:c r="R159" s="14" t="n">
        <x:f>IF(AND(Q159='Read Me + Evidence'!$K$11,OR(D159='Read Me + Evidence'!$H$7,D159='Read Me + Evidence'!$H$8,D159='Read Me + Evidence'!$H$9)),1,0)</x:f>
        <x:v>0</x:v>
      </x:c>
      <x:c r="S159" s="14" t="n">
        <x:f>IF(AND(Q159='Read Me + Evidence'!$K$11,D159='Read Me + Evidence'!$H$7),1,0)</x:f>
        <x:v>0</x:v>
      </x:c>
      <x:c r="T159" s="14" t="n">
        <x:f>IF(AND(Q159='Read Me + Evidence'!$K$11,D159&lt;&gt;'Read Me + Evidence'!$H$12),1,0)</x:f>
        <x:v>1</x:v>
      </x:c>
      <x:c r="U159" s="3" t="str"/>
    </x:row>
    <x:row r="160" ht="153" customHeight="1">
      <x:c r="A160" s="3" t="str">
        <x:v>AI-10</x:v>
      </x:c>
      <x:c r="B160" s="3" t="str">
        <x:v>Assistant</x:v>
      </x:c>
      <x:c r="C160" s="3" t="str">
        <x:v>Typed content output</x:v>
      </x:c>
      <x:c r="D160" s="13" t="str">
        <x:v>Blocked prerequisite</x:v>
      </x:c>
      <x:c r="E160" s="3" t="str">
        <x:v>Only validated Runtime content resource launches; ordinary URLs do not gain authority.</x:v>
      </x:c>
      <x:c r="F160" s="12" t="str">
        <x:v>No approved typed generated artifact exists. Content-open authority and unavailable-link behavior need a controlled output fixture.</x:v>
      </x:c>
      <x:c r="G160" s="3" t="str">
        <x:v>controlled-session</x:v>
      </x:c>
      <x:c r="H160" s="3" t="str">
        <x:v>implemented-config-gated</x:v>
      </x:c>
      <x:c r="I160" s="3" t="str">
        <x:v>Studio result; Content link</x:v>
      </x:c>
      <x:c r="J160" s="3" t="str">
        <x:v>1. Open approved typed artifact
2. Inspect unavailable link branch</x:v>
      </x:c>
      <x:c r="K160" s="3" t="str">
        <x:v>Approved generated artifact</x:v>
      </x:c>
      <x:c r="L160" s="3" t="str"/>
      <x:c r="M160" s="3" t="str"/>
      <x:c r="N160" s="3" t="str">
        <x:v>E-038; E-039</x:v>
      </x:c>
      <x:c r="O160" s="3" t="str">
        <x:v>S-151</x:v>
      </x:c>
      <x:c r="P160" s="3" t="str">
        <x:v>assistant</x:v>
      </x:c>
      <x:c r="Q160" s="3" t="str">
        <x:f>IF(OR(H160='Read Me + Evidence'!$K$6,H160='Read Me + Evidence'!$K$7,H160='Read Me + Evidence'!$K$8,P160='Read Me + Evidence'!$K$9,P160='Read Me + Evidence'!$K$10),'Read Me + Evidence'!$K$12,'Read Me + Evidence'!$K$11)</x:f>
        <x:v>GUI</x:v>
      </x:c>
      <x:c r="R160" s="14" t="n">
        <x:f>IF(AND(Q160='Read Me + Evidence'!$K$11,OR(D160='Read Me + Evidence'!$H$7,D160='Read Me + Evidence'!$H$8,D160='Read Me + Evidence'!$H$9)),1,0)</x:f>
        <x:v>0</x:v>
      </x:c>
      <x:c r="S160" s="14" t="n">
        <x:f>IF(AND(Q160='Read Me + Evidence'!$K$11,D160='Read Me + Evidence'!$H$7),1,0)</x:f>
        <x:v>0</x:v>
      </x:c>
      <x:c r="T160" s="14" t="n">
        <x:f>IF(AND(Q160='Read Me + Evidence'!$K$11,D160&lt;&gt;'Read Me + Evidence'!$H$12),1,0)</x:f>
        <x:v>1</x:v>
      </x:c>
      <x:c r="U160" s="3" t="str"/>
    </x:row>
    <x:row r="161" ht="153" customHeight="1">
      <x:c r="A161" s="3" t="str">
        <x:v>AI-11</x:v>
      </x:c>
      <x:c r="B161" s="3" t="str">
        <x:v>Assistant</x:v>
      </x:c>
      <x:c r="C161" s="3" t="str">
        <x:v>Transcript Clipboard</x:v>
      </x:c>
      <x:c r="D161" s="13" t="str">
        <x:v>Blocked prerequisite</x:v>
      </x:c>
      <x:c r="E161" s="3" t="str">
        <x:v>Home Clipboard mediates copy and reports denial without exposing other sessions.</x:v>
      </x:c>
      <x:c r="F161" s="12" t="str">
        <x:v>No harmless test transcript exists because no model offer is configured. Existing sessions/host Clipboard were preserved.</x:v>
      </x:c>
      <x:c r="G161" s="3" t="str">
        <x:v>controlled-clipboard</x:v>
      </x:c>
      <x:c r="H161" s="3" t="str">
        <x:v>implemented-source</x:v>
      </x:c>
      <x:c r="I161" s="3" t="str">
        <x:v>Copy transcript; Copy status</x:v>
      </x:c>
      <x:c r="J161" s="3" t="str">
        <x:v>1. Copy harmless test transcript
2. Deny once</x:v>
      </x:c>
      <x:c r="K161" s="3" t="str">
        <x:v>Harmless disposable transcript</x:v>
      </x:c>
      <x:c r="L161" s="3" t="str"/>
      <x:c r="M161" s="3" t="str"/>
      <x:c r="N161" s="3" t="str">
        <x:v>E-039</x:v>
      </x:c>
      <x:c r="O161" s="3" t="str">
        <x:v>S-152</x:v>
      </x:c>
      <x:c r="P161" s="3" t="str">
        <x:v>assistant</x:v>
      </x:c>
      <x:c r="Q161" s="3" t="str">
        <x:f>IF(OR(H161='Read Me + Evidence'!$K$6,H161='Read Me + Evidence'!$K$7,H161='Read Me + Evidence'!$K$8,P161='Read Me + Evidence'!$K$9,P161='Read Me + Evidence'!$K$10),'Read Me + Evidence'!$K$12,'Read Me + Evidence'!$K$11)</x:f>
        <x:v>GUI</x:v>
      </x:c>
      <x:c r="R161" s="14" t="n">
        <x:f>IF(AND(Q161='Read Me + Evidence'!$K$11,OR(D161='Read Me + Evidence'!$H$7,D161='Read Me + Evidence'!$H$8,D161='Read Me + Evidence'!$H$9)),1,0)</x:f>
        <x:v>0</x:v>
      </x:c>
      <x:c r="S161" s="14" t="n">
        <x:f>IF(AND(Q161='Read Me + Evidence'!$K$11,D161='Read Me + Evidence'!$H$7),1,0)</x:f>
        <x:v>0</x:v>
      </x:c>
      <x:c r="T161" s="14" t="n">
        <x:f>IF(AND(Q161='Read Me + Evidence'!$K$11,D161&lt;&gt;'Read Me + Evidence'!$H$12),1,0)</x:f>
        <x:v>1</x:v>
      </x:c>
      <x:c r="U161" s="3" t="str"/>
    </x:row>
    <x:row r="162" ht="153" customHeight="1">
      <x:c r="A162" s="3" t="str">
        <x:v>AI-12</x:v>
      </x:c>
      <x:c r="B162" s="3" t="str">
        <x:v>Assistant</x:v>
      </x:c>
      <x:c r="C162" s="3" t="str">
        <x:v>Reopen/conflict</x:v>
      </x:c>
      <x:c r="D162" s="13" t="str">
        <x:v>Partially observed</x:v>
      </x:c>
      <x:c r="E162" s="3" t="str">
        <x:v>Runtime workspace revisions govern persistence; stale UI does not overwrite silently.</x:v>
      </x:c>
      <x:c r="F162" s="12" t="str">
        <x:v>E-039 proves mode and empty workspace survive closing/reopening a new app frame. Current reopened Assistant again loads that workspace and accepts harmless starter/search actions. Populated-session revision conflict needs a dedicated disposable concurrent fixture.</x:v>
      </x:c>
      <x:c r="G162" s="3" t="str">
        <x:v>controlled-files</x:v>
      </x:c>
      <x:c r="H162" s="3" t="str">
        <x:v>implemented-source</x:v>
      </x:c>
      <x:c r="I162" s="3" t="str">
        <x:v>Close; Reopen; Workspace conflict message</x:v>
      </x:c>
      <x:c r="J162" s="3" t="str">
        <x:v>1. Reopen disposable session
2. Inspect save/conflict state</x:v>
      </x:c>
      <x:c r="K162" s="3" t="str">
        <x:v>Disposable Assistant workspace</x:v>
      </x:c>
      <x:c r="L162" s="3" t="str"/>
      <x:c r="M162" s="3" t="str"/>
      <x:c r="N162" s="3" t="str">
        <x:v>E-039; E-054</x:v>
      </x:c>
      <x:c r="O162" s="3" t="str">
        <x:v>S-153</x:v>
      </x:c>
      <x:c r="P162" s="3" t="str">
        <x:v>assistant</x:v>
      </x:c>
      <x:c r="Q162" s="3" t="str">
        <x:f>IF(OR(H162='Read Me + Evidence'!$K$6,H162='Read Me + Evidence'!$K$7,H162='Read Me + Evidence'!$K$8,P162='Read Me + Evidence'!$K$9,P162='Read Me + Evidence'!$K$10),'Read Me + Evidence'!$K$12,'Read Me + Evidence'!$K$11)</x:f>
        <x:v>GUI</x:v>
      </x:c>
      <x:c r="R162" s="14" t="n">
        <x:f>IF(AND(Q162='Read Me + Evidence'!$K$11,OR(D162='Read Me + Evidence'!$H$7,D162='Read Me + Evidence'!$H$8,D162='Read Me + Evidence'!$H$9)),1,0)</x:f>
        <x:v>1</x:v>
      </x:c>
      <x:c r="S162" s="14" t="n">
        <x:f>IF(AND(Q162='Read Me + Evidence'!$K$11,D162='Read Me + Evidence'!$H$7),1,0)</x:f>
        <x:v>0</x:v>
      </x:c>
      <x:c r="T162" s="14" t="n">
        <x:f>IF(AND(Q162='Read Me + Evidence'!$K$11,D162&lt;&gt;'Read Me + Evidence'!$H$12),1,0)</x:f>
        <x:v>1</x:v>
      </x:c>
      <x:c r="U162" s="3" t="str"/>
    </x:row>
    <x:row r="163" ht="153" customHeight="1">
      <x:c r="A163" s="3" t="str">
        <x:v>MODEL-01</x:v>
      </x:c>
      <x:c r="B163" s="3" t="str">
        <x:v>Model bootstrap and identity</x:v>
      </x:c>
      <x:c r="C163" s="3" t="str">
        <x:v>Native startup contract</x:v>
      </x:c>
      <x:c r="D163" s="13" t="str">
        <x:v>Pass</x:v>
      </x:c>
      <x:c r="E163" s="3" t="str">
        <x:v>Runtime can start the provider through the shared Init contract, confirm readiness and read offers.</x:v>
      </x:c>
      <x:c r="F163" s="12" t="str">
        <x:v>The installed candidate starts model-provider through the shared Init contract and confirms readiness. The release and installed provider artifacts match. Assistant reaches the truthful zero-offer state; one approved compatible offer is the next setup requirement.</x:v>
      </x:c>
      <x:c r="G163" s="3" t="str">
        <x:v>safe-read-only</x:v>
      </x:c>
      <x:c r="H163" s="3" t="str">
        <x:v>implemented-config-gated</x:v>
      </x:c>
      <x:c r="I163" s="3" t="str">
        <x:v>Background Init/readiness; no app control</x:v>
      </x:c>
      <x:c r="J163" s="3" t="str">
        <x:v>1. Compare Runtime Init envelope to strict model Init parser</x:v>
      </x:c>
      <x:c r="K163" s="3" t="str">
        <x:v>Source diagnosis only</x:v>
      </x:c>
      <x:c r="L163" s="3" t="str">
        <x:v>F-02</x:v>
      </x:c>
      <x:c r="M163" s="3" t="str">
        <x:v>Prior startup log reported model-provider startup failed; source shows incompatible normal Init envelope. [Prior bounded startup finding; no new provider execution/test in this audit.]</x:v>
      </x:c>
      <x:c r="N163" s="3" t="str">
        <x:v>E-036; E-039; E-054; E-108</x:v>
      </x:c>
      <x:c r="O163" s="3" t="str">
        <x:v>S-154, S-155, S-156</x:v>
      </x:c>
      <x:c r="P163" s="3" t="str">
        <x:v>model-provider</x:v>
      </x:c>
      <x:c r="Q163" s="3" t="str">
        <x:f>IF(OR(H163='Read Me + Evidence'!$K$6,H163='Read Me + Evidence'!$K$7,H163='Read Me + Evidence'!$K$8,P163='Read Me + Evidence'!$K$9,P163='Read Me + Evidence'!$K$10),'Read Me + Evidence'!$K$12,'Read Me + Evidence'!$K$11)</x:f>
        <x:v>Source only</x:v>
      </x:c>
      <x:c r="R163" s="14" t="n">
        <x:f>IF(AND(Q163='Read Me + Evidence'!$K$11,OR(D163='Read Me + Evidence'!$H$7,D163='Read Me + Evidence'!$H$8,D163='Read Me + Evidence'!$H$9)),1,0)</x:f>
        <x:v>0</x:v>
      </x:c>
      <x:c r="S163" s="14" t="n">
        <x:f>IF(AND(Q163='Read Me + Evidence'!$K$11,D163='Read Me + Evidence'!$H$7),1,0)</x:f>
        <x:v>0</x:v>
      </x:c>
      <x:c r="T163" s="14" t="n">
        <x:f>IF(AND(Q163='Read Me + Evidence'!$K$11,D163&lt;&gt;'Read Me + Evidence'!$H$12),1,0)</x:f>
        <x:v>0</x:v>
      </x:c>
      <x:c r="U163" s="3" t="str">
        <x:v>The provider lifecycle is installed and healthy. Model execution begins after an operator selects and configures an approved offer.</x:v>
      </x:c>
    </x:row>
    <x:row r="164" ht="153" customHeight="1">
      <x:c r="A164" s="3" t="str">
        <x:v>MODEL-02</x:v>
      </x:c>
      <x:c r="B164" s="3" t="str">
        <x:v>Model bootstrap and identity</x:v>
      </x:c>
      <x:c r="C164" s="3" t="str">
        <x:v>First usable local offer</x:v>
      </x:c>
      <x:c r="D164" s="13" t="str">
        <x:v>Blocked prerequisite</x:v>
      </x:c>
      <x:c r="E164" s="3" t="str">
        <x:v>The user can select an approved compatible available model, see readiness and download size before starting, and proceed without guessing an API endpoint or seeing topology.</x:v>
      </x:c>
      <x:c r="F164" s="12" t="str">
        <x:v>Source-home installs the native model provider but supplies no selected compatible inference backend or model weights. Operator choice and approval are required.</x:v>
      </x:c>
      <x:c r="G164" s="3" t="str">
        <x:v>privileged-operator</x:v>
      </x:c>
      <x:c r="H164" s="3" t="str">
        <x:v>proposed-needs-decision</x:v>
      </x:c>
      <x:c r="I164" s="3" t="str">
        <x:v>Operator offer configuration; Assistant selector</x:v>
      </x:c>
      <x:c r="J164" s="3" t="str">
        <x:v>1. Inventory installed model assets and selected source-home profile</x:v>
      </x:c>
      <x:c r="K164" s="3" t="str">
        <x:v>Operator-selected compatible model backend</x:v>
      </x:c>
      <x:c r="L164" s="3" t="str">
        <x:v>F-08</x:v>
      </x:c>
      <x:c r="M164" s="3" t="str"/>
      <x:c r="N164" s="3" t="str">
        <x:v>E-036; E-039</x:v>
      </x:c>
      <x:c r="O164" s="3" t="str">
        <x:v>S-157, S-158, S-159</x:v>
      </x:c>
      <x:c r="P164" s="3" t="str">
        <x:v>model-provider</x:v>
      </x:c>
      <x:c r="Q164" s="3" t="str">
        <x:f>IF(OR(H164='Read Me + Evidence'!$K$6,H164='Read Me + Evidence'!$K$7,H164='Read Me + Evidence'!$K$8,P164='Read Me + Evidence'!$K$9,P164='Read Me + Evidence'!$K$10),'Read Me + Evidence'!$K$12,'Read Me + Evidence'!$K$11)</x:f>
        <x:v>Source only</x:v>
      </x:c>
      <x:c r="R164" s="14" t="n">
        <x:f>IF(AND(Q164='Read Me + Evidence'!$K$11,OR(D164='Read Me + Evidence'!$H$7,D164='Read Me + Evidence'!$H$8,D164='Read Me + Evidence'!$H$9)),1,0)</x:f>
        <x:v>0</x:v>
      </x:c>
      <x:c r="S164" s="14" t="n">
        <x:f>IF(AND(Q164='Read Me + Evidence'!$K$11,D164='Read Me + Evidence'!$H$7),1,0)</x:f>
        <x:v>0</x:v>
      </x:c>
      <x:c r="T164" s="14" t="n">
        <x:f>IF(AND(Q164='Read Me + Evidence'!$K$11,D164&lt;&gt;'Read Me + Evidence'!$H$12),1,0)</x:f>
        <x:v>0</x:v>
      </x:c>
      <x:c r="U164" s="3" t="str">
        <x:v>First-model selection/download UX is proposed and needs a decision. source-home installs model-provider but selects neither weights nor a model backend; this end-user flow is not built or tested.</x:v>
      </x:c>
    </x:row>
    <x:row r="165" ht="153" customHeight="1">
      <x:c r="A165" s="3" t="str">
        <x:v>MODEL-03</x:v>
      </x:c>
      <x:c r="B165" s="3" t="str">
        <x:v>Model bootstrap and identity</x:v>
      </x:c>
      <x:c r="C165" s="3" t="str">
        <x:v>Zero offers versus invalid config</x:v>
      </x:c>
      <x:c r="D165" s="13" t="str">
        <x:v>Partially observed</x:v>
      </x:c>
      <x:c r="E165" s="3" t="str">
        <x:v>The UI distinguishes unconfigured from unavailable and gives a useful next action while keeping private configuration details private.</x:v>
      </x:c>
      <x:c r="F165" s="12" t="str">
        <x:v>Missing model configuration is now surfaced as zero offers, distinct from the repaired startup failure. Malformed live config was not injected into this installation.</x:v>
      </x:c>
      <x:c r="G165" s="3" t="str">
        <x:v>privileged-operator</x:v>
      </x:c>
      <x:c r="H165" s="3" t="str">
        <x:v>implemented-config-gated</x:v>
      </x:c>
      <x:c r="I165" s="3" t="str">
        <x:v>Empty offers; Unavailable provider; Error</x:v>
      </x:c>
      <x:c r="J165" s="3" t="str">
        <x:v>1. Compare expected missing-config and malformed-config branches from source</x:v>
      </x:c>
      <x:c r="K165" s="3" t="str">
        <x:v>Source-only configuration boundary</x:v>
      </x:c>
      <x:c r="L165" s="3" t="str">
        <x:v>F-08</x:v>
      </x:c>
      <x:c r="M165" s="3" t="str"/>
      <x:c r="N165" s="3" t="str">
        <x:v>E-036; E-039; E-108</x:v>
      </x:c>
      <x:c r="O165" s="3" t="str">
        <x:v>S-160, S-159</x:v>
      </x:c>
      <x:c r="P165" s="3" t="str">
        <x:v>model-provider</x:v>
      </x:c>
      <x:c r="Q165" s="3" t="str">
        <x:f>IF(OR(H165='Read Me + Evidence'!$K$6,H165='Read Me + Evidence'!$K$7,H165='Read Me + Evidence'!$K$8,P165='Read Me + Evidence'!$K$9,P165='Read Me + Evidence'!$K$10),'Read Me + Evidence'!$K$12,'Read Me + Evidence'!$K$11)</x:f>
        <x:v>Source only</x:v>
      </x:c>
      <x:c r="R165" s="14" t="n">
        <x:f>IF(AND(Q165='Read Me + Evidence'!$K$11,OR(D165='Read Me + Evidence'!$H$7,D165='Read Me + Evidence'!$H$8,D165='Read Me + Evidence'!$H$9)),1,0)</x:f>
        <x:v>0</x:v>
      </x:c>
      <x:c r="S165" s="14" t="n">
        <x:f>IF(AND(Q165='Read Me + Evidence'!$K$11,D165='Read Me + Evidence'!$H$7),1,0)</x:f>
        <x:v>0</x:v>
      </x:c>
      <x:c r="T165" s="14" t="n">
        <x:f>IF(AND(Q165='Read Me + Evidence'!$K$11,D165&lt;&gt;'Read Me + Evidence'!$H$12),1,0)</x:f>
        <x:v>0</x:v>
      </x:c>
      <x:c r="U165" s="3" t="str">
        <x:v>Missing configuration is a valid zero-offer state. Invalid configuration remains a separate failure branch; useful setup guidance still needs live review.</x:v>
      </x:c>
    </x:row>
    <x:row r="166" ht="153" customHeight="1">
      <x:c r="A166" s="3" t="str">
        <x:v>MODEL-04</x:v>
      </x:c>
      <x:c r="B166" s="3" t="str">
        <x:v>Model bootstrap and identity</x:v>
      </x:c>
      <x:c r="C166" s="3" t="str">
        <x:v>Profile/DID model discovery</x:v>
      </x:c>
      <x:c r="D166" s="13" t="str">
        <x:v>Not applicable</x:v>
      </x:c>
      <x:c r="E166" s="3" t="str">
        <x:v>Profile identifies the service owner. Runtime checks the signed offer and grant, then selects the route while keeping topology private.</x:v>
      </x:c>
      <x:c r="F166" s="12" t="str">
        <x:v>This is deferred protocol/planning scope, not an installed end-user action. Discovery, verified content retrieval, grants and provider invocation stay separate; no remote model authority or installation was invented.</x:v>
      </x:c>
      <x:c r="G166" s="3" t="str">
        <x:v>deferred</x:v>
      </x:c>
      <x:c r="H166" s="3" t="str">
        <x:v>proposed-needs-decision</x:v>
      </x:c>
      <x:c r="I166" s="3" t="str">
        <x:v>Future People/Carrier model offer</x:v>
      </x:c>
      <x:c r="J166" s="3" t="str">
        <x:v>1. Describe desired discovery without fabricating a current control</x:v>
      </x:c>
      <x:c r="K166" s="3" t="str">
        <x:v>Future remote service-offer/grant slice</x:v>
      </x:c>
      <x:c r="L166" s="3" t="str">
        <x:v>F-09</x:v>
      </x:c>
      <x:c r="M166" s="3" t="str"/>
      <x:c r="N166" s="3" t="str">
        <x:v>E-036; E-040</x:v>
      </x:c>
      <x:c r="O166" s="3" t="str">
        <x:v>S-143</x:v>
      </x:c>
      <x:c r="P166" s="3" t="str">
        <x:v>model-provider</x:v>
      </x:c>
      <x:c r="Q166" s="3" t="str">
        <x:f>IF(OR(H166='Read Me + Evidence'!$K$6,H166='Read Me + Evidence'!$K$7,H166='Read Me + Evidence'!$K$8,P166='Read Me + Evidence'!$K$9,P166='Read Me + Evidence'!$K$10),'Read Me + Evidence'!$K$12,'Read Me + Evidence'!$K$11)</x:f>
        <x:v>Source only</x:v>
      </x:c>
      <x:c r="R166" s="14" t="n">
        <x:f>IF(AND(Q166='Read Me + Evidence'!$K$11,OR(D166='Read Me + Evidence'!$H$7,D166='Read Me + Evidence'!$H$8,D166='Read Me + Evidence'!$H$9)),1,0)</x:f>
        <x:v>0</x:v>
      </x:c>
      <x:c r="S166" s="14" t="n">
        <x:f>IF(AND(Q166='Read Me + Evidence'!$K$11,D166='Read Me + Evidence'!$H$7),1,0)</x:f>
        <x:v>0</x:v>
      </x:c>
      <x:c r="T166" s="14" t="n">
        <x:f>IF(AND(Q166='Read Me + Evidence'!$K$11,D166&lt;&gt;'Read Me + Evidence'!$H$12),1,0)</x:f>
        <x:v>0</x:v>
      </x:c>
      <x:c r="U166" s="3" t="str">
        <x:v>Remote Profile-offer discovery and principal grants remain planned. They are not a completed model bootstrap flow.</x:v>
      </x:c>
    </x:row>
    <x:row r="167" ht="153" customHeight="1">
      <x:c r="A167" s="3" t="str">
        <x:v>MODEL-05</x:v>
      </x:c>
      <x:c r="B167" s="3" t="str">
        <x:v>Model bootstrap and identity</x:v>
      </x:c>
      <x:c r="C167" s="3" t="str">
        <x:v>CID weight retrieval</x:v>
      </x:c>
      <x:c r="D167" s="13" t="str">
        <x:v>Not applicable</x:v>
      </x:c>
      <x:c r="E167" s="3" t="str">
        <x:v>The content provider retrieves and verifies an approved CID artifact; a compatible loader makes it usable, and the UI reports download size, progress and readiness.</x:v>
      </x:c>
      <x:c r="F167" s="12" t="str">
        <x:v>This is deferred protocol/planning scope, not an installed end-user action. Discovery, verified content retrieval, grants and provider invocation stay separate; no remote model authority or installation was invented.</x:v>
      </x:c>
      <x:c r="G167" s="3" t="str">
        <x:v>deferred</x:v>
      </x:c>
      <x:c r="H167" s="3" t="str">
        <x:v>proposed-needs-decision</x:v>
      </x:c>
      <x:c r="I167" s="3" t="str">
        <x:v>Future approved model content artifact</x:v>
      </x:c>
      <x:c r="J167" s="3" t="str">
        <x:v>1. Distinguish content retrieval from model invocation</x:v>
      </x:c>
      <x:c r="K167" s="3" t="str">
        <x:v>Approved model artifact/license/integrity/loader path</x:v>
      </x:c>
      <x:c r="L167" s="3" t="str">
        <x:v>F-09</x:v>
      </x:c>
      <x:c r="M167" s="3" t="str"/>
      <x:c r="N167" s="3" t="str">
        <x:v>E-036; E-040</x:v>
      </x:c>
      <x:c r="O167" s="3" t="str">
        <x:v>S-161, S-162, S-157</x:v>
      </x:c>
      <x:c r="P167" s="3" t="str">
        <x:v>model-provider</x:v>
      </x:c>
      <x:c r="Q167" s="3" t="str">
        <x:f>IF(OR(H167='Read Me + Evidence'!$K$6,H167='Read Me + Evidence'!$K$7,H167='Read Me + Evidence'!$K$8,P167='Read Me + Evidence'!$K$9,P167='Read Me + Evidence'!$K$10),'Read Me + Evidence'!$K$12,'Read Me + Evidence'!$K$11)</x:f>
        <x:v>Source only</x:v>
      </x:c>
      <x:c r="R167" s="14" t="n">
        <x:f>IF(AND(Q167='Read Me + Evidence'!$K$11,OR(D167='Read Me + Evidence'!$H$7,D167='Read Me + Evidence'!$H$8,D167='Read Me + Evidence'!$H$9)),1,0)</x:f>
        <x:v>0</x:v>
      </x:c>
      <x:c r="S167" s="14" t="n">
        <x:f>IF(AND(Q167='Read Me + Evidence'!$K$11,D167='Read Me + Evidence'!$H$7),1,0)</x:f>
        <x:v>0</x:v>
      </x:c>
      <x:c r="T167" s="14" t="n">
        <x:f>IF(AND(Q167='Read Me + Evidence'!$K$11,D167&lt;&gt;'Read Me + Evidence'!$H$12),1,0)</x:f>
        <x:v>0</x:v>
      </x:c>
      <x:c r="U167" s="3" t="str">
        <x:v>CID integrity does not supply service permission or loader compatibility. End-user model artifact retrieval/loading and its UI need a reviewed decision; not built or tested as this flow.</x:v>
      </x:c>
    </x:row>
    <x:row r="168" ht="153" customHeight="1">
      <x:c r="A168" s="3" t="str">
        <x:v>MODEL-06</x:v>
      </x:c>
      <x:c r="B168" s="3" t="str">
        <x:v>Model bootstrap and identity</x:v>
      </x:c>
      <x:c r="C168" s="3" t="str">
        <x:v>Carrier/IPFS ownership</x:v>
      </x:c>
      <x:c r="D168" s="13" t="str">
        <x:v>Not applicable</x:v>
      </x:c>
      <x:c r="E168" s="3" t="str">
        <x:v>The capsule requests typed inference, the provider executes it, and Runtime with Carrier handles selected remote transport without exposing topology to the capsule.</x:v>
      </x:c>
      <x:c r="F168" s="12" t="str">
        <x:v>This is deferred protocol/planning scope, not an installed end-user action. Discovery, verified content retrieval, grants and provider invocation stay separate; no remote model authority or installation was invented.</x:v>
      </x:c>
      <x:c r="G168" s="3" t="str">
        <x:v>deferred</x:v>
      </x:c>
      <x:c r="H168" s="3" t="str">
        <x:v>proposed-needs-decision</x:v>
      </x:c>
      <x:c r="I168" s="3" t="str">
        <x:v>Typed content fetch and typed model run</x:v>
      </x:c>
      <x:c r="J168" s="3" t="str">
        <x:v>1. Map discovery
2. grant
3. fetch where applicable
4. invoke as separate boundaries</x:v>
      </x:c>
      <x:c r="K168" s="3" t="str">
        <x:v>Separate operator/protocol proof</x:v>
      </x:c>
      <x:c r="L168" s="3" t="str">
        <x:v>F-09</x:v>
      </x:c>
      <x:c r="M168" s="3" t="str"/>
      <x:c r="N168" s="3" t="str">
        <x:v>E-036; E-040</x:v>
      </x:c>
      <x:c r="O168" s="3" t="str">
        <x:v>S-161, S-143, S-159</x:v>
      </x:c>
      <x:c r="P168" s="3" t="str">
        <x:v>model-provider</x:v>
      </x:c>
      <x:c r="Q168" s="3" t="str">
        <x:f>IF(OR(H168='Read Me + Evidence'!$K$6,H168='Read Me + Evidence'!$K$7,H168='Read Me + Evidence'!$K$8,P168='Read Me + Evidence'!$K$9,P168='Read Me + Evidence'!$K$10),'Read Me + Evidence'!$K$12,'Read Me + Evidence'!$K$11)</x:f>
        <x:v>Source only</x:v>
      </x:c>
      <x:c r="R168" s="14" t="n">
        <x:f>IF(AND(Q168='Read Me + Evidence'!$K$11,OR(D168='Read Me + Evidence'!$H$7,D168='Read Me + Evidence'!$H$8,D168='Read Me + Evidence'!$H$9)),1,0)</x:f>
        <x:v>0</x:v>
      </x:c>
      <x:c r="S168" s="14" t="n">
        <x:f>IF(AND(Q168='Read Me + Evidence'!$K$11,D168='Read Me + Evidence'!$H$7),1,0)</x:f>
        <x:v>0</x:v>
      </x:c>
      <x:c r="T168" s="14" t="n">
        <x:f>IF(AND(Q168='Read Me + Evidence'!$K$11,D168&lt;&gt;'Read Me + Evidence'!$H$12),1,0)</x:f>
        <x:v>0</x:v>
      </x:c>
      <x:c r="U168" s="3" t="str">
        <x:v>The local typed inference contract exists. The integrated remote discovery/grant/transport journey remains a separate planned flow.</x:v>
      </x:c>
    </x:row>
    <x:row r="169" ht="153" customHeight="1">
      <x:c r="A169" s="3" t="str">
        <x:v>BROWSER-01</x:v>
      </x:c>
      <x:c r="B169" s="3" t="str">
        <x:v>Browser</x:v>
      </x:c>
      <x:c r="C169" s="3" t="str">
        <x:v>Initial page and URL</x:v>
      </x:c>
      <x:c r="D169" s="13" t="str">
        <x:v>Fail</x:v>
      </x:c>
      <x:c r="E169" s="3" t="str">
        <x:v>Runtime admits page and engine; unavailable engine/network is explicit rather than a blank success.</x:v>
      </x:c>
      <x:c r="F169" s="12" t="str">
        <x:v>Earlier foreground runs found intermittent startup and navigation failures. E-108 adds a current cold launch: the macOS VM path reached Ready in 38.5 seconds, then Home Close removed the VM supervisor, VZ supervisor, and TURN process. The older intermittent finding remains open until repeated navigation and restart acceptance passes.</x:v>
      </x:c>
      <x:c r="G169" s="3" t="str">
        <x:v>controlled-network</x:v>
      </x:c>
      <x:c r="H169" s="3" t="str">
        <x:v>implemented-source</x:v>
      </x:c>
      <x:c r="I169" s="3" t="str">
        <x:v>Address; Navigate/Enter; Loading/status</x:v>
      </x:c>
      <x:c r="J169" s="3" t="str">
        <x:v>1. Open Browser
2. Use approved harmless URL</x:v>
      </x:c>
      <x:c r="K169" s="3" t="str">
        <x:v>Approved public page; Running Browser substrate</x:v>
      </x:c>
      <x:c r="L169" s="3" t="str">
        <x:v>F-13; F-43; F-52</x:v>
      </x:c>
      <x:c r="M169" s="3" t="str"/>
      <x:c r="N169" s="3" t="str">
        <x:v>E-053; E-060; E-064; E-108</x:v>
      </x:c>
      <x:c r="O169" s="3" t="str">
        <x:v>S-163</x:v>
      </x:c>
      <x:c r="P169" s="3" t="str">
        <x:v>browser</x:v>
      </x:c>
      <x:c r="Q169" s="3" t="str">
        <x:f>IF(OR(H169='Read Me + Evidence'!$K$6,H169='Read Me + Evidence'!$K$7,H169='Read Me + Evidence'!$K$8,P169='Read Me + Evidence'!$K$9,P169='Read Me + Evidence'!$K$10),'Read Me + Evidence'!$K$12,'Read Me + Evidence'!$K$11)</x:f>
        <x:v>GUI</x:v>
      </x:c>
      <x:c r="R169" s="14" t="n">
        <x:f>IF(AND(Q169='Read Me + Evidence'!$K$11,OR(D169='Read Me + Evidence'!$H$7,D169='Read Me + Evidence'!$H$8,D169='Read Me + Evidence'!$H$9)),1,0)</x:f>
        <x:v>1</x:v>
      </x:c>
      <x:c r="S169" s="14" t="n">
        <x:f>IF(AND(Q169='Read Me + Evidence'!$K$11,D169='Read Me + Evidence'!$H$7),1,0)</x:f>
        <x:v>0</x:v>
      </x:c>
      <x:c r="T169" s="14" t="n">
        <x:f>IF(AND(Q169='Read Me + Evidence'!$K$11,D169&lt;&gt;'Read Me + Evidence'!$H$12),1,0)</x:f>
        <x:v>1</x:v>
      </x:c>
      <x:c r="U169" s="3" t="str"/>
    </x:row>
    <x:row r="170" ht="153" customHeight="1">
      <x:c r="A170" s="3" t="str">
        <x:v>BROWSER-02</x:v>
      </x:c>
      <x:c r="B170" s="3" t="str">
        <x:v>Browser</x:v>
      </x:c>
      <x:c r="C170" s="3" t="str">
        <x:v>History</x:v>
      </x:c>
      <x:c r="D170" s="13" t="str">
        <x:v>Fail</x:v>
      </x:c>
      <x:c r="E170" s="3" t="str">
        <x:v>Buttons reflect exact page history and preserve current admitted page owner.</x:v>
      </x:c>
      <x:c r="F170" s="12" t="str">
        <x: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x:v>
      </x:c>
      <x:c r="G170" s="3" t="str">
        <x:v>controlled-network</x:v>
      </x:c>
      <x:c r="H170" s="3" t="str">
        <x:v>implemented-source</x:v>
      </x:c>
      <x:c r="I170" s="3" t="str">
        <x:v>Back; Forward; Reload</x:v>
      </x:c>
      <x:c r="J170" s="3" t="str">
        <x:v>1. Navigate two harmless pages
2. Back/forward/reload</x:v>
      </x:c>
      <x:c r="K170" s="3" t="str">
        <x:v>Harmless public pages</x:v>
      </x:c>
      <x:c r="L170" s="3" t="str">
        <x:v>F-43; F-52</x:v>
      </x:c>
      <x:c r="M170" s="3" t="str"/>
      <x:c r="N170" s="3" t="str">
        <x:v>E-064; E-084</x:v>
      </x:c>
      <x:c r="O170" s="3" t="str">
        <x:v>S-164</x:v>
      </x:c>
      <x:c r="P170" s="3" t="str">
        <x:v>browser</x:v>
      </x:c>
      <x:c r="Q170" s="3" t="str">
        <x:f>IF(OR(H170='Read Me + Evidence'!$K$6,H170='Read Me + Evidence'!$K$7,H170='Read Me + Evidence'!$K$8,P170='Read Me + Evidence'!$K$9,P170='Read Me + Evidence'!$K$10),'Read Me + Evidence'!$K$12,'Read Me + Evidence'!$K$11)</x:f>
        <x:v>GUI</x:v>
      </x:c>
      <x:c r="R170" s="14" t="n">
        <x:f>IF(AND(Q170='Read Me + Evidence'!$K$11,OR(D170='Read Me + Evidence'!$H$7,D170='Read Me + Evidence'!$H$8,D170='Read Me + Evidence'!$H$9)),1,0)</x:f>
        <x:v>1</x:v>
      </x:c>
      <x:c r="S170" s="14" t="n">
        <x:f>IF(AND(Q170='Read Me + Evidence'!$K$11,D170='Read Me + Evidence'!$H$7),1,0)</x:f>
        <x:v>0</x:v>
      </x:c>
      <x:c r="T170" s="14" t="n">
        <x:f>IF(AND(Q170='Read Me + Evidence'!$K$11,D170&lt;&gt;'Read Me + Evidence'!$H$12),1,0)</x:f>
        <x:v>1</x:v>
      </x:c>
      <x:c r="U170" s="3" t="str"/>
    </x:row>
    <x:row r="171" ht="153" customHeight="1">
      <x:c r="A171" s="3" t="str">
        <x:v>BROWSER-03</x:v>
      </x:c>
      <x:c r="B171" s="3" t="str">
        <x:v>Browser</x:v>
      </x:c>
      <x:c r="C171" s="3" t="str">
        <x:v>Engine/Exit settings</x:v>
      </x:c>
      <x:c r="D171" s="13" t="str">
        <x:v>Partially observed</x:v>
      </x:c>
      <x:c r="E171" s="3" t="str">
        <x:v>Runtime selects engine/Exit from projected offers; capsule receives no peer/route authority.</x:v>
      </x:c>
      <x:c r="F171" s="12" t="str">
        <x:v>Settings exposes the local MicroVM engine and This device Exit; disabled during load and enabled after Ready. Selections/configuration preserved; controlled remote-service switch lacks a peer fixture.</x:v>
      </x:c>
      <x:c r="G171" s="3" t="str">
        <x:v>controlled-service</x:v>
      </x:c>
      <x:c r="H171" s="3" t="str">
        <x:v>implemented-source</x:v>
      </x:c>
      <x:c r="I171" s="3" t="str">
        <x:v>Settings; Browser Engine; Exit</x:v>
      </x:c>
      <x:c r="J171" s="3" t="str">
        <x:v>1. Inspect local/remote choices
2. Change only controlled available service</x:v>
      </x:c>
      <x:c r="K171" s="3" t="str">
        <x:v>Operator-approved service selection</x:v>
      </x:c>
      <x:c r="L171" s="3" t="str"/>
      <x:c r="M171" s="3" t="str"/>
      <x:c r="N171" s="3" t="str">
        <x:v>E-053</x:v>
      </x:c>
      <x:c r="O171" s="3" t="str">
        <x:v>S-165</x:v>
      </x:c>
      <x:c r="P171" s="3" t="str">
        <x:v>browser</x:v>
      </x:c>
      <x:c r="Q171" s="3" t="str">
        <x:f>IF(OR(H171='Read Me + Evidence'!$K$6,H171='Read Me + Evidence'!$K$7,H171='Read Me + Evidence'!$K$8,P171='Read Me + Evidence'!$K$9,P171='Read Me + Evidence'!$K$10),'Read Me + Evidence'!$K$12,'Read Me + Evidence'!$K$11)</x:f>
        <x:v>GUI</x:v>
      </x:c>
      <x:c r="R171" s="14" t="n">
        <x:f>IF(AND(Q171='Read Me + Evidence'!$K$11,OR(D171='Read Me + Evidence'!$H$7,D171='Read Me + Evidence'!$H$8,D171='Read Me + Evidence'!$H$9)),1,0)</x:f>
        <x:v>1</x:v>
      </x:c>
      <x:c r="S171" s="14" t="n">
        <x:f>IF(AND(Q171='Read Me + Evidence'!$K$11,D171='Read Me + Evidence'!$H$7),1,0)</x:f>
        <x:v>0</x:v>
      </x:c>
      <x:c r="T171" s="14" t="n">
        <x:f>IF(AND(Q171='Read Me + Evidence'!$K$11,D171&lt;&gt;'Read Me + Evidence'!$H$12),1,0)</x:f>
        <x:v>1</x:v>
      </x:c>
      <x:c r="U171" s="3" t="str"/>
    </x:row>
    <x:row r="172" ht="153" customHeight="1">
      <x:c r="A172" s="3" t="str">
        <x:v>BROWSER-04</x:v>
      </x:c>
      <x:c r="B172" s="3" t="str">
        <x:v>Browser</x:v>
      </x:c>
      <x:c r="C172" s="3" t="str">
        <x:v>Display and interaction</x:v>
      </x:c>
      <x:c r="D172" s="13" t="str">
        <x:v>Fail</x:v>
      </x:c>
      <x:c r="E172" s="3" t="str">
        <x:v>WebRTC is product display; focus/input/audio stay bound to exact page and stable Home chrome.</x:v>
      </x:c>
      <x:c r="F172" s="12" t="str">
        <x: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x:v>
      </x:c>
      <x:c r="G172" s="3" t="str">
        <x:v>controlled-network</x:v>
      </x:c>
      <x:c r="H172" s="3" t="str">
        <x:v>implemented-source</x:v>
      </x:c>
      <x:c r="I172" s="3" t="str">
        <x:v>Remote viewport; Pointer; Keyboard; Scroll; Text selection</x:v>
      </x:c>
      <x:c r="J172" s="3" t="str">
        <x:v>1. Interact with harmless page
2. Type test text
3. Scroll/resize</x:v>
      </x:c>
      <x:c r="K172" s="3" t="str">
        <x:v>Approved interactive fixture page</x:v>
      </x:c>
      <x:c r="L172" s="3" t="str">
        <x:v>F-54; F-55</x:v>
      </x:c>
      <x:c r="M172" s="3" t="str"/>
      <x:c r="N172" s="3" t="str">
        <x:v>E-053; E-064; E-073</x:v>
      </x:c>
      <x:c r="O172" s="3" t="str">
        <x:v>S-166</x:v>
      </x:c>
      <x:c r="P172" s="3" t="str">
        <x:v>browser</x:v>
      </x:c>
      <x:c r="Q172" s="3" t="str">
        <x:f>IF(OR(H172='Read Me + Evidence'!$K$6,H172='Read Me + Evidence'!$K$7,H172='Read Me + Evidence'!$K$8,P172='Read Me + Evidence'!$K$9,P172='Read Me + Evidence'!$K$10),'Read Me + Evidence'!$K$12,'Read Me + Evidence'!$K$11)</x:f>
        <x:v>GUI</x:v>
      </x:c>
      <x:c r="R172" s="14" t="n">
        <x:f>IF(AND(Q172='Read Me + Evidence'!$K$11,OR(D172='Read Me + Evidence'!$H$7,D172='Read Me + Evidence'!$H$8,D172='Read Me + Evidence'!$H$9)),1,0)</x:f>
        <x:v>1</x:v>
      </x:c>
      <x:c r="S172" s="14" t="n">
        <x:f>IF(AND(Q172='Read Me + Evidence'!$K$11,D172='Read Me + Evidence'!$H$7),1,0)</x:f>
        <x:v>0</x:v>
      </x:c>
      <x:c r="T172" s="14" t="n">
        <x:f>IF(AND(Q172='Read Me + Evidence'!$K$11,D172&lt;&gt;'Read Me + Evidence'!$H$12),1,0)</x:f>
        <x:v>1</x:v>
      </x:c>
      <x:c r="U172" s="3" t="str"/>
    </x:row>
    <x:row r="173" ht="153" customHeight="1">
      <x:c r="A173" s="3" t="str">
        <x:v>BROWSER-05</x:v>
      </x:c>
      <x:c r="B173" s="3" t="str">
        <x:v>Browser</x:v>
      </x:c>
      <x:c r="C173" s="3" t="str">
        <x:v>Audio/video/fullscreen</x:v>
      </x:c>
      <x:c r="D173" s="13" t="str">
        <x:v>Partially observed</x:v>
      </x:c>
      <x:c r="E173" s="3" t="str">
        <x:v>Home/Browser share exact fullscreen and input ownership; screenshot presence alone is insufficient proof.</x:v>
      </x:c>
      <x:c r="F173" s="12" t="str">
        <x:v>Home Browser Enter/Exit Fullscreen keeps the same public test page and text. A controlled media page and audio gesture are still needed for moving video and audible audio proof. This window-size check does not establish media readiness.</x:v>
      </x:c>
      <x:c r="G173" s="3" t="str">
        <x:v>controlled-network</x:v>
      </x:c>
      <x:c r="H173" s="3" t="str">
        <x:v>implemented-source</x:v>
      </x:c>
      <x:c r="I173" s="3" t="str">
        <x:v>Page media controls; Fullscreen; Mute</x:v>
      </x:c>
      <x:c r="J173" s="3" t="str">
        <x:v>1. Use approved test media
2. Verify moving video/audio/input and exit fullscreen</x:v>
      </x:c>
      <x:c r="K173" s="3" t="str">
        <x:v>Approved media page; User audio gesture</x:v>
      </x:c>
      <x:c r="L173" s="3" t="str">
        <x:v>F-13</x:v>
      </x:c>
      <x:c r="M173" s="3" t="str"/>
      <x:c r="N173" s="3" t="str">
        <x:v>E-053; E-060; E-064; E-073</x:v>
      </x:c>
      <x:c r="O173" s="3" t="str">
        <x:v>S-167</x:v>
      </x:c>
      <x:c r="P173" s="3" t="str">
        <x:v>browser</x:v>
      </x:c>
      <x:c r="Q173" s="3" t="str">
        <x:f>IF(OR(H173='Read Me + Evidence'!$K$6,H173='Read Me + Evidence'!$K$7,H173='Read Me + Evidence'!$K$8,P173='Read Me + Evidence'!$K$9,P173='Read Me + Evidence'!$K$10),'Read Me + Evidence'!$K$12,'Read Me + Evidence'!$K$11)</x:f>
        <x:v>GUI</x:v>
      </x:c>
      <x:c r="R173" s="14" t="n">
        <x:f>IF(AND(Q173='Read Me + Evidence'!$K$11,OR(D173='Read Me + Evidence'!$H$7,D173='Read Me + Evidence'!$H$8,D173='Read Me + Evidence'!$H$9)),1,0)</x:f>
        <x:v>1</x:v>
      </x:c>
      <x:c r="S173" s="14" t="n">
        <x:f>IF(AND(Q173='Read Me + Evidence'!$K$11,D173='Read Me + Evidence'!$H$7),1,0)</x:f>
        <x:v>0</x:v>
      </x:c>
      <x:c r="T173" s="14" t="n">
        <x:f>IF(AND(Q173='Read Me + Evidence'!$K$11,D173&lt;&gt;'Read Me + Evidence'!$H$12),1,0)</x:f>
        <x:v>1</x:v>
      </x:c>
      <x:c r="U173" s="3" t="str"/>
    </x:row>
    <x:row r="174" ht="153" customHeight="1">
      <x:c r="A174" s="3" t="str">
        <x:v>BROWSER-06</x:v>
      </x:c>
      <x:c r="B174" s="3" t="str">
        <x:v>Browser</x:v>
      </x:c>
      <x:c r="C174" s="3" t="str">
        <x:v>Clipboard</x:v>
      </x:c>
      <x:c r="D174" s="13" t="str">
        <x:v>Blocked prerequisite</x:v>
      </x:c>
      <x:c r="E174" s="3" t="str">
        <x:v>Browser Clipboard mediates Runtime page and host consent; no silent host clipboard read.</x:v>
      </x:c>
      <x:c r="F174" s="12" t="str">
        <x:v>Host Clipboard tests need harmless staged text and explicit native transfer consent. The audit preserves the user's Clipboard. Foreground Browser now opens; Clipboard mediation has not been exercised.</x:v>
      </x:c>
      <x:c r="G174" s="3" t="str">
        <x:v>controlled-clipboard</x:v>
      </x:c>
      <x:c r="H174" s="3" t="str">
        <x:v>implemented-source</x:v>
      </x:c>
      <x:c r="I174" s="3" t="str">
        <x:v>Copy; Paste; Capture; Host consent</x:v>
      </x:c>
      <x:c r="J174" s="3" t="str">
        <x:v>1. Copy harmless page text
2. Paste harmless text
3. Deny once</x:v>
      </x:c>
      <x:c r="K174" s="3" t="str">
        <x:v>Harmless text</x:v>
      </x:c>
      <x:c r="L174" s="3" t="str"/>
      <x:c r="M174" s="3" t="str"/>
      <x:c r="N174" s="3" t="str">
        <x:v>E-053; E-064</x:v>
      </x:c>
      <x:c r="O174" s="3" t="str">
        <x:v>S-168</x:v>
      </x:c>
      <x:c r="P174" s="3" t="str">
        <x:v>browser</x:v>
      </x:c>
      <x:c r="Q174" s="3" t="str">
        <x:f>IF(OR(H174='Read Me + Evidence'!$K$6,H174='Read Me + Evidence'!$K$7,H174='Read Me + Evidence'!$K$8,P174='Read Me + Evidence'!$K$9,P174='Read Me + Evidence'!$K$10),'Read Me + Evidence'!$K$12,'Read Me + Evidence'!$K$11)</x:f>
        <x:v>GUI</x:v>
      </x:c>
      <x:c r="R174" s="14" t="n">
        <x:f>IF(AND(Q174='Read Me + Evidence'!$K$11,OR(D174='Read Me + Evidence'!$H$7,D174='Read Me + Evidence'!$H$8,D174='Read Me + Evidence'!$H$9)),1,0)</x:f>
        <x:v>0</x:v>
      </x:c>
      <x:c r="S174" s="14" t="n">
        <x:f>IF(AND(Q174='Read Me + Evidence'!$K$11,D174='Read Me + Evidence'!$H$7),1,0)</x:f>
        <x:v>0</x:v>
      </x:c>
      <x:c r="T174" s="14" t="n">
        <x:f>IF(AND(Q174='Read Me + Evidence'!$K$11,D174&lt;&gt;'Read Me + Evidence'!$H$12),1,0)</x:f>
        <x:v>1</x:v>
      </x:c>
      <x:c r="U174" s="3" t="str"/>
    </x:row>
    <x:row r="175" ht="153" customHeight="1">
      <x:c r="A175" s="3" t="str">
        <x:v>BROWSER-07</x:v>
      </x:c>
      <x:c r="B175" s="3" t="str">
        <x:v>Browser</x:v>
      </x:c>
      <x:c r="C175" s="3" t="str">
        <x:v>File chooser</x:v>
      </x:c>
      <x:c r="D175" s="13" t="str">
        <x:v>Partially observed</x:v>
      </x:c>
      <x:c r="E175" s="3" t="str">
        <x:v>Browser receives typed authorized selection through Library/Home, not raw filesystem authority.</x:v>
      </x:c>
      <x:c r="F175" s="12" t="str">
        <x: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x:v>
      </x:c>
      <x:c r="G175" s="3" t="str">
        <x:v>controlled-files</x:v>
      </x:c>
      <x:c r="H175" s="3" t="str">
        <x:v>implemented-source</x:v>
      </x:c>
      <x:c r="I175" s="3" t="str">
        <x:v>Page upload; Library picker; Select; Cancel</x:v>
      </x:c>
      <x:c r="J175" s="3" t="str">
        <x:v>1. Open harmless upload fixture
2. Choose disposable file or cancel</x:v>
      </x:c>
      <x:c r="K175" s="3" t="str">
        <x:v>Disposable file; Controlled upload destination</x:v>
      </x:c>
      <x:c r="L175" s="3" t="str"/>
      <x:c r="M175" s="3" t="str"/>
      <x:c r="N175" s="3" t="str">
        <x:v>E-053; E-064; E-077</x:v>
      </x:c>
      <x:c r="O175" s="3" t="str">
        <x:v>S-169</x:v>
      </x:c>
      <x:c r="P175" s="3" t="str">
        <x:v>browser</x:v>
      </x:c>
      <x:c r="Q175" s="3" t="str">
        <x:f>IF(OR(H175='Read Me + Evidence'!$K$6,H175='Read Me + Evidence'!$K$7,H175='Read Me + Evidence'!$K$8,P175='Read Me + Evidence'!$K$9,P175='Read Me + Evidence'!$K$10),'Read Me + Evidence'!$K$12,'Read Me + Evidence'!$K$11)</x:f>
        <x:v>GUI</x:v>
      </x:c>
      <x:c r="R175" s="14" t="n">
        <x:f>IF(AND(Q175='Read Me + Evidence'!$K$11,OR(D175='Read Me + Evidence'!$H$7,D175='Read Me + Evidence'!$H$8,D175='Read Me + Evidence'!$H$9)),1,0)</x:f>
        <x:v>1</x:v>
      </x:c>
      <x:c r="S175" s="14" t="n">
        <x:f>IF(AND(Q175='Read Me + Evidence'!$K$11,D175='Read Me + Evidence'!$H$7),1,0)</x:f>
        <x:v>0</x:v>
      </x:c>
      <x:c r="T175" s="14" t="n">
        <x:f>IF(AND(Q175='Read Me + Evidence'!$K$11,D175&lt;&gt;'Read Me + Evidence'!$H$12),1,0)</x:f>
        <x:v>1</x:v>
      </x:c>
      <x:c r="U175" s="3" t="str"/>
    </x:row>
    <x:row r="176" ht="153" customHeight="1">
      <x:c r="A176" s="3" t="str">
        <x:v>BROWSER-08</x:v>
      </x:c>
      <x:c r="B176" s="3" t="str">
        <x:v>Browser</x:v>
      </x:c>
      <x:c r="C176" s="3" t="str">
        <x:v>Wallet dapp prompt</x:v>
      </x:c>
      <x:c r="D176" s="13" t="str">
        <x:v>Blocked prerequisite</x:v>
      </x:c>
      <x:c r="E176" s="3" t="str">
        <x:v>Runtime Wallet/Inbox owns approval; Browser page cannot select accounts or obtain keys.</x:v>
      </x:c>
      <x:c r="F176" s="12" t="str">
        <x:v>A controlled dapp request fixture is still needed. Existing Wallet accounts and authority are preserved; the audit has not requested account access, signed data or sent transactions.</x:v>
      </x:c>
      <x:c r="G176" s="3" t="str">
        <x:v>controlled-permission</x:v>
      </x:c>
      <x:c r="H176" s="3" t="str">
        <x:v>implemented-source</x:v>
      </x:c>
      <x:c r="I176" s="3" t="str">
        <x:v>Connect wallet; Review; Reject</x:v>
      </x:c>
      <x:c r="J176" s="3" t="str">
        <x:v>1. Use approved dapp fixture
2. Inspect account/chain request
3. Reject by default</x:v>
      </x:c>
      <x:c r="K176" s="3" t="str">
        <x:v>Approved controlled dapp</x:v>
      </x:c>
      <x:c r="L176" s="3" t="str">
        <x:v>F-21</x:v>
      </x:c>
      <x:c r="M176" s="3" t="str"/>
      <x:c r="N176" s="3" t="str">
        <x:v>E-053; E-064</x:v>
      </x:c>
      <x:c r="O176" s="3" t="str">
        <x:v>S-170</x:v>
      </x:c>
      <x:c r="P176" s="3" t="str">
        <x:v>browser</x:v>
      </x:c>
      <x:c r="Q176" s="3" t="str">
        <x:f>IF(OR(H176='Read Me + Evidence'!$K$6,H176='Read Me + Evidence'!$K$7,H176='Read Me + Evidence'!$K$8,P176='Read Me + Evidence'!$K$9,P176='Read Me + Evidence'!$K$10),'Read Me + Evidence'!$K$12,'Read Me + Evidence'!$K$11)</x:f>
        <x:v>GUI</x:v>
      </x:c>
      <x:c r="R176" s="14" t="n">
        <x:f>IF(AND(Q176='Read Me + Evidence'!$K$11,OR(D176='Read Me + Evidence'!$H$7,D176='Read Me + Evidence'!$H$8,D176='Read Me + Evidence'!$H$9)),1,0)</x:f>
        <x:v>0</x:v>
      </x:c>
      <x:c r="S176" s="14" t="n">
        <x:f>IF(AND(Q176='Read Me + Evidence'!$K$11,D176='Read Me + Evidence'!$H$7),1,0)</x:f>
        <x:v>0</x:v>
      </x:c>
      <x:c r="T176" s="14" t="n">
        <x:f>IF(AND(Q176='Read Me + Evidence'!$K$11,D176&lt;&gt;'Read Me + Evidence'!$H$12),1,0)</x:f>
        <x:v>1</x:v>
      </x:c>
      <x:c r="U176" s="3" t="str"/>
    </x:row>
    <x:row r="177" ht="153" customHeight="1">
      <x:c r="A177" s="3" t="str">
        <x:v>BROWSER-09</x:v>
      </x:c>
      <x:c r="B177" s="3" t="str">
        <x:v>Browser</x:v>
      </x:c>
      <x:c r="C177" s="3" t="str">
        <x:v>Profile reset</x:v>
      </x:c>
      <x:c r="D177" s="13" t="str">
        <x:v>Blocked tool</x:v>
      </x:c>
      <x:c r="E177" s="3" t="str">
        <x:v>Reset is explicit destructive browser-state action, separate from Profile identity or Wallet data.</x:v>
      </x:c>
      <x:c r="F177" s="12" t="str">
        <x:v>Reset preview reached native confirm, then dialog control stalled (B-07). No accept sent; only the audit-owned tab was recovered. Full reset remains excluded from the active user's profile.</x:v>
      </x:c>
      <x:c r="G177" s="3" t="str">
        <x:v>destructive-controlled</x:v>
      </x:c>
      <x:c r="H177" s="3" t="str">
        <x:v>implemented-source</x:v>
      </x:c>
      <x:c r="I177" s="3" t="str">
        <x:v>Reset profile; Confirmation</x:v>
      </x:c>
      <x:c r="J177" s="3" t="str">
        <x:v>1. Inspect reset confirmation only</x:v>
      </x:c>
      <x:c r="K177" s="3" t="str">
        <x:v>Disposable Browser profile only</x:v>
      </x:c>
      <x:c r="L177" s="3" t="str"/>
      <x:c r="M177" s="3" t="str"/>
      <x:c r="N177" s="3" t="str">
        <x:v>E-053</x:v>
      </x:c>
      <x:c r="O177" s="3" t="str">
        <x:v>S-171</x:v>
      </x:c>
      <x:c r="P177" s="3" t="str">
        <x:v>browser</x:v>
      </x:c>
      <x:c r="Q177" s="3" t="str">
        <x:f>IF(OR(H177='Read Me + Evidence'!$K$6,H177='Read Me + Evidence'!$K$7,H177='Read Me + Evidence'!$K$8,P177='Read Me + Evidence'!$K$9,P177='Read Me + Evidence'!$K$10),'Read Me + Evidence'!$K$12,'Read Me + Evidence'!$K$11)</x:f>
        <x:v>GUI</x:v>
      </x:c>
      <x:c r="R177" s="14" t="n">
        <x:f>IF(AND(Q177='Read Me + Evidence'!$K$11,OR(D177='Read Me + Evidence'!$H$7,D177='Read Me + Evidence'!$H$8,D177='Read Me + Evidence'!$H$9)),1,0)</x:f>
        <x:v>0</x:v>
      </x:c>
      <x:c r="S177" s="14" t="n">
        <x:f>IF(AND(Q177='Read Me + Evidence'!$K$11,D177='Read Me + Evidence'!$H$7),1,0)</x:f>
        <x:v>0</x:v>
      </x:c>
      <x:c r="T177" s="14" t="n">
        <x:f>IF(AND(Q177='Read Me + Evidence'!$K$11,D177&lt;&gt;'Read Me + Evidence'!$H$12),1,0)</x:f>
        <x:v>1</x:v>
      </x:c>
      <x:c r="U177" s="3" t="str"/>
    </x:row>
    <x:row r="178" ht="153" customHeight="1">
      <x:c r="A178" s="3" t="str">
        <x:v>BROWSER-10</x:v>
      </x:c>
      <x:c r="B178" s="3" t="str">
        <x:v>Browser</x:v>
      </x:c>
      <x:c r="C178" s="3" t="str">
        <x:v>Close/unload</x:v>
      </x:c>
      <x:c r="D178" s="13" t="str">
        <x:v>Fail</x:v>
      </x:c>
      <x:c r="E178" s="3" t="str">
        <x:v>Runtime closes exact page/session and orphan ownership; other Browser sessions remain intact.</x:v>
      </x:c>
      <x:c r="F178" s="12" t="str">
        <x: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x:v>
      </x:c>
      <x:c r="G178" s="3" t="str">
        <x:v>controlled-session</x:v>
      </x:c>
      <x:c r="H178" s="3" t="str">
        <x:v>implemented-source</x:v>
      </x:c>
      <x:c r="I178" s="3" t="str">
        <x:v>Home Close; Reopen; Page unload</x:v>
      </x:c>
      <x:c r="J178" s="3" t="str">
        <x:v>1. Close harmless page
2. Reopen
3. Observe no stale page activity</x:v>
      </x:c>
      <x:c r="K178" s="3" t="str">
        <x:v>Disposable Browser session</x:v>
      </x:c>
      <x:c r="L178" s="3" t="str">
        <x:v>F-20; F-43</x:v>
      </x:c>
      <x:c r="M178" s="3" t="str"/>
      <x:c r="N178" s="3" t="str">
        <x:v>E-053; E-064</x:v>
      </x:c>
      <x:c r="O178" s="3" t="str">
        <x:v>S-172</x:v>
      </x:c>
      <x:c r="P178" s="3" t="str">
        <x:v>browser</x:v>
      </x:c>
      <x:c r="Q178" s="3" t="str">
        <x:f>IF(OR(H178='Read Me + Evidence'!$K$6,H178='Read Me + Evidence'!$K$7,H178='Read Me + Evidence'!$K$8,P178='Read Me + Evidence'!$K$9,P178='Read Me + Evidence'!$K$10),'Read Me + Evidence'!$K$12,'Read Me + Evidence'!$K$11)</x:f>
        <x:v>GUI</x:v>
      </x:c>
      <x:c r="R178" s="14" t="n">
        <x:f>IF(AND(Q178='Read Me + Evidence'!$K$11,OR(D178='Read Me + Evidence'!$H$7,D178='Read Me + Evidence'!$H$8,D178='Read Me + Evidence'!$H$9)),1,0)</x:f>
        <x:v>1</x:v>
      </x:c>
      <x:c r="S178" s="14" t="n">
        <x:f>IF(AND(Q178='Read Me + Evidence'!$K$11,D178='Read Me + Evidence'!$H$7),1,0)</x:f>
        <x:v>0</x:v>
      </x:c>
      <x:c r="T178" s="14" t="n">
        <x:f>IF(AND(Q178='Read Me + Evidence'!$K$11,D178&lt;&gt;'Read Me + Evidence'!$H$12),1,0)</x:f>
        <x:v>1</x:v>
      </x:c>
      <x:c r="U178" s="3" t="str"/>
    </x:row>
    <x:row r="179" ht="153" customHeight="1">
      <x:c r="A179" s="3" t="str">
        <x:v>BROWSER-11</x:v>
      </x:c>
      <x:c r="B179" s="3" t="str">
        <x:v>Browser</x:v>
      </x:c>
      <x:c r="C179" s="3" t="str">
        <x:v>Reconnect/expired authority</x:v>
      </x:c>
      <x:c r="D179" s="13" t="str">
        <x:v>Fail</x:v>
      </x:c>
      <x:c r="E179" s="3" t="str">
        <x:v>Expired authority is renewed only through exact Home session; no image-polling or transport fallback.</x:v>
      </x:c>
      <x:c r="F179" s="12" t="str">
        <x: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x:v>
      </x:c>
      <x:c r="G179" s="3" t="str">
        <x:v>controlled-session</x:v>
      </x:c>
      <x:c r="H179" s="3" t="str">
        <x:v>implemented-source</x:v>
      </x:c>
      <x:c r="I179" s="3" t="str">
        <x:v>Disconnected status; Home relaunch/renewal</x:v>
      </x:c>
      <x:c r="J179" s="3" t="str">
        <x:v>1. Record naturally interrupted state; controlled expiry in separate fixture</x:v>
      </x:c>
      <x:c r="K179" s="3" t="str">
        <x:v>Dedicated bounded interruption fixture</x:v>
      </x:c>
      <x:c r="L179" s="3" t="str">
        <x:v>F-43</x:v>
      </x:c>
      <x:c r="M179" s="3" t="str"/>
      <x:c r="N179" s="3" t="str">
        <x:v>E-053; E-064</x:v>
      </x:c>
      <x:c r="O179" s="3" t="str">
        <x:v>S-173</x:v>
      </x:c>
      <x:c r="P179" s="3" t="str">
        <x:v>browser</x:v>
      </x:c>
      <x:c r="Q179" s="3" t="str">
        <x:f>IF(OR(H179='Read Me + Evidence'!$K$6,H179='Read Me + Evidence'!$K$7,H179='Read Me + Evidence'!$K$8,P179='Read Me + Evidence'!$K$9,P179='Read Me + Evidence'!$K$10),'Read Me + Evidence'!$K$12,'Read Me + Evidence'!$K$11)</x:f>
        <x:v>GUI</x:v>
      </x:c>
      <x:c r="R179" s="14" t="n">
        <x:f>IF(AND(Q179='Read Me + Evidence'!$K$11,OR(D179='Read Me + Evidence'!$H$7,D179='Read Me + Evidence'!$H$8,D179='Read Me + Evidence'!$H$9)),1,0)</x:f>
        <x:v>1</x:v>
      </x:c>
      <x:c r="S179" s="14" t="n">
        <x:f>IF(AND(Q179='Read Me + Evidence'!$K$11,D179='Read Me + Evidence'!$H$7),1,0)</x:f>
        <x:v>0</x:v>
      </x:c>
      <x:c r="T179" s="14" t="n">
        <x:f>IF(AND(Q179='Read Me + Evidence'!$K$11,D179&lt;&gt;'Read Me + Evidence'!$H$12),1,0)</x:f>
        <x:v>1</x:v>
      </x:c>
      <x:c r="U179" s="3" t="str"/>
    </x:row>
    <x:row r="180" ht="153" customHeight="1">
      <x:c r="A180" s="3" t="str">
        <x:v>BROWSER-12</x:v>
      </x:c>
      <x:c r="B180" s="3" t="str">
        <x:v>Browser</x:v>
      </x:c>
      <x:c r="C180" s="3" t="str">
        <x:v>Tabs/popups scope</x:v>
      </x:c>
      <x:c r="D180" s="13" t="str">
        <x:v>Blocked prerequisite</x:v>
      </x:c>
      <x:c r="E180" s="3" t="str">
        <x:v>Current one-page/window behavior is distinct from the deferred full Runtime tab UI; do not grade absent planned tabs as regression.</x:v>
      </x:c>
      <x:c r="F180" s="12" t="str">
        <x:v>Official Selenium popup fixture is available, but E084 navigation stalled before its Open new window link appeared. No popup was triggered, so popup ownership remains unverified. Full Runtime tab UI remains planned scope.</x:v>
      </x:c>
      <x:c r="G180" s="3" t="str">
        <x:v>controlled-network</x:v>
      </x:c>
      <x:c r="H180" s="3" t="str">
        <x:v>implemented-source</x:v>
      </x:c>
      <x:c r="I180" s="3" t="str">
        <x:v>Site popup/link</x:v>
      </x:c>
      <x:c r="J180" s="3" t="str">
        <x:v>1. Use controlled popup link and record current behavior</x:v>
      </x:c>
      <x:c r="K180" s="3" t="str">
        <x:v>Controlled popup fixture</x:v>
      </x:c>
      <x:c r="L180" s="3" t="str">
        <x:v>F-43</x:v>
      </x:c>
      <x:c r="M180" s="3" t="str"/>
      <x:c r="N180" s="3" t="str">
        <x:v>E-053; E-064; E-084</x:v>
      </x:c>
      <x:c r="O180" s="3" t="str">
        <x:v>S-174, S-163</x:v>
      </x:c>
      <x:c r="P180" s="3" t="str">
        <x:v>browser</x:v>
      </x:c>
      <x:c r="Q180" s="3" t="str">
        <x:f>IF(OR(H180='Read Me + Evidence'!$K$6,H180='Read Me + Evidence'!$K$7,H180='Read Me + Evidence'!$K$8,P180='Read Me + Evidence'!$K$9,P180='Read Me + Evidence'!$K$10),'Read Me + Evidence'!$K$12,'Read Me + Evidence'!$K$11)</x:f>
        <x:v>GUI</x:v>
      </x:c>
      <x:c r="R180" s="14" t="n">
        <x:f>IF(AND(Q180='Read Me + Evidence'!$K$11,OR(D180='Read Me + Evidence'!$H$7,D180='Read Me + Evidence'!$H$8,D180='Read Me + Evidence'!$H$9)),1,0)</x:f>
        <x:v>0</x:v>
      </x:c>
      <x:c r="S180" s="14" t="n">
        <x:f>IF(AND(Q180='Read Me + Evidence'!$K$11,D180='Read Me + Evidence'!$H$7),1,0)</x:f>
        <x:v>0</x:v>
      </x:c>
      <x:c r="T180" s="14" t="n">
        <x:f>IF(AND(Q180='Read Me + Evidence'!$K$11,D180&lt;&gt;'Read Me + Evidence'!$H$12),1,0)</x:f>
        <x:v>1</x:v>
      </x:c>
      <x:c r="U180" s="3" t="str"/>
    </x:row>
    <x:row r="181" ht="153" customHeight="1">
      <x:c r="A181" s="3" t="str">
        <x:v>GBA-01</x:v>
      </x:c>
      <x:c r="B181" s="3" t="str">
        <x:v>GBA Emulator</x:v>
      </x:c>
      <x:c r="C181" s="3" t="str">
        <x:v>Empty and Library launch</x:v>
      </x:c>
      <x:c r="D181" s="13" t="str">
        <x:v>Fail</x:v>
      </x:c>
      <x:c r="E181" s="3" t="str">
        <x:v>Admitted content opens in emulator; empty/unsupported input is clear.</x:v>
      </x:c>
      <x:c r="F181" s="12" t="str">
        <x:v>Direct empty launch gives clear Choose a game from Library, known Installed ROMs and disabled Pause/Save. Library action opens correctly. Installed-ROM Space opens Library instead of the selected game (F-42).</x:v>
      </x:c>
      <x:c r="G181" s="3" t="str">
        <x:v>controlled-session</x:v>
      </x:c>
      <x:c r="H181" s="3" t="str">
        <x:v>implemented-source</x:v>
      </x:c>
      <x:c r="I181" s="3" t="str">
        <x:v>Dropzone; Open from Library; Cancel</x:v>
      </x:c>
      <x:c r="J181" s="3" t="str">
        <x:v>1. Open emulator alone
2. Select licensed fixture ROM through Library</x:v>
      </x:c>
      <x:c r="K181" s="3" t="str">
        <x:v>Licensed included content</x:v>
      </x:c>
      <x:c r="L181" s="3" t="str">
        <x:v>F-42</x:v>
      </x:c>
      <x:c r="M181" s="3" t="str"/>
      <x:c r="N181" s="3" t="str">
        <x:v>E-052</x:v>
      </x:c>
      <x:c r="O181" s="3" t="str">
        <x:v>S-175</x:v>
      </x:c>
      <x:c r="P181" s="3" t="str">
        <x:v>gba-emulator</x:v>
      </x:c>
      <x:c r="Q181" s="3" t="str">
        <x:f>IF(OR(H181='Read Me + Evidence'!$K$6,H181='Read Me + Evidence'!$K$7,H181='Read Me + Evidence'!$K$8,P181='Read Me + Evidence'!$K$9,P181='Read Me + Evidence'!$K$10),'Read Me + Evidence'!$K$12,'Read Me + Evidence'!$K$11)</x:f>
        <x:v>GUI</x:v>
      </x:c>
      <x:c r="R181" s="14" t="n">
        <x:f>IF(AND(Q181='Read Me + Evidence'!$K$11,OR(D181='Read Me + Evidence'!$H$7,D181='Read Me + Evidence'!$H$8,D181='Read Me + Evidence'!$H$9)),1,0)</x:f>
        <x:v>1</x:v>
      </x:c>
      <x:c r="S181" s="14" t="n">
        <x:f>IF(AND(Q181='Read Me + Evidence'!$K$11,D181='Read Me + Evidence'!$H$7),1,0)</x:f>
        <x:v>0</x:v>
      </x:c>
      <x:c r="T181" s="14" t="n">
        <x:f>IF(AND(Q181='Read Me + Evidence'!$K$11,D181&lt;&gt;'Read Me + Evidence'!$H$12),1,0)</x:f>
        <x:v>1</x:v>
      </x:c>
      <x:c r="U181" s="3" t="str"/>
    </x:row>
    <x:row r="182" ht="153" customHeight="1">
      <x:c r="A182" s="3" t="str">
        <x:v>GBA-02</x:v>
      </x:c>
      <x:c r="B182" s="3" t="str">
        <x:v>GBA Emulator</x:v>
      </x:c>
      <x:c r="C182" s="3" t="str">
        <x:v>Game controls</x:v>
      </x:c>
      <x:c r="D182" s="13" t="str">
        <x:v>Fail</x:v>
      </x:c>
      <x:c r="E182" s="3" t="str">
        <x:v>Keyboard/on-screen controls target canvas and keep predictable focus; no capsule window chrome.</x:v>
      </x:c>
      <x:c r="F182" s="12" t="str">
        <x:v>Mapped controls are named. Game keys globally intercept utility focus (F-39). Short synthesized canvas key pulses produced no visible movement; separate sustained-input proof remains.</x:v>
      </x:c>
      <x:c r="G182" s="3" t="str">
        <x:v>controlled-game</x:v>
      </x:c>
      <x:c r="H182" s="3" t="str">
        <x:v>implemented-source</x:v>
      </x:c>
      <x:c r="I182" s="3" t="str">
        <x:v>D-pad; A/B; L/R; Start/Select; Keyboard</x:v>
      </x:c>
      <x:c r="J182" s="3" t="str">
        <x:v>1. Exercise each mapped control in included game</x:v>
      </x:c>
      <x:c r="K182" s="3" t="str">
        <x:v>Included licensed game</x:v>
      </x:c>
      <x:c r="L182" s="3" t="str">
        <x:v>F-39</x:v>
      </x:c>
      <x:c r="M182" s="3" t="str"/>
      <x:c r="N182" s="3" t="str">
        <x:v>E-052</x:v>
      </x:c>
      <x:c r="O182" s="3" t="str">
        <x:v>S-175</x:v>
      </x:c>
      <x:c r="P182" s="3" t="str">
        <x:v>gba-emulator</x:v>
      </x:c>
      <x:c r="Q182" s="3" t="str">
        <x:f>IF(OR(H182='Read Me + Evidence'!$K$6,H182='Read Me + Evidence'!$K$7,H182='Read Me + Evidence'!$K$8,P182='Read Me + Evidence'!$K$9,P182='Read Me + Evidence'!$K$10),'Read Me + Evidence'!$K$12,'Read Me + Evidence'!$K$11)</x:f>
        <x:v>GUI</x:v>
      </x:c>
      <x:c r="R182" s="14" t="n">
        <x:f>IF(AND(Q182='Read Me + Evidence'!$K$11,OR(D182='Read Me + Evidence'!$H$7,D182='Read Me + Evidence'!$H$8,D182='Read Me + Evidence'!$H$9)),1,0)</x:f>
        <x:v>1</x:v>
      </x:c>
      <x:c r="S182" s="14" t="n">
        <x:f>IF(AND(Q182='Read Me + Evidence'!$K$11,D182='Read Me + Evidence'!$H$7),1,0)</x:f>
        <x:v>0</x:v>
      </x:c>
      <x:c r="T182" s="14" t="n">
        <x:f>IF(AND(Q182='Read Me + Evidence'!$K$11,D182&lt;&gt;'Read Me + Evidence'!$H$12),1,0)</x:f>
        <x:v>1</x:v>
      </x:c>
      <x:c r="U182" s="3" t="str"/>
    </x:row>
    <x:row r="183" ht="153" customHeight="1">
      <x:c r="A183" s="3" t="str">
        <x:v>GBA-03</x:v>
      </x:c>
      <x:c r="B183" s="3" t="str">
        <x:v>GBA Emulator</x:v>
      </x:c>
      <x:c r="C183" s="3" t="str">
        <x:v>Playback controls</x:v>
      </x:c>
      <x:c r="D183" s="13" t="str">
        <x:v>Fail</x:v>
      </x:c>
      <x:c r="E183" s="3" t="str">
        <x:v>Gameplay/media are responsive; Home owns window/fullscreen framing and audio follows user gesture.</x:v>
      </x:c>
      <x:c r="F183" s="12" t="str">
        <x:v>Space toggles Pause/Resume, Fast Forward toggled on/off, Volume retained50. Fullscreen entry works; native Escape proof blocked by synthetic key tooling and audit tab returned to Home. F-39 utility keyboard interception; F-40 missing Fast Forward state.</x:v>
      </x:c>
      <x:c r="G183" s="3" t="str">
        <x:v>controlled-game</x:v>
      </x:c>
      <x:c r="H183" s="3" t="str">
        <x:v>implemented-source</x:v>
      </x:c>
      <x:c r="I183" s="3" t="str">
        <x:v>Pause; Resume; Fast Forward; Volume; Fullscreen</x:v>
      </x:c>
      <x:c r="J183" s="3" t="str">
        <x:v>1. Pause/resume
2. Toggle fast-forward
3. Adjust audio
4. Exit fullscreen</x:v>
      </x:c>
      <x:c r="K183" s="3" t="str">
        <x:v>Included game; Restore volume</x:v>
      </x:c>
      <x:c r="L183" s="3" t="str">
        <x:v>F-39; F-40</x:v>
      </x:c>
      <x:c r="M183" s="3" t="str"/>
      <x:c r="N183" s="3" t="str">
        <x:v>E-052</x:v>
      </x:c>
      <x:c r="O183" s="3" t="str">
        <x:v>S-175</x:v>
      </x:c>
      <x:c r="P183" s="3" t="str">
        <x:v>gba-emulator</x:v>
      </x:c>
      <x:c r="Q183" s="3" t="str">
        <x:f>IF(OR(H183='Read Me + Evidence'!$K$6,H183='Read Me + Evidence'!$K$7,H183='Read Me + Evidence'!$K$8,P183='Read Me + Evidence'!$K$9,P183='Read Me + Evidence'!$K$10),'Read Me + Evidence'!$K$12,'Read Me + Evidence'!$K$11)</x:f>
        <x:v>GUI</x:v>
      </x:c>
      <x:c r="R183" s="14" t="n">
        <x:f>IF(AND(Q183='Read Me + Evidence'!$K$11,OR(D183='Read Me + Evidence'!$H$7,D183='Read Me + Evidence'!$H$8,D183='Read Me + Evidence'!$H$9)),1,0)</x:f>
        <x:v>1</x:v>
      </x:c>
      <x:c r="S183" s="14" t="n">
        <x:f>IF(AND(Q183='Read Me + Evidence'!$K$11,D183='Read Me + Evidence'!$H$7),1,0)</x:f>
        <x:v>0</x:v>
      </x:c>
      <x:c r="T183" s="14" t="n">
        <x:f>IF(AND(Q183='Read Me + Evidence'!$K$11,D183&lt;&gt;'Read Me + Evidence'!$H$12),1,0)</x:f>
        <x:v>1</x:v>
      </x:c>
      <x:c r="U183" s="3" t="str"/>
    </x:row>
    <x:row r="184" ht="153" customHeight="1">
      <x:c r="A184" s="3" t="str">
        <x:v>GBA-04</x:v>
      </x:c>
      <x:c r="B184" s="3" t="str">
        <x:v>GBA Emulator</x:v>
      </x:c>
      <x:c r="C184" s="3" t="str">
        <x:v>Save/load slots</x:v>
      </x:c>
      <x:c r="D184" s="13" t="str">
        <x:v>Partially observed</x:v>
      </x:c>
      <x:c r="E184" s="3" t="str">
        <x:v>Save states bind exact content and slot; existing user saves remain untouched.</x:v>
      </x:c>
      <x:c r="F184" s="12" t="str">
        <x:v>All slots initially Empty. Designated audit Slot3 saved and loaded successfully. Slots1/2 retained empty; Enter on state controls shares F-39.</x:v>
      </x:c>
      <x:c r="G184" s="3" t="str">
        <x:v>controlled-game</x:v>
      </x:c>
      <x:c r="H184" s="3" t="str">
        <x:v>implemented-source</x:v>
      </x:c>
      <x:c r="I184" s="3" t="str">
        <x:v>Slot 1/2/3; Save; Load</x:v>
      </x:c>
      <x:c r="J184" s="3" t="str">
        <x:v>1. Use designated disposable game save
2. Save/load each slot purposefully</x:v>
      </x:c>
      <x:c r="K184" s="3" t="str">
        <x:v>Disposable game-save state only</x:v>
      </x:c>
      <x:c r="L184" s="3" t="str">
        <x:v>F-39</x:v>
      </x:c>
      <x:c r="M184" s="3" t="str"/>
      <x:c r="N184" s="3" t="str">
        <x:v>E-052</x:v>
      </x:c>
      <x:c r="O184" s="3" t="str">
        <x:v>S-175</x:v>
      </x:c>
      <x:c r="P184" s="3" t="str">
        <x:v>gba-emulator</x:v>
      </x:c>
      <x:c r="Q184" s="3" t="str">
        <x:f>IF(OR(H184='Read Me + Evidence'!$K$6,H184='Read Me + Evidence'!$K$7,H184='Read Me + Evidence'!$K$8,P184='Read Me + Evidence'!$K$9,P184='Read Me + Evidence'!$K$10),'Read Me + Evidence'!$K$12,'Read Me + Evidence'!$K$11)</x:f>
        <x:v>GUI</x:v>
      </x:c>
      <x:c r="R184" s="14" t="n">
        <x:f>IF(AND(Q184='Read Me + Evidence'!$K$11,OR(D184='Read Me + Evidence'!$H$7,D184='Read Me + Evidence'!$H$8,D184='Read Me + Evidence'!$H$9)),1,0)</x:f>
        <x:v>1</x:v>
      </x:c>
      <x:c r="S184" s="14" t="n">
        <x:f>IF(AND(Q184='Read Me + Evidence'!$K$11,D184='Read Me + Evidence'!$H$7),1,0)</x:f>
        <x:v>0</x:v>
      </x:c>
      <x:c r="T184" s="14" t="n">
        <x:f>IF(AND(Q184='Read Me + Evidence'!$K$11,D184&lt;&gt;'Read Me + Evidence'!$H$12),1,0)</x:f>
        <x:v>1</x:v>
      </x:c>
      <x:c r="U184" s="3" t="str"/>
    </x:row>
    <x:row r="185" ht="153" customHeight="1">
      <x:c r="A185" s="3" t="str">
        <x:v>GBA-05</x:v>
      </x:c>
      <x:c r="B185" s="3" t="str">
        <x:v>GBA Emulator</x:v>
      </x:c>
      <x:c r="C185" s="3" t="str">
        <x:v>Reopen persistence</x:v>
      </x:c>
      <x:c r="D185" s="13" t="str">
        <x:v>Partially observed</x:v>
      </x:c>
      <x:c r="E185" s="3" t="str">
        <x:v>Game identity and allowed save state survive reload without crossing capsule/object boundary.</x:v>
      </x:c>
      <x:c r="F185" s="12" t="str">
        <x:v>Home reload restored Nonogram Slot3 Saved; Load again returns State3 loaded. uCity has all three slots Empty, proving game-state separation. General conflict/failure cases remain source/fixture coverage.</x:v>
      </x:c>
      <x:c r="G185" s="3" t="str">
        <x:v>controlled-game</x:v>
      </x:c>
      <x:c r="H185" s="3" t="str">
        <x:v>implemented-source</x:v>
      </x:c>
      <x:c r="I185" s="3" t="str">
        <x:v>Close; Reopen; Load</x:v>
      </x:c>
      <x:c r="J185" s="3" t="str">
        <x:v>1. Reopen designated fixture game and load test slot</x:v>
      </x:c>
      <x:c r="K185" s="3" t="str">
        <x:v>Disposable save fixture</x:v>
      </x:c>
      <x:c r="L185" s="3" t="str"/>
      <x:c r="M185" s="3" t="str"/>
      <x:c r="N185" s="3" t="str">
        <x:v>E-052</x:v>
      </x:c>
      <x:c r="O185" s="3" t="str">
        <x:v>S-175</x:v>
      </x:c>
      <x:c r="P185" s="3" t="str">
        <x:v>gba-emulator</x:v>
      </x:c>
      <x:c r="Q185" s="3" t="str">
        <x:f>IF(OR(H185='Read Me + Evidence'!$K$6,H185='Read Me + Evidence'!$K$7,H185='Read Me + Evidence'!$K$8,P185='Read Me + Evidence'!$K$9,P185='Read Me + Evidence'!$K$10),'Read Me + Evidence'!$K$12,'Read Me + Evidence'!$K$11)</x:f>
        <x:v>GUI</x:v>
      </x:c>
      <x:c r="R185" s="14" t="n">
        <x:f>IF(AND(Q185='Read Me + Evidence'!$K$11,OR(D185='Read Me + Evidence'!$H$7,D185='Read Me + Evidence'!$H$8,D185='Read Me + Evidence'!$H$9)),1,0)</x:f>
        <x:v>1</x:v>
      </x:c>
      <x:c r="S185" s="14" t="n">
        <x:f>IF(AND(Q185='Read Me + Evidence'!$K$11,D185='Read Me + Evidence'!$H$7),1,0)</x:f>
        <x:v>0</x:v>
      </x:c>
      <x:c r="T185" s="14" t="n">
        <x:f>IF(AND(Q185='Read Me + Evidence'!$K$11,D185&lt;&gt;'Read Me + Evidence'!$H$12),1,0)</x:f>
        <x:v>1</x:v>
      </x:c>
      <x:c r="U185" s="3" t="str"/>
    </x:row>
    <x:row r="186" ht="153" customHeight="1">
      <x:c r="A186" s="3" t="str">
        <x:v>NONOGRAM-01</x:v>
      </x:c>
      <x:c r="B186" s="3" t="str">
        <x:v>Nonogram Advance</x:v>
      </x:c>
      <x:c r="C186" s="3" t="str">
        <x:v>Launch, icon and attribution</x:v>
      </x:c>
      <x:c r="D186" s="13" t="str">
        <x:v>Partially observed</x:v>
      </x:c>
      <x:c r="E186" s="3" t="str">
        <x:v>Capsule declares its own icon/ROM/attribution; Runtime opens exact content via GBA Emulator. Game-internal menus require live observation.</x:v>
      </x:c>
      <x:c r="F186" s="12" t="str">
        <x:v>Own icon/title launch licensed bundled ROM through GBA Emulator; game menu renders. Full in-game interaction still needs sustained key evidence; audit slot3 saved/loaded.</x:v>
      </x:c>
      <x:c r="G186" s="3" t="str">
        <x:v>controlled-game</x:v>
      </x:c>
      <x:c r="H186" s="3" t="str">
        <x:v>source-defect</x:v>
      </x:c>
      <x:c r="I186" s="3" t="str">
        <x:v>Nonogram shortcut; Launcher item; Game menus</x:v>
      </x:c>
      <x:c r="J186" s="3" t="str">
        <x:v>1. Inspect icon
2. Launch licensed bundled content
3. Inspect in-game controls</x:v>
      </x:c>
      <x:c r="K186" s="3" t="str">
        <x:v>Included licensed content</x:v>
      </x:c>
      <x:c r="L186" s="3" t="str">
        <x:v>F-06</x:v>
      </x:c>
      <x:c r="M186" s="3" t="str">
        <x:v>Prior public static request for /apps/gba-nonogram/icons/icon-128.png returned HTTP 404. Gameplay not tested. [Prior read-only public HTTP check and source asset resolution trace.]</x:v>
      </x:c>
      <x:c r="N186" s="3" t="str">
        <x:v>E-052</x:v>
      </x:c>
      <x:c r="O186" s="3" t="str">
        <x:v>S-176</x:v>
      </x:c>
      <x:c r="P186" s="3" t="str">
        <x:v>gba-nonogram</x:v>
      </x:c>
      <x:c r="Q186" s="3" t="str">
        <x:f>IF(OR(H186='Read Me + Evidence'!$K$6,H186='Read Me + Evidence'!$K$7,H186='Read Me + Evidence'!$K$8,P186='Read Me + Evidence'!$K$9,P186='Read Me + Evidence'!$K$10),'Read Me + Evidence'!$K$12,'Read Me + Evidence'!$K$11)</x:f>
        <x:v>GUI</x:v>
      </x:c>
      <x:c r="R186" s="14" t="n">
        <x:f>IF(AND(Q186='Read Me + Evidence'!$K$11,OR(D186='Read Me + Evidence'!$H$7,D186='Read Me + Evidence'!$H$8,D186='Read Me + Evidence'!$H$9)),1,0)</x:f>
        <x:v>1</x:v>
      </x:c>
      <x:c r="S186" s="14" t="n">
        <x:f>IF(AND(Q186='Read Me + Evidence'!$K$11,D186='Read Me + Evidence'!$H$7),1,0)</x:f>
        <x:v>0</x:v>
      </x:c>
      <x:c r="T186" s="14" t="n">
        <x:f>IF(AND(Q186='Read Me + Evidence'!$K$11,D186&lt;&gt;'Read Me + Evidence'!$H$12),1,0)</x:f>
        <x:v>1</x:v>
      </x:c>
      <x:c r="U186" s="3" t="str"/>
    </x:row>
    <x:row r="187" ht="153" customHeight="1">
      <x:c r="A187" s="3" t="str">
        <x:v>UCITY-01</x:v>
      </x:c>
      <x:c r="B187" s="3" t="str">
        <x:v>uCity</x:v>
      </x:c>
      <x:c r="C187" s="3" t="str">
        <x:v>Launch, icon and attribution</x:v>
      </x:c>
      <x:c r="D187" s="13" t="str">
        <x:v>Fail</x:v>
      </x:c>
      <x:c r="E187" s="3" t="str">
        <x:v>Capsule declares its own icon/ROM/attribution; content is not a second app registry. Game-internal menus require live observation.</x:v>
      </x:c>
      <x:c r="F187" s="12" t="str">
        <x:v>Own icon/title launches animated bundled game through GBA; all states Empty despite Nonogram Slot3 Saved. Attribution/provenance missing in bundled uCity (F-41). Game input/audio remain partial.</x:v>
      </x:c>
      <x:c r="G187" s="3" t="str">
        <x:v>controlled-game</x:v>
      </x:c>
      <x:c r="H187" s="3" t="str">
        <x:v>source-defect</x:v>
      </x:c>
      <x:c r="I187" s="3" t="str">
        <x:v>uCity shortcut; Launcher item; Game menus</x:v>
      </x:c>
      <x:c r="J187" s="3" t="str">
        <x:v>1. Inspect icon
2. Launch licensed bundled content
3. Inspect in-game controls</x:v>
      </x:c>
      <x:c r="K187" s="3" t="str">
        <x:v>Included licensed content</x:v>
      </x:c>
      <x:c r="L187" s="3" t="str">
        <x:v>F-06; F-41</x:v>
      </x:c>
      <x:c r="M187" s="3" t="str">
        <x:v>Prior public static request for /apps/gba-ucity/icons/icon-128.png returned HTTP 404. Gameplay not tested. [Prior read-only public HTTP check and source asset resolution trace.]</x:v>
      </x:c>
      <x:c r="N187" s="3" t="str">
        <x:v>E-052</x:v>
      </x:c>
      <x:c r="O187" s="3" t="str">
        <x:v>S-177</x:v>
      </x:c>
      <x:c r="P187" s="3" t="str">
        <x:v>gba-ucity</x:v>
      </x:c>
      <x:c r="Q187" s="3" t="str">
        <x:f>IF(OR(H187='Read Me + Evidence'!$K$6,H187='Read Me + Evidence'!$K$7,H187='Read Me + Evidence'!$K$8,P187='Read Me + Evidence'!$K$9,P187='Read Me + Evidence'!$K$10),'Read Me + Evidence'!$K$12,'Read Me + Evidence'!$K$11)</x:f>
        <x:v>GUI</x:v>
      </x:c>
      <x:c r="R187" s="14" t="n">
        <x:f>IF(AND(Q187='Read Me + Evidence'!$K$11,OR(D187='Read Me + Evidence'!$H$7,D187='Read Me + Evidence'!$H$8,D187='Read Me + Evidence'!$H$9)),1,0)</x:f>
        <x:v>1</x:v>
      </x:c>
      <x:c r="S187" s="14" t="n">
        <x:f>IF(AND(Q187='Read Me + Evidence'!$K$11,D187='Read Me + Evidence'!$H$7),1,0)</x:f>
        <x:v>0</x:v>
      </x:c>
      <x:c r="T187" s="14" t="n">
        <x:f>IF(AND(Q187='Read Me + Evidence'!$K$11,D187&lt;&gt;'Read Me + Evidence'!$H$12),1,0)</x:f>
        <x:v>1</x:v>
      </x:c>
      <x:c r="U187" s="3" t="str"/>
    </x:row>
    <x:row r="188" ht="153" customHeight="1">
      <x:c r="A188" s="3" t="str">
        <x:v>CLI-01</x:v>
      </x:c>
      <x:c r="B188" s="3" t="str">
        <x:v>Home CLI</x:v>
      </x:c>
      <x:c r="C188" s="3" t="str">
        <x:v>Terminal shell navigation</x:v>
      </x:c>
      <x:c r="D188" s="13" t="str">
        <x:v>Fail</x:v>
      </x:c>
      <x:c r="E188" s="3" t="str">
        <x:v>Runtime owns PTY and command authority; capsule owns terminal rendering, not arbitrary host process execution.</x:v>
      </x:c>
      <x:c r="F188"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88" s="3" t="str">
        <x:v>controlled-session</x:v>
      </x:c>
      <x:c r="H188" s="3" t="str">
        <x:v>implemented-source</x:v>
      </x:c>
      <x:c r="I188" s="3" t="str">
        <x:v>Sections; Arrows; Tab; Enter; 1-9; Help; Refresh</x:v>
      </x:c>
      <x:c r="J188" s="3" t="str">
        <x:v>1. Switch Home view
2. Inspect command help and read-only facts
3. Return with q/Esc</x:v>
      </x:c>
      <x:c r="K188" s="3" t="str">
        <x:v>User-approved shell switch</x:v>
      </x:c>
      <x:c r="L188" s="3" t="str">
        <x:v>F-44; F-53; F-60</x:v>
      </x:c>
      <x:c r="M188" s="3" t="str"/>
      <x:c r="N188" s="3" t="str">
        <x:v>E-054; E-057; E-058; E-070; E-071; E-076; E-085; E-086; E-087; E-092; E-093; E-094; E-095; E-096; E-105; E-106</x:v>
      </x:c>
      <x:c r="O188" s="3" t="str">
        <x:v>S-178</x:v>
      </x:c>
      <x:c r="P188" s="3" t="str">
        <x:v>home-cli</x:v>
      </x:c>
      <x:c r="Q188" s="3" t="str">
        <x:f>IF(OR(H188='Read Me + Evidence'!$K$6,H188='Read Me + Evidence'!$K$7,H188='Read Me + Evidence'!$K$8,P188='Read Me + Evidence'!$K$9,P188='Read Me + Evidence'!$K$10),'Read Me + Evidence'!$K$12,'Read Me + Evidence'!$K$11)</x:f>
        <x:v>GUI</x:v>
      </x:c>
      <x:c r="R188" s="14" t="n">
        <x:f>IF(AND(Q188='Read Me + Evidence'!$K$11,OR(D188='Read Me + Evidence'!$H$7,D188='Read Me + Evidence'!$H$8,D188='Read Me + Evidence'!$H$9)),1,0)</x:f>
        <x:v>1</x:v>
      </x:c>
      <x:c r="S188" s="14" t="n">
        <x:f>IF(AND(Q188='Read Me + Evidence'!$K$11,D188='Read Me + Evidence'!$H$7),1,0)</x:f>
        <x:v>0</x:v>
      </x:c>
      <x:c r="T188" s="14" t="n">
        <x:f>IF(AND(Q188='Read Me + Evidence'!$K$11,D188&lt;&gt;'Read Me + Evidence'!$H$12),1,0)</x:f>
        <x:v>1</x:v>
      </x:c>
      <x:c r="U188" s="3" t="str"/>
    </x:row>
    <x:row r="189" ht="153" customHeight="1">
      <x:c r="A189" s="3" t="str">
        <x:v>CLI-02</x:v>
      </x:c>
      <x:c r="B189" s="3" t="str">
        <x:v>Home CLI</x:v>
      </x:c>
      <x:c r="C189" s="3" t="str">
        <x:v>Read-only command topics</x:v>
      </x:c>
      <x:c r="D189" s="13" t="str">
        <x:v>Fail</x:v>
      </x:c>
      <x:c r="E189" s="3" t="str">
        <x:v>CLI mirrors Runtime facts and clearly marks desktop-only actions; empty/unavailable state is honest.</x:v>
      </x:c>
      <x:c r="F189" s="12" t="str">
        <x: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x:v>
      </x:c>
      <x:c r="G189" s="3" t="str">
        <x:v>safe-read-only</x:v>
      </x:c>
      <x:c r="H189" s="3" t="str">
        <x:v>implemented-source</x:v>
      </x:c>
      <x:c r="I189" s="3" t="str">
        <x:v>home/status/summary/whoami; apps; people; inbox; wallet; exits; system</x:v>
      </x:c>
      <x:c r="J189" s="3" t="str">
        <x:v>1. Inspect each topic without executing approval or mutation</x:v>
      </x:c>
      <x:c r="K189" s="3" t="str">
        <x:v>Signed-in Home</x:v>
      </x:c>
      <x:c r="L189" s="3" t="str">
        <x:v>F-44; F-47; F-58</x:v>
      </x:c>
      <x:c r="M189" s="3" t="str"/>
      <x:c r="N189" s="3" t="str">
        <x:v>E-054; E-057; E-058; E-067; E-069; E-070; E-071; E-087; E-088; E-104; E-105; E-106</x:v>
      </x:c>
      <x:c r="O189" s="3" t="str">
        <x:v>S-179</x:v>
      </x:c>
      <x:c r="P189" s="3" t="str">
        <x:v>home-cli</x:v>
      </x:c>
      <x:c r="Q189" s="3" t="str">
        <x:f>IF(OR(H189='Read Me + Evidence'!$K$6,H189='Read Me + Evidence'!$K$7,H189='Read Me + Evidence'!$K$8,P189='Read Me + Evidence'!$K$9,P189='Read Me + Evidence'!$K$10),'Read Me + Evidence'!$K$12,'Read Me + Evidence'!$K$11)</x:f>
        <x:v>GUI</x:v>
      </x:c>
      <x:c r="R189" s="14" t="n">
        <x:f>IF(AND(Q189='Read Me + Evidence'!$K$11,OR(D189='Read Me + Evidence'!$H$7,D189='Read Me + Evidence'!$H$8,D189='Read Me + Evidence'!$H$9)),1,0)</x:f>
        <x:v>1</x:v>
      </x:c>
      <x:c r="S189" s="14" t="n">
        <x:f>IF(AND(Q189='Read Me + Evidence'!$K$11,D189='Read Me + Evidence'!$H$7),1,0)</x:f>
        <x:v>0</x:v>
      </x:c>
      <x:c r="T189" s="14" t="n">
        <x:f>IF(AND(Q189='Read Me + Evidence'!$K$11,D189&lt;&gt;'Read Me + Evidence'!$H$12),1,0)</x:f>
        <x:v>1</x:v>
      </x:c>
      <x:c r="U189" s="3" t="str"/>
    </x:row>
    <x:row r="190" ht="153" customHeight="1">
      <x:c r="A190" s="3" t="str">
        <x:v>CLI-03</x:v>
      </x:c>
      <x:c r="B190" s="3" t="str">
        <x:v>Home CLI</x:v>
      </x:c>
      <x:c r="C190" s="3" t="str">
        <x:v>Declared actions and debug</x:v>
      </x:c>
      <x:c r="D190" s="13" t="str">
        <x:v>Blocked prerequisite</x:v>
      </x:c>
      <x:c r="E190" s="3" t="str">
        <x:v>Descriptors remain distinct from granted authority. High-risk invocation stays blocked until trusted approval.</x:v>
      </x:c>
      <x:c r="F190" s="12" t="str">
        <x: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x:v>
      </x:c>
      <x:c r="G190" s="3" t="str">
        <x:v>privileged-operator</x:v>
      </x:c>
      <x:c r="H190" s="3" t="str">
        <x:v>implemented-source</x:v>
      </x:c>
      <x:c r="I190" s="3" t="str">
        <x:v>invoke list; debug topics; system diagnostics</x:v>
      </x:c>
      <x:c r="J190" s="3" t="str">
        <x:v>1. List declared actions and safe diagnostics only</x:v>
      </x:c>
      <x:c r="K190" s="3" t="str">
        <x:v>Technical inspection; no private evidence capture</x:v>
      </x:c>
      <x:c r="L190" s="3" t="str">
        <x:v>F-60</x:v>
      </x:c>
      <x:c r="M190" s="3" t="str"/>
      <x:c r="N190" s="3" t="str">
        <x:v>E-054; E-071; E-072</x:v>
      </x:c>
      <x:c r="O190" s="3" t="str">
        <x:v>S-180</x:v>
      </x:c>
      <x:c r="P190" s="3" t="str">
        <x:v>home-cli</x:v>
      </x:c>
      <x:c r="Q190" s="3" t="str">
        <x:f>IF(OR(H190='Read Me + Evidence'!$K$6,H190='Read Me + Evidence'!$K$7,H190='Read Me + Evidence'!$K$8,P190='Read Me + Evidence'!$K$9,P190='Read Me + Evidence'!$K$10),'Read Me + Evidence'!$K$12,'Read Me + Evidence'!$K$11)</x:f>
        <x:v>GUI</x:v>
      </x:c>
      <x:c r="R190" s="14" t="n">
        <x:f>IF(AND(Q190='Read Me + Evidence'!$K$11,OR(D190='Read Me + Evidence'!$H$7,D190='Read Me + Evidence'!$H$8,D190='Read Me + Evidence'!$H$9)),1,0)</x:f>
        <x:v>0</x:v>
      </x:c>
      <x:c r="S190" s="14" t="n">
        <x:f>IF(AND(Q190='Read Me + Evidence'!$K$11,D190='Read Me + Evidence'!$H$7),1,0)</x:f>
        <x:v>0</x:v>
      </x:c>
      <x:c r="T190" s="14" t="n">
        <x:f>IF(AND(Q190='Read Me + Evidence'!$K$11,D190&lt;&gt;'Read Me + Evidence'!$H$12),1,0)</x:f>
        <x:v>1</x:v>
      </x:c>
      <x:c r="U190" s="3" t="str"/>
    </x:row>
    <x:row r="191" ht="153" customHeight="1">
      <x:c r="A191" s="3" t="str">
        <x:v>CLI-04</x:v>
      </x:c>
      <x:c r="B191" s="3" t="str">
        <x:v>Home CLI</x:v>
      </x:c>
      <x:c r="C191" s="3" t="str">
        <x:v>Advanced website command</x:v>
      </x:c>
      <x:c r="D191" s="13" t="str">
        <x:v>Blocked prerequisite</x:v>
      </x:c>
      <x:c r="E191" s="3" t="str">
        <x:v>Declared advanced CLI command is not proof of installed public website service. Publication needs separate explicit approval.</x:v>
      </x:c>
      <x:c r="F191" s="12" t="str">
        <x: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x:v>
      </x:c>
      <x:c r="G191" s="3" t="str">
        <x:v>privileged-operator</x:v>
      </x:c>
      <x:c r="H191" s="3" t="str">
        <x:v>implemented-config-gated</x:v>
      </x:c>
      <x:c r="I191" s="3" t="str">
        <x:v>mywebsite status/stage/preview/publish/open</x:v>
      </x:c>
      <x:c r="J191" s="3" t="str">
        <x:v>1. Inspect help only; record absent site/tunnel prerequisites</x:v>
      </x:c>
      <x:c r="K191" s="3" t="str">
        <x:v>Site/tunnel support is not selected by source-home</x:v>
      </x:c>
      <x:c r="L191" s="3" t="str"/>
      <x:c r="M191" s="3" t="str"/>
      <x:c r="N191" s="3" t="str">
        <x:v>E-054; E-071; E-072</x:v>
      </x:c>
      <x:c r="O191" s="3" t="str">
        <x:v>S-181</x:v>
      </x:c>
      <x:c r="P191" s="3" t="str">
        <x:v>home-cli</x:v>
      </x:c>
      <x:c r="Q191" s="3" t="str">
        <x:f>IF(OR(H191='Read Me + Evidence'!$K$6,H191='Read Me + Evidence'!$K$7,H191='Read Me + Evidence'!$K$8,P191='Read Me + Evidence'!$K$9,P191='Read Me + Evidence'!$K$10),'Read Me + Evidence'!$K$12,'Read Me + Evidence'!$K$11)</x:f>
        <x:v>GUI</x:v>
      </x:c>
      <x:c r="R191" s="14" t="n">
        <x:f>IF(AND(Q191='Read Me + Evidence'!$K$11,OR(D191='Read Me + Evidence'!$H$7,D191='Read Me + Evidence'!$H$8,D191='Read Me + Evidence'!$H$9)),1,0)</x:f>
        <x:v>0</x:v>
      </x:c>
      <x:c r="S191" s="14" t="n">
        <x:f>IF(AND(Q191='Read Me + Evidence'!$K$11,D191='Read Me + Evidence'!$H$7),1,0)</x:f>
        <x:v>0</x:v>
      </x:c>
      <x:c r="T191" s="14" t="n">
        <x:f>IF(AND(Q191='Read Me + Evidence'!$K$11,D191&lt;&gt;'Read Me + Evidence'!$H$12),1,0)</x:f>
        <x:v>1</x:v>
      </x:c>
      <x:c r="U191" s="3" t="str"/>
    </x:row>
    <x:row r="192" ht="153" customHeight="1">
      <x:c r="A192" s="3" t="str">
        <x:v>CLI-05</x:v>
      </x:c>
      <x:c r="B192" s="3" t="str">
        <x:v>Home CLI</x:v>
      </x:c>
      <x:c r="C192" s="3" t="str">
        <x:v>Exit/sign-out</x:v>
      </x:c>
      <x:c r="D192" s="13" t="str">
        <x:v>Fail</x:v>
      </x:c>
      <x:c r="E192" s="3" t="str">
        <x:v>Shell exit returns to Desktop. Sign-out ends the authenticated Home session and returns to signed-out /home/.</x:v>
      </x:c>
      <x:c r="F192"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92" s="3" t="str">
        <x:v>controlled-session</x:v>
      </x:c>
      <x:c r="H192" s="3" t="str">
        <x:v>implemented-source</x:v>
      </x:c>
      <x:c r="I192" s="3" t="str">
        <x:v>q/Esc; exit; signout</x:v>
      </x:c>
      <x:c r="J192" s="3" t="str">
        <x:v>1. Return to Desktop with q/Esc
2. Save disposable work
3. Use the separate sign-out action
4. Confirm signed-out /home/ and denied prior-frame access</x:v>
      </x:c>
      <x:c r="K192" s="3" t="str">
        <x:v>Disposable shell/session</x:v>
      </x:c>
      <x:c r="L192" s="3" t="str">
        <x:v>F-44; F-53</x:v>
      </x:c>
      <x:c r="M192" s="3" t="str"/>
      <x:c r="N192" s="3" t="str">
        <x:v>E-054; E-057; E-058; E-070; E-071; E-076; E-085; E-086; E-087; E-092; E-093; E-094; E-095; E-096; E-105; E-106</x:v>
      </x:c>
      <x:c r="O192" s="3" t="str">
        <x:v>S-182</x:v>
      </x:c>
      <x:c r="P192" s="3" t="str">
        <x:v>home-cli</x:v>
      </x:c>
      <x:c r="Q192" s="3" t="str">
        <x:f>IF(OR(H192='Read Me + Evidence'!$K$6,H192='Read Me + Evidence'!$K$7,H192='Read Me + Evidence'!$K$8,P192='Read Me + Evidence'!$K$9,P192='Read Me + Evidence'!$K$10),'Read Me + Evidence'!$K$12,'Read Me + Evidence'!$K$11)</x:f>
        <x:v>GUI</x:v>
      </x:c>
      <x:c r="R192" s="14" t="n">
        <x:f>IF(AND(Q192='Read Me + Evidence'!$K$11,OR(D192='Read Me + Evidence'!$H$7,D192='Read Me + Evidence'!$H$8,D192='Read Me + Evidence'!$H$9)),1,0)</x:f>
        <x:v>1</x:v>
      </x:c>
      <x:c r="S192" s="14" t="n">
        <x:f>IF(AND(Q192='Read Me + Evidence'!$K$11,D192='Read Me + Evidence'!$H$7),1,0)</x:f>
        <x:v>0</x:v>
      </x:c>
      <x:c r="T192" s="14" t="n">
        <x:f>IF(AND(Q192='Read Me + Evidence'!$K$11,D192&lt;&gt;'Read Me + Evidence'!$H$12),1,0)</x:f>
        <x:v>1</x:v>
      </x:c>
      <x:c r="U192" s="3" t="str">
        <x:v>R2, 2026-09-10: sign-out now names /home/. The existing Fail verdict, F-44/F-53 dispositions and installed evidence stay unchanged until their required proof passes.</x:v>
      </x:c>
    </x:row>
    <x:row r="193" ht="153" customHeight="1">
      <x:c r="A193" s="3" t="str">
        <x:v>UX-01</x:v>
      </x:c>
      <x:c r="B193" s="3" t="str">
        <x:v>Cross-app design and accessibility</x:v>
      </x:c>
      <x:c r="C193" s="3" t="str">
        <x:v>Keyboard and focus</x:v>
      </x:c>
      <x:c r="D193" s="13" t="str">
        <x:v>Fail</x:v>
      </x:c>
      <x:c r="E193" s="3" t="str">
        <x:v>Every visible control has a name and keyboard route; dialogs trap/restore focus and do not hide controls.</x:v>
      </x:c>
      <x:c r="F193" s="12" t="str">
        <x: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x:v>
      </x:c>
      <x:c r="G193" s="3" t="str">
        <x:v>safe-read-only</x:v>
      </x:c>
      <x:c r="H193" s="3" t="str">
        <x:v>implemented-source</x:v>
      </x:c>
      <x:c r="I193" s="3" t="str">
        <x:v>Tab/Shift-Tab; Enter/Space; Escape; Menu keys</x:v>
      </x:c>
      <x:c r="J193" s="3" t="str">
        <x:v>1. In each app inspect visible focus
2. Open/close a dialog/menu
3. Return focus</x:v>
      </x:c>
      <x:c r="K193" s="3" t="str">
        <x:v>Applies to all 16 launcher targets plus Home shells</x:v>
      </x:c>
      <x:c r="L193" s="3" t="str">
        <x:v>F-46; F-48</x:v>
      </x:c>
      <x:c r="M193" s="3" t="str"/>
      <x:c r="N193" s="3" t="str">
        <x:v>E-044; E-046; E-049; E-052; E-056</x:v>
      </x:c>
      <x:c r="O193" s="3" t="str">
        <x:v>S-161</x:v>
      </x:c>
      <x:c r="P193" s="3" t="str">
        <x:v>shared</x:v>
      </x:c>
      <x:c r="Q193" s="3" t="str">
        <x:f>IF(OR(H193='Read Me + Evidence'!$K$6,H193='Read Me + Evidence'!$K$7,H193='Read Me + Evidence'!$K$8,P193='Read Me + Evidence'!$K$9,P193='Read Me + Evidence'!$K$10),'Read Me + Evidence'!$K$12,'Read Me + Evidence'!$K$11)</x:f>
        <x:v>GUI</x:v>
      </x:c>
      <x:c r="R193" s="14" t="n">
        <x:f>IF(AND(Q193='Read Me + Evidence'!$K$11,OR(D193='Read Me + Evidence'!$H$7,D193='Read Me + Evidence'!$H$8,D193='Read Me + Evidence'!$H$9)),1,0)</x:f>
        <x:v>1</x:v>
      </x:c>
      <x:c r="S193" s="14" t="n">
        <x:f>IF(AND(Q193='Read Me + Evidence'!$K$11,D193='Read Me + Evidence'!$H$7),1,0)</x:f>
        <x:v>0</x:v>
      </x:c>
      <x:c r="T193" s="14" t="n">
        <x:f>IF(AND(Q193='Read Me + Evidence'!$K$11,D193&lt;&gt;'Read Me + Evidence'!$H$12),1,0)</x:f>
        <x:v>1</x:v>
      </x:c>
      <x:c r="U193" s="3" t="str"/>
    </x:row>
    <x:row r="194" ht="153" customHeight="1">
      <x:c r="A194" s="3" t="str">
        <x:v>UX-02</x:v>
      </x:c>
      <x:c r="B194" s="3" t="str">
        <x:v>Cross-app design and accessibility</x:v>
      </x:c>
      <x:c r="C194" s="3" t="str">
        <x:v>Layout and visual consistency</x:v>
      </x:c>
      <x:c r="D194" s="13" t="str">
        <x:v>Fail</x:v>
      </x:c>
      <x:c r="E194" s="3" t="str">
        <x:v>Text fits, icons resolve, contrast is readable, content stays clear of Home chrome. Avoid cloned rows for each size/color.</x:v>
      </x:c>
      <x:c r="F194" s="12" t="str">
        <x:v>Normal layout reveals Chat heading under Home chrome, unreadable Library Properties/footer in Dark, Archive white pane and missing Home theme logo.F-22/F-27/F-30/F-37. Standard window and app fullscreen paths observed; complete narrow-layout coverage remains open.</x:v>
      </x:c>
      <x:c r="G194" s="3" t="str">
        <x:v>controlled-layout</x:v>
      </x:c>
      <x:c r="H194" s="3" t="str">
        <x:v>implemented-source</x:v>
      </x:c>
      <x:c r="I194" s="3" t="str">
        <x:v>Labels; Tooltips; Icons; Narrow resize; Theme</x:v>
      </x:c>
      <x:c r="J194" s="3" t="str">
        <x:v>1. Inspect one standard and one narrow window per distinct app layout</x:v>
      </x:c>
      <x:c r="K194" s="3" t="str">
        <x:v>All launcher targets; restore layout</x:v>
      </x:c>
      <x:c r="L194" s="3" t="str">
        <x:v>F-22</x:v>
      </x:c>
      <x:c r="M194" s="3" t="str"/>
      <x:c r="N194" s="3" t="str">
        <x:v>E-044; E-045; E-046; E-050</x:v>
      </x:c>
      <x:c r="O194" s="3" t="str">
        <x:v>S-161</x:v>
      </x:c>
      <x:c r="P194" s="3" t="str">
        <x:v>shared</x:v>
      </x:c>
      <x:c r="Q194" s="3" t="str">
        <x:f>IF(OR(H194='Read Me + Evidence'!$K$6,H194='Read Me + Evidence'!$K$7,H194='Read Me + Evidence'!$K$8,P194='Read Me + Evidence'!$K$9,P194='Read Me + Evidence'!$K$10),'Read Me + Evidence'!$K$12,'Read Me + Evidence'!$K$11)</x:f>
        <x:v>GUI</x:v>
      </x:c>
      <x:c r="R194" s="14" t="n">
        <x:f>IF(AND(Q194='Read Me + Evidence'!$K$11,OR(D194='Read Me + Evidence'!$H$7,D194='Read Me + Evidence'!$H$8,D194='Read Me + Evidence'!$H$9)),1,0)</x:f>
        <x:v>1</x:v>
      </x:c>
      <x:c r="S194" s="14" t="n">
        <x:f>IF(AND(Q194='Read Me + Evidence'!$K$11,D194='Read Me + Evidence'!$H$7),1,0)</x:f>
        <x:v>0</x:v>
      </x:c>
      <x:c r="T194" s="14" t="n">
        <x:f>IF(AND(Q194='Read Me + Evidence'!$K$11,D194&lt;&gt;'Read Me + Evidence'!$H$12),1,0)</x:f>
        <x:v>1</x:v>
      </x:c>
      <x:c r="U194" s="3" t="str"/>
    </x:row>
    <x:row r="195" ht="153" customHeight="1">
      <x:c r="A195" s="3" t="str">
        <x:v>UX-03</x:v>
      </x:c>
      <x:c r="B195" s="3" t="str">
        <x:v>Cross-app design and accessibility</x:v>
      </x:c>
      <x:c r="C195" s="3" t="str">
        <x:v>Loading, empty, failed and resumed</x:v>
      </x:c>
      <x:c r="D195" s="13" t="str">
        <x:v>Fail</x:v>
      </x:c>
      <x:c r="E195" s="3" t="str">
        <x:v>Source implementation, configured availability and live outcome remain separate; errors name next safe action without private details.</x:v>
      </x:c>
      <x:c r="F195" s="12" t="str">
        <x:v>Truthful zero-model/zero-wallet/empty catalog states observed. Broken Library retry, ambiguous Player empty state, Browser reopen and inaccessible Terminal recovery remainF-25/F-34/F-43/F-44. Failures arose naturally; existing services were preserved.</x:v>
      </x:c>
      <x:c r="G195" s="3" t="str">
        <x:v>safe-read-only</x:v>
      </x:c>
      <x:c r="H195" s="3" t="str">
        <x:v>implemented-source</x:v>
      </x:c>
      <x:c r="I195" s="3" t="str">
        <x:v>Loading indicators; Empty state; Error; Retry; Reopen</x:v>
      </x:c>
      <x:c r="J195" s="3" t="str">
        <x:v>1. Observe naturally available states; use approved fixtures for failure/restart</x:v>
      </x:c>
      <x:c r="K195" s="3" t="str">
        <x:v>No forced service interruption in active Home</x:v>
      </x:c>
      <x:c r="L195" s="3" t="str"/>
      <x:c r="M195" s="3" t="str"/>
      <x:c r="N195" s="3" t="str">
        <x:v>E-039; E-044; E-047; E-049; E-050; E-053; E-054</x:v>
      </x:c>
      <x:c r="O195" s="3" t="str">
        <x:v>S-161</x:v>
      </x:c>
      <x:c r="P195" s="3" t="str">
        <x:v>shared</x:v>
      </x:c>
      <x:c r="Q195" s="3" t="str">
        <x:f>IF(OR(H195='Read Me + Evidence'!$K$6,H195='Read Me + Evidence'!$K$7,H195='Read Me + Evidence'!$K$8,P195='Read Me + Evidence'!$K$9,P195='Read Me + Evidence'!$K$10),'Read Me + Evidence'!$K$12,'Read Me + Evidence'!$K$11)</x:f>
        <x:v>GUI</x:v>
      </x:c>
      <x:c r="R195" s="14" t="n">
        <x:f>IF(AND(Q195='Read Me + Evidence'!$K$11,OR(D195='Read Me + Evidence'!$H$7,D195='Read Me + Evidence'!$H$8,D195='Read Me + Evidence'!$H$9)),1,0)</x:f>
        <x:v>1</x:v>
      </x:c>
      <x:c r="S195" s="14" t="n">
        <x:f>IF(AND(Q195='Read Me + Evidence'!$K$11,D195='Read Me + Evidence'!$H$7),1,0)</x:f>
        <x:v>0</x:v>
      </x:c>
      <x:c r="T195" s="14" t="n">
        <x:f>IF(AND(Q195='Read Me + Evidence'!$K$11,D195&lt;&gt;'Read Me + Evidence'!$H$12),1,0)</x:f>
        <x:v>1</x:v>
      </x:c>
      <x:c r="U195" s="3" t="str"/>
    </x:row>
    <x:row r="196" ht="153" customHeight="1">
      <x:c r="A196" s="3" t="str">
        <x:v>DEP-01</x:v>
      </x:c>
      <x:c r="B196" s="3" t="str">
        <x:v>Background dependencies (no app control)</x:v>
      </x:c>
      <x:c r="C196" s="3" t="str">
        <x:v>Local identity and object provider plane</x:v>
      </x:c>
      <x:c r="D196" s="13" t="str">
        <x:v>Partially observed</x:v>
      </x:c>
      <x:c r="E196" s="3" t="str">
        <x:v>Runtime owns principal, typed resources and provider selection. Installed manifests alone do not prove provider health.</x:v>
      </x:c>
      <x:c r="F196" s="12" t="str">
        <x:v>The isolated candidate registers the local identity, object, and content providers in both gateway and managed Runtime paths. Authenticated Home, Library content visibility, create-only behavior, and all launcher targets provide current useful proof; negative provider and rights cases still need controlled fixtures.</x:v>
      </x:c>
      <x:c r="G196" s="3" t="str">
        <x:v>safe-read-only</x:v>
      </x:c>
      <x:c r="H196" s="3" t="str">
        <x:v>implemented-source</x:v>
      </x:c>
      <x:c r="I196" s="3" t="str">
        <x:v>System/Services read-only status</x:v>
      </x:c>
      <x:c r="J196" s="3" t="str">
        <x:v>1. Map localhost/did/object/block-graph providers to app journeys</x:v>
      </x:c>
      <x:c r="K196" s="3" t="str">
        <x:v>Installed artifact inspection only</x:v>
      </x:c>
      <x:c r="L196" s="3" t="str"/>
      <x:c r="M196" s="3" t="str"/>
      <x:c r="N196" s="3" t="str">
        <x:v>E-043; E-051; E-054; E-108</x:v>
      </x:c>
      <x:c r="O196" s="3" t="str">
        <x:v>S-183</x:v>
      </x:c>
      <x:c r="P196" s="3" t="str">
        <x:v>runtime-services</x:v>
      </x:c>
      <x:c r="Q196" s="3" t="str">
        <x:f>IF(OR(H196='Read Me + Evidence'!$K$6,H196='Read Me + Evidence'!$K$7,H196='Read Me + Evidence'!$K$8,P196='Read Me + Evidence'!$K$9,P196='Read Me + Evidence'!$K$10),'Read Me + Evidence'!$K$12,'Read Me + Evidence'!$K$11)</x:f>
        <x:v>Source only</x:v>
      </x:c>
      <x:c r="R196" s="14" t="n">
        <x:f>IF(AND(Q196='Read Me + Evidence'!$K$11,OR(D196='Read Me + Evidence'!$H$7,D196='Read Me + Evidence'!$H$8,D196='Read Me + Evidence'!$H$9)),1,0)</x:f>
        <x:v>0</x:v>
      </x:c>
      <x:c r="S196" s="14" t="n">
        <x:f>IF(AND(Q196='Read Me + Evidence'!$K$11,D196='Read Me + Evidence'!$H$7),1,0)</x:f>
        <x:v>0</x:v>
      </x:c>
      <x:c r="T196" s="14" t="n">
        <x:f>IF(AND(Q196='Read Me + Evidence'!$K$11,D196&lt;&gt;'Read Me + Evidence'!$H$12),1,0)</x:f>
        <x:v>0</x:v>
      </x:c>
      <x:c r="U196" s="3" t="str"/>
    </x:row>
    <x:row r="197" ht="153" customHeight="1">
      <x:c r="A197" s="3" t="str">
        <x:v>DEP-02</x:v>
      </x:c>
      <x:c r="B197" s="3" t="str">
        <x:v>Background dependencies (no app control)</x:v>
      </x:c>
      <x:c r="C197" s="3" t="str">
        <x:v>Content and IPFS plane</x:v>
      </x:c>
      <x:c r="D197" s="13" t="str">
        <x:v>Blocked prerequisite</x:v>
      </x:c>
      <x:c r="E197" s="3" t="str">
        <x:v>Content addressing verifies object bytes; backend availability and replication need separate evidence. Apps receive typed content identities.</x:v>
      </x:c>
      <x:c r="F197" s="12" t="str">
        <x:v>Content/IPFS publication and replication require an approved published fixture. E-040also identifies Kubo direct-binary verification gap. No content publication or uncontrolled fetch dispatched.</x:v>
      </x:c>
      <x:c r="G197" s="3" t="str">
        <x:v>controlled-publication</x:v>
      </x:c>
      <x:c r="H197" s="3" t="str">
        <x:v>implemented-source</x:v>
      </x:c>
      <x:c r="I197" s="3" t="str">
        <x:v>Library/Documents publish/status</x:v>
      </x:c>
      <x:c r="J197" s="3" t="str">
        <x:v>1. Map content, ipfs-provider and Kubo to publish/fetch/replication</x:v>
      </x:c>
      <x:c r="K197" s="3" t="str">
        <x:v>Approved published fixture and content backend</x:v>
      </x:c>
      <x:c r="L197" s="3" t="str"/>
      <x:c r="M197" s="3" t="str"/>
      <x:c r="N197" s="3" t="str">
        <x:v>E-040</x:v>
      </x:c>
      <x:c r="O197" s="3" t="str">
        <x:v>S-184, S-161</x:v>
      </x:c>
      <x:c r="P197" s="3" t="str">
        <x:v>runtime-services</x:v>
      </x:c>
      <x:c r="Q197" s="3" t="str">
        <x:f>IF(OR(H197='Read Me + Evidence'!$K$6,H197='Read Me + Evidence'!$K$7,H197='Read Me + Evidence'!$K$8,P197='Read Me + Evidence'!$K$9,P197='Read Me + Evidence'!$K$10),'Read Me + Evidence'!$K$12,'Read Me + Evidence'!$K$11)</x:f>
        <x:v>Source only</x:v>
      </x:c>
      <x:c r="R197" s="14" t="n">
        <x:f>IF(AND(Q197='Read Me + Evidence'!$K$11,OR(D197='Read Me + Evidence'!$H$7,D197='Read Me + Evidence'!$H$8,D197='Read Me + Evidence'!$H$9)),1,0)</x:f>
        <x:v>0</x:v>
      </x:c>
      <x:c r="S197" s="14" t="n">
        <x:f>IF(AND(Q197='Read Me + Evidence'!$K$11,D197='Read Me + Evidence'!$H$7),1,0)</x:f>
        <x:v>0</x:v>
      </x:c>
      <x:c r="T197" s="14" t="n">
        <x:f>IF(AND(Q197='Read Me + Evidence'!$K$11,D197&lt;&gt;'Read Me + Evidence'!$H$12),1,0)</x:f>
        <x:v>0</x:v>
      </x:c>
      <x:c r="U197" s="3" t="str"/>
    </x:row>
    <x:row r="198" ht="153" customHeight="1">
      <x:c r="A198" s="3" t="str">
        <x:v>DEP-03</x:v>
      </x:c>
      <x:c r="B198" s="3" t="str">
        <x:v>Background dependencies (no app control)</x:v>
      </x:c>
      <x:c r="C198" s="3" t="str">
        <x:v>Network/Carrier/Browser plane</x:v>
      </x:c>
      <x:c r="D198" s="13" t="str">
        <x:v>Fail</x:v>
      </x:c>
      <x:c r="E198" s="3" t="str">
        <x:v>Runtime selects endpoint operations; transport and VM topology remain private. Support binaries are not launcher apps.</x:v>
      </x:c>
      <x:c r="F198" s="12" t="str">
        <x:v>Installed net/exit/Browser adapters match their manifests, and first MicroVM page renders. Reopen failsF-43; source Carrier-error privacy repairF-19 and private socket-root repairF-20await installation. Manifest presence alone is not Browser readiness.</x:v>
      </x:c>
      <x:c r="G198" s="3" t="str">
        <x:v>safe-read-only</x:v>
      </x:c>
      <x:c r="H198" s="3" t="str">
        <x:v>implemented-source</x:v>
      </x:c>
      <x:c r="I198" s="3" t="str">
        <x:v>Services/Browser status</x:v>
      </x:c>
      <x:c r="J198" s="3" t="str">
        <x:v>1. Map net/exit/browser-engine-adapter/browser-local-exit and Carrier ownership</x:v>
      </x:c>
      <x:c r="K198" s="3" t="str">
        <x:v>Installed artifact inspection only</x:v>
      </x:c>
      <x:c r="L198" s="3" t="str"/>
      <x:c r="M198" s="3" t="str"/>
      <x:c r="N198" s="3" t="str">
        <x:v>E-041; E-053; E-054</x:v>
      </x:c>
      <x:c r="O198" s="3" t="str">
        <x:v>S-183</x:v>
      </x:c>
      <x:c r="P198" s="3" t="str">
        <x:v>runtime-services</x:v>
      </x:c>
      <x:c r="Q198" s="3" t="str">
        <x:f>IF(OR(H198='Read Me + Evidence'!$K$6,H198='Read Me + Evidence'!$K$7,H198='Read Me + Evidence'!$K$8,P198='Read Me + Evidence'!$K$9,P198='Read Me + Evidence'!$K$10),'Read Me + Evidence'!$K$12,'Read Me + Evidence'!$K$11)</x:f>
        <x:v>Source only</x:v>
      </x:c>
      <x:c r="R198" s="14" t="n">
        <x:f>IF(AND(Q198='Read Me + Evidence'!$K$11,OR(D198='Read Me + Evidence'!$H$7,D198='Read Me + Evidence'!$H$8,D198='Read Me + Evidence'!$H$9)),1,0)</x:f>
        <x:v>0</x:v>
      </x:c>
      <x:c r="S198" s="14" t="n">
        <x:f>IF(AND(Q198='Read Me + Evidence'!$K$11,D198='Read Me + Evidence'!$H$7),1,0)</x:f>
        <x:v>0</x:v>
      </x:c>
      <x:c r="T198" s="14" t="n">
        <x:f>IF(AND(Q198='Read Me + Evidence'!$K$11,D198&lt;&gt;'Read Me + Evidence'!$H$12),1,0)</x:f>
        <x:v>0</x:v>
      </x:c>
      <x:c r="U198" s="3" t="str"/>
    </x:row>
    <x:row r="199" ht="153" customHeight="1">
      <x:c r="A199" s="3" t="str">
        <x:v>DEP-04</x:v>
      </x:c>
      <x:c r="B199" s="3" t="str">
        <x:v>Background dependencies (no app control)</x:v>
      </x:c>
      <x:c r="C199" s="3" t="str">
        <x:v>Wallet/Chain plane</x:v>
      </x:c>
      <x:c r="D199" s="13" t="str">
        <x:v>Blocked prerequisite</x:v>
      </x:c>
      <x:c r="E199" s="3" t="str">
        <x:v>Wallet owns signing/effects; Chain config owns deployed contracts and finalized evidence. Empty config is not permission to invent defaults.</x:v>
      </x:c>
      <x:c r="F199" s="12" t="str">
        <x:v>Wallet has zero accounts; valid private Chain configuration and approved financial fixture are absent. No signer/transaction/default configuration was invented.</x:v>
      </x:c>
      <x:c r="G199" s="3" t="str">
        <x:v>privileged-operator</x:v>
      </x:c>
      <x:c r="H199" s="3" t="str">
        <x:v>implemented-source</x:v>
      </x:c>
      <x:c r="I199" s="3" t="str">
        <x:v>Wallet/System status</x:v>
      </x:c>
      <x:c r="J199" s="3" t="str">
        <x:v>1. Map account/approval and configured Chain evidence to financial journeys</x:v>
      </x:c>
      <x:c r="K199" s="3" t="str">
        <x:v>Operator-approved financial test only</x:v>
      </x:c>
      <x:c r="L199" s="3" t="str"/>
      <x:c r="M199" s="3" t="str"/>
      <x:c r="N199" s="3" t="str">
        <x:v>E-040; E-047</x:v>
      </x:c>
      <x:c r="O199" s="3" t="str">
        <x:v>S-183</x:v>
      </x:c>
      <x:c r="P199" s="3" t="str">
        <x:v>runtime-services</x:v>
      </x:c>
      <x:c r="Q199" s="3" t="str">
        <x:f>IF(OR(H199='Read Me + Evidence'!$K$6,H199='Read Me + Evidence'!$K$7,H199='Read Me + Evidence'!$K$8,P199='Read Me + Evidence'!$K$9,P199='Read Me + Evidence'!$K$10),'Read Me + Evidence'!$K$12,'Read Me + Evidence'!$K$11)</x:f>
        <x:v>Source only</x:v>
      </x:c>
      <x:c r="R199" s="14" t="n">
        <x:f>IF(AND(Q199='Read Me + Evidence'!$K$11,OR(D199='Read Me + Evidence'!$H$7,D199='Read Me + Evidence'!$H$8,D199='Read Me + Evidence'!$H$9)),1,0)</x:f>
        <x:v>0</x:v>
      </x:c>
      <x:c r="S199" s="14" t="n">
        <x:f>IF(AND(Q199='Read Me + Evidence'!$K$11,D199='Read Me + Evidence'!$H$7),1,0)</x:f>
        <x:v>0</x:v>
      </x:c>
      <x:c r="T199" s="14" t="n">
        <x:f>IF(AND(Q199='Read Me + Evidence'!$K$11,D199&lt;&gt;'Read Me + Evidence'!$H$12),1,0)</x:f>
        <x:v>0</x:v>
      </x:c>
      <x:c r="U199" s="3" t="str"/>
    </x:row>
    <x:row r="200" ht="153" customHeight="1">
      <x:c r="A200" s="3" t="str">
        <x:v>DEP-05</x:v>
      </x:c>
      <x:c r="B200" s="3" t="str">
        <x:v>Background dependencies (no app control)</x:v>
      </x:c>
      <x:c r="C200" s="3" t="str">
        <x:v>Private protected provider plane</x:v>
      </x:c>
      <x:c r="D200" s="13" t="str">
        <x:v>Blocked prerequisite</x:v>
      </x:c>
      <x:c r="E200" s="3" t="str">
        <x:v>Four Runtime-only targets stay absent from capsule/public routes. Fresh installation does not supply signed custody/Chain rights configuration.</x:v>
      </x:c>
      <x:c r="F200" s="12" t="str">
        <x:v>Static proof confirms custody composition and Chain configuration are absent. Runtime-private protect/media/custody/decrypt declarations are source facts, not mint/buy/play acceptance. Preserve existing identities and require explicit controlled setup.</x:v>
      </x:c>
      <x:c r="G200" s="3" t="str">
        <x:v>privileged-operator</x:v>
      </x:c>
      <x:c r="H200" s="3" t="str">
        <x:v>implemented-config-gated</x:v>
      </x:c>
      <x:c r="I200" s="3" t="str">
        <x:v>Library state only; no direct provider control</x:v>
      </x:c>
      <x:c r="J200" s="3" t="str">
        <x:v>1. Map protect/media/custody/decrypt readiness prerequisites</x:v>
      </x:c>
      <x:c r="K200" s="3" t="str">
        <x:v>Signed 2-of-3 distinct-operator custody; Chain evidence; Media tools; Availability</x:v>
      </x:c>
      <x:c r="L200" s="3" t="str">
        <x:v>F-10; F-13</x:v>
      </x:c>
      <x:c r="M200" s="3" t="str"/>
      <x:c r="N200" s="3" t="str">
        <x:v>E-040</x:v>
      </x:c>
      <x:c r="O200" s="3" t="str">
        <x:v>S-183</x:v>
      </x:c>
      <x:c r="P200" s="3" t="str">
        <x:v>runtime-services</x:v>
      </x:c>
      <x:c r="Q200" s="3" t="str">
        <x:f>IF(OR(H200='Read Me + Evidence'!$K$6,H200='Read Me + Evidence'!$K$7,H200='Read Me + Evidence'!$K$8,P200='Read Me + Evidence'!$K$9,P200='Read Me + Evidence'!$K$10),'Read Me + Evidence'!$K$12,'Read Me + Evidence'!$K$11)</x:f>
        <x:v>Source only</x:v>
      </x:c>
      <x:c r="R200" s="14" t="n">
        <x:f>IF(AND(Q200='Read Me + Evidence'!$K$11,OR(D200='Read Me + Evidence'!$H$7,D200='Read Me + Evidence'!$H$8,D200='Read Me + Evidence'!$H$9)),1,0)</x:f>
        <x:v>0</x:v>
      </x:c>
      <x:c r="S200" s="14" t="n">
        <x:f>IF(AND(Q200='Read Me + Evidence'!$K$11,D200='Read Me + Evidence'!$H$7),1,0)</x:f>
        <x:v>0</x:v>
      </x:c>
      <x:c r="T200" s="14" t="n">
        <x:f>IF(AND(Q200='Read Me + Evidence'!$K$11,D200&lt;&gt;'Read Me + Evidence'!$H$12),1,0)</x:f>
        <x:v>0</x:v>
      </x:c>
      <x:c r="U200" s="3" t="str"/>
    </x:row>
    <x:row r="201" ht="153" customHeight="1">
      <x:c r="A201" s="3" t="str">
        <x:v>DEP-06</x:v>
      </x:c>
      <x:c r="B201" s="3" t="str">
        <x:v>Background dependencies (no app control)</x:v>
      </x:c>
      <x:c r="C201" s="3" t="str">
        <x:v>WebSpace plane</x:v>
      </x:c>
      <x:c r="D201" s="13" t="str">
        <x:v>Partially observed</x:v>
      </x:c>
      <x:c r="E201" s="3" t="str">
        <x:v>WebSpace access is provider-owned and capability-bound. Absent mounts are empty/unavailable, not proof of a general storage manager.</x:v>
      </x:c>
      <x:c r="F201" s="12" t="str">
        <x:v>Library Spaces root shows two entries; installed WebSpace provider verifies its manifest. No existing mount contents were inspected or written. General provider capability/negative proof needs a dedicated authorized mount.</x:v>
      </x:c>
      <x:c r="G201" s="3" t="str">
        <x:v>safe-read-only</x:v>
      </x:c>
      <x:c r="H201" s="3" t="str">
        <x:v>implemented-config-gated</x:v>
      </x:c>
      <x:c r="I201" s="3" t="str">
        <x:v>Library WebSpaces root</x:v>
      </x:c>
      <x:c r="J201" s="3" t="str">
        <x:v>1. Inspect available typed provider-backed WebSpace root</x:v>
      </x:c>
      <x:c r="K201" s="3" t="str">
        <x:v>Configured authorized WebSpace if any</x:v>
      </x:c>
      <x:c r="L201" s="3" t="str"/>
      <x:c r="M201" s="3" t="str"/>
      <x:c r="N201" s="3" t="str">
        <x:v>E-044; E-054</x:v>
      </x:c>
      <x:c r="O201" s="3" t="str">
        <x:v>S-185, S-058</x:v>
      </x:c>
      <x:c r="P201" s="3" t="str">
        <x:v>runtime-services</x:v>
      </x:c>
      <x:c r="Q201" s="3" t="str">
        <x:f>IF(OR(H201='Read Me + Evidence'!$K$6,H201='Read Me + Evidence'!$K$7,H201='Read Me + Evidence'!$K$8,P201='Read Me + Evidence'!$K$9,P201='Read Me + Evidence'!$K$10),'Read Me + Evidence'!$K$12,'Read Me + Evidence'!$K$11)</x:f>
        <x:v>Source only</x:v>
      </x:c>
      <x:c r="R201" s="14" t="n">
        <x:f>IF(AND(Q201='Read Me + Evidence'!$K$11,OR(D201='Read Me + Evidence'!$H$7,D201='Read Me + Evidence'!$H$8,D201='Read Me + Evidence'!$H$9)),1,0)</x:f>
        <x:v>0</x:v>
      </x:c>
      <x:c r="S201" s="14" t="n">
        <x:f>IF(AND(Q201='Read Me + Evidence'!$K$11,D201='Read Me + Evidence'!$H$7),1,0)</x:f>
        <x:v>0</x:v>
      </x:c>
      <x:c r="T201" s="14" t="n">
        <x:f>IF(AND(Q201='Read Me + Evidence'!$K$11,D201&lt;&gt;'Read Me + Evidence'!$H$12),1,0)</x:f>
        <x:v>0</x:v>
      </x:c>
      <x:c r="U201" s="3" t="str"/>
    </x:row>
    <x:row r="202" ht="153" customHeight="1">
      <x:c r="A202" s="3" t="str">
        <x:v>AUTH-11</x:v>
      </x:c>
      <x:c r="B202" s="3" t="str">
        <x:v>Home / entry</x:v>
      </x:c>
      <x:c r="C202" s="3" t="str">
        <x:v>Canonical Home and old bookmarks</x:v>
      </x:c>
      <x:c r="D202" s="3" t="str">
        <x:v>Not run</x:v>
      </x:c>
      <x:c r="E202" s="3" t="str">
        <x:v>/home redirects to /home/. Old Home roots reach that entry; prior assets remain usable. Both manifest URLs retain installed app id /apps/home/ with /home/ start and scope. Existing installed shortcuts reach usable Home. Runtime keeps capsule and API authority.</x:v>
      </x:c>
      <x:c r="F202" s="58" t="str">
        <x:v>Pending target proof for R2. Route source is under review; the register has no installed verdict for this candidate.</x:v>
      </x:c>
      <x:c r="G202" s="3" t="str">
        <x:v>controlled-session</x:v>
      </x:c>
      <x:c r="H202" s="3" t="str">
        <x:v>implemented-source</x:v>
      </x:c>
      <x:c r="I202" s="3" t="str">
        <x:v>Open Home; old bookmark; reload; ordinary app</x:v>
      </x:c>
      <x:c r="J202" s="3" t="str">
        <x:v>1. Open /home and old Home roots with a harmless query
2. Check modules and both manifest URLs
3. Check retained asset URL
4. Launch an existing installed shortcut
5. Sign in, open app, check API/events and reload</x:v>
      </x:c>
      <x:c r="K202" s="3" t="str">
        <x:v>Approved target and matching artifact receipt; existing installed shortcut; disposable session; user-controlled sign-in</x:v>
      </x:c>
      <x:c r="L202" s="3" t="str"/>
      <x:c r="M202" s="3" t="str"/>
      <x:c r="N202" s="3" t="str"/>
      <x:c r="O202" s="3" t="str">
        <x:v>docs/EXECUTION.md; elastos/crates/elastos-server/src/api/browser_capsules.rs</x:v>
      </x:c>
      <x:c r="P202" s="3" t="str">
        <x:v>home</x:v>
      </x:c>
      <x:c r="Q202" s="3" t="str">
        <x:f>IF(OR(H202='Read Me + Evidence'!$K$6,H202='Read Me + Evidence'!$K$7,H202='Read Me + Evidence'!$K$8,P202='Read Me + Evidence'!$K$9,P202='Read Me + Evidence'!$K$10),'Read Me + Evidence'!$K$12,'Read Me + Evidence'!$K$11)</x:f>
        <x:v>GUI</x:v>
      </x:c>
      <x:c r="R202" s="14" t="n">
        <x:f>IF(AND(Q202='Read Me + Evidence'!$K$11,OR(D202='Read Me + Evidence'!$H$7,D202='Read Me + Evidence'!$H$8,D202='Read Me + Evidence'!$H$9)),1,0)</x:f>
        <x:v>0</x:v>
      </x:c>
      <x:c r="S202" s="14" t="n">
        <x:f>IF(AND(Q202='Read Me + Evidence'!$K$11,D202='Read Me + Evidence'!$H$7),1,0)</x:f>
        <x:v>0</x:v>
      </x:c>
      <x:c r="T202" s="14" t="n">
        <x:f>IF(AND(Q202='Read Me + Evidence'!$K$11,D202&lt;&gt;'Read Me + Evidence'!$H$12),1,0)</x:f>
        <x:v>1</x:v>
      </x:c>
      <x:c r="U202" s="3" t="str">
        <x:v>R2, 2026-09-10. C1-home/C1-seed. Installed-shortcut migration needs target proof. Preserve AUTH-04, AUTH-05 and CLI-05 proof boundaries.</x:v>
      </x:c>
    </x:row>
    <x:row r="203" ht="153" customHeight="1">
      <x:c r="A203" s="3" t="str">
        <x:v>SITE-01</x:v>
      </x:c>
      <x:c r="B203" s="3" t="str">
        <x:v>Public website</x:v>
      </x:c>
      <x:c r="C203" s="3" t="str">
        <x:v>Read storefront and open Home</x:v>
      </x:c>
      <x:c r="D203" s="3" t="str">
        <x:v>Not run</x:v>
      </x:c>
      <x:c r="E203" s="3" t="str">
        <x:v>The storefront explains available use and keeps hosted Home, source and public download facts distinct. Open Home uses same-origin /home/. Desktop, mobile and keyboard actions remain clear and usable.</x:v>
      </x:c>
      <x:c r="F203" s="58" t="str">
        <x:v>Pending target proof for R2. A source draft or local preview alone does not prove the seed serves this candidate.</x:v>
      </x:c>
      <x:c r="G203" s="3" t="str">
        <x:v>safe-read-only</x:v>
      </x:c>
      <x:c r="H203" s="3" t="str">
        <x:v>implemented-source</x:v>
      </x:c>
      <x:c r="I203" s="3" t="str">
        <x:v>Open Home; source guide; release evidence; keyboard navigation</x:v>
      </x:c>
      <x:c r="J203" s="3" t="str">
        <x:v>1. Open the public root at desktop and mobile widths
2. Use keyboard focus and links
3. Select Open Home and confirm same-origin /home/
4. Follow the source guide and release evidence links</x:v>
      </x:c>
      <x:c r="K203" s="3" t="str">
        <x:v>Reviewed site on approved target; served artifact receipt; desktop/mobile browser and keyboard; public Home entry</x:v>
      </x:c>
      <x:c r="L203" s="3" t="str"/>
      <x:c r="M203" s="3" t="str"/>
      <x:c r="N203" s="3" t="str"/>
      <x:c r="O203" s="3" t="str">
        <x:v>docs/EXECUTION.md; website/elastos/index.html; website/elastos/site.mjs</x:v>
      </x:c>
      <x:c r="P203" s="3" t="str">
        <x:v>website</x:v>
      </x:c>
      <x:c r="Q203" s="3" t="str">
        <x:f>IF(OR(H203='Read Me + Evidence'!$K$6,H203='Read Me + Evidence'!$K$7,H203='Read Me + Evidence'!$K$8,P203='Read Me + Evidence'!$K$9,P203='Read Me + Evidence'!$K$10),'Read Me + Evidence'!$K$12,'Read Me + Evidence'!$K$11)</x:f>
        <x:v>GUI</x:v>
      </x:c>
      <x:c r="R203" s="14" t="n">
        <x:f>IF(AND(Q203='Read Me + Evidence'!$K$11,OR(D203='Read Me + Evidence'!$H$7,D203='Read Me + Evidence'!$H$8,D203='Read Me + Evidence'!$H$9)),1,0)</x:f>
        <x:v>0</x:v>
      </x:c>
      <x:c r="S203" s="14" t="n">
        <x:f>IF(AND(Q203='Read Me + Evidence'!$K$11,D203='Read Me + Evidence'!$H$7),1,0)</x:f>
        <x:v>0</x:v>
      </x:c>
      <x:c r="T203" s="14" t="n">
        <x:f>IF(AND(Q203='Read Me + Evidence'!$K$11,D203&lt;&gt;'Read Me + Evidence'!$H$12),1,0)</x:f>
        <x:v>1</x:v>
      </x:c>
      <x:c r="U203" s="3" t="str">
        <x:v>R2, 2026-09-10. C1-site/C1-seed. Full release and installer acceptance stay in J1-J5/C6.</x:v>
      </x:c>
    </x:row>
    <x:row r="204" ht="153" customHeight="1">
      <x:c r="A204" s="3" t="str">
        <x:v>SITE-02</x:v>
      </x:c>
      <x:c r="B204" s="3" t="str">
        <x:v>Public website</x:v>
      </x:c>
      <x:c r="C204" s="3" t="str">
        <x:v>Installer metadata and failure states</x:v>
      </x:c>
      <x:c r="D204" s="3" t="str">
        <x:v>Not run</x:v>
      </x:c>
      <x:c r="E204" s="3" t="str">
        <x:v>Installer availability needs matching release facts, the selected platform and its recorded install proof. Missing, malformed, inconsistent or unsupported data leaves an honest usable action. A displayed SHA-256 is a checksum; installer signature verification has its own claim.</x:v>
      </x:c>
      <x:c r="F204" s="58" t="str">
        <x:v>Pending target proof for R2. Controlled metadata responses must be observed through the rendered page before a live verdict.</x:v>
      </x:c>
      <x:c r="G204" s="3" t="str">
        <x:v>safe-read-only</x:v>
      </x:c>
      <x:c r="H204" s="3" t="str">
        <x:v>implemented-source</x:v>
      </x:c>
      <x:c r="I204" s="3" t="str">
        <x:v>Platform selector; installer action; source guide; metadata and checksum</x:v>
      </x:c>
      <x:c r="J204" s="3" t="str">
        <x:v>1. Inspect matching release/platform with and without install proof
2. Select an unsupported platform
3. Exercise missing, malformed and mismatched metadata
4. Confirm unavailable installer action and usable source/Home links
5. Check checksum wording</x:v>
      </x:c>
      <x:c r="K204" s="3" t="str">
        <x:v>Isolated response fixtures on the reviewed page; approved target smoke with its real metadata; avoid changing the public publisher</x:v>
      </x:c>
      <x:c r="L204" s="3" t="str"/>
      <x:c r="M204" s="3" t="str"/>
      <x:c r="N204" s="3" t="str"/>
      <x:c r="O204" s="3" t="str">
        <x:v>docs/EXECUTION.md; website/elastos/site.mjs; website/elastos/claims.json</x:v>
      </x:c>
      <x:c r="P204" s="3" t="str">
        <x:v>website</x:v>
      </x:c>
      <x:c r="Q204" s="3" t="str">
        <x:f>IF(OR(H204='Read Me + Evidence'!$K$6,H204='Read Me + Evidence'!$K$7,H204='Read Me + Evidence'!$K$8,P204='Read Me + Evidence'!$K$9,P204='Read Me + Evidence'!$K$10),'Read Me + Evidence'!$K$12,'Read Me + Evidence'!$K$11)</x:f>
        <x:v>GUI</x:v>
      </x:c>
      <x:c r="R204" s="14" t="n">
        <x:f>IF(AND(Q204='Read Me + Evidence'!$K$11,OR(D204='Read Me + Evidence'!$H$7,D204='Read Me + Evidence'!$H$8,D204='Read Me + Evidence'!$H$9)),1,0)</x:f>
        <x:v>0</x:v>
      </x:c>
      <x:c r="S204" s="14" t="n">
        <x:f>IF(AND(Q204='Read Me + Evidence'!$K$11,D204='Read Me + Evidence'!$H$7),1,0)</x:f>
        <x:v>0</x:v>
      </x:c>
      <x:c r="T204" s="14" t="n">
        <x:f>IF(AND(Q204='Read Me + Evidence'!$K$11,D204&lt;&gt;'Read Me + Evidence'!$H$12),1,0)</x:f>
        <x:v>1</x:v>
      </x:c>
      <x:c r="U204" s="3" t="str">
        <x:v>R2, 2026-09-10. C1-site/C1-proof. Fixtures prove page behavior; record real served metadata and installer acceptance separately.</x:v>
      </x:c>
    </x:row>
  </x:sheetData>
  <x:mergeCells>
    <x:mergeCell ref="A1:F1"/>
    <x:mergeCell ref="A2:F3"/>
  </x:mergeCells>
  <x:conditionalFormatting sqref="D7:D201">
    <x:cfRule type="cellIs" dxfId="0" priority="1" operator="equal">
      <x:formula>"Pass"</x:formula>
    </x:cfRule>
    <x:cfRule type="cellIs" dxfId="1" priority="2" operator="equal">
      <x:formula>"Fail"</x:formula>
    </x:cfRule>
    <x:cfRule type="cellIs" dxfId="2" priority="3" operator="equal">
      <x:formula>"Partially observed"</x:formula>
    </x:cfRule>
    <x:cfRule type="cellIs" dxfId="3" priority="4" operator="equal">
      <x:formula>"Blocked prerequisite"</x:formula>
    </x:cfRule>
    <x:cfRule type="cellIs" dxfId="4" priority="5" operator="equal">
      <x:formula>"Blocked tool"</x:formula>
    </x:cfRule>
    <x:cfRule type="cellIs" dxfId="5" priority="6" operator="equal">
      <x:formula>"Not run"</x:formula>
    </x:cfRule>
  </x:conditionalFormatting>
  <x:conditionalFormatting sqref="D202:D204">
    <x:cfRule type="cellIs" dxfId="37" priority="7" operator="equal">
      <x:formula>"Pass"</x:formula>
    </x:cfRule>
    <x:cfRule type="cellIs" dxfId="38" priority="8" operator="equal">
      <x:formula>"Fail"</x:formula>
    </x:cfRule>
    <x:cfRule type="cellIs" dxfId="39" priority="9" operator="equal">
      <x:formula>"Partially observed"</x:formula>
    </x:cfRule>
    <x:cfRule type="cellIs" dxfId="40" priority="10" operator="equal">
      <x:formula>"Blocked prerequisite"</x:formula>
    </x:cfRule>
    <x:cfRule type="cellIs" dxfId="41" priority="11" operator="equal">
      <x:formula>"Blocked tool"</x:formula>
    </x:cfRule>
    <x:cfRule type="cellIs" dxfId="42" priority="12" operator="equal">
      <x:formula>"Not run"</x:formula>
    </x:cfRule>
  </x:conditionalFormatting>
  <x:dataValidations count="2">
    <x:dataValidation type="list" sqref="D7:D201">
      <x:formula1>"Not run,Pass,Fail,Partially observed,Blocked prerequisite,Blocked tool,Not applicable"</x:formula1>
    </x:dataValidation>
    <x:dataValidation type="list" sqref="D202:D204">
      <x:formula1>"Not run,Pass,Fail,Partially observed,Blocked prerequisite,Blocked tool,Not applicable"</x:formula1>
    </x:dataValidation>
  </x:dataValidations>
  <x:pageMargins left="0.7" right="0.7" top="0.75" bottom="0.75" header="0.3" footer="0.3"/>
  <x:tableParts count="1">
    <x:tablePart xmlns:r="http://schemas.openxmlformats.org/officeDocument/2006/relationships" r:id="Rc0dbeacf9bbe4b8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35a34facaec94985"/>
    <x:tablePart xmlns:r="http://schemas.openxmlformats.org/officeDocument/2006/relationships" r:id="R9c2f776b02f847f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Fixed and installed-verified</x:v>
      </x:c>
      <x:c r="F8" s="3" t="str">
        <x:v>Focused source tests plus isolated installed candidate proof</x:v>
      </x:c>
      <x:c r="G8" s="3" t="str">
        <x:v>Assistant reaches the valid zero-offer state. Model execution begins after an approved compatible offer is configured.</x:v>
      </x:c>
      <x:c r="H8" s="3" t="str">
        <x:v>The old model parser accepted fewer fields than Runtime's shared Init envelope.</x:v>
      </x:c>
      <x:c r="I8" s="3" t="str">
        <x:v>Keep the shared Init contract and strict offer validation in regression coverage.</x:v>
      </x:c>
      <x:c r="J8" s="3" t="str">
        <x:v>Runtime Init, readiness, and Assistant zero-offer behavior pass with matching installed artifacts.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1bd54ba27e3849c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c5c8594e64cb47d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109999656677246" hidden="0" customWidth="1"/>
    <x:col min="2" max="2" width="16.110000610351562" hidden="0" customWidth="1"/>
    <x:col min="3" max="3" width="27.110000610351562" hidden="0" customWidth="1"/>
    <x:col min="4" max="4" width="55" hidden="0" customWidth="1"/>
    <x:col min="5" max="5" width="21.329999923706055" hidden="0" customWidth="1"/>
    <x:col min="6" max="6" width="38.33000183105469" hidden="0" customWidth="1"/>
    <x:col min="7" max="7" width="2.6700000762939453" hidden="0" customWidth="1"/>
    <x:col min="8" max="8" width="18.440000534057617" hidden="0" customWidth="1"/>
    <x:col min="9" max="9" width="12.220000267028809" hidden="0" customWidth="1"/>
    <x:col min="10" max="10" width="3.109999895095825" hidden="0" customWidth="1"/>
    <x:col min="11" max="11" width="22.219999313354492" hidden="0" customWidth="1"/>
    <x:col min="12" max="12" width="22.219999313354492" hidden="0" customWidth="1"/>
  </x:cols>
  <x:sheetData>
    <x:row r="1" ht="31.5" customHeight="1">
      <x:c r="A1" s="6" t="str">
        <x:v>Read Me + Evidence</x:v>
      </x:c>
      <x:c r="B1" s="6" t="str">
        <x:v>Read Me + Evidence</x:v>
      </x:c>
      <x:c r="C1" s="6" t="str">
        <x:v>Read Me + Evidence</x:v>
      </x:c>
      <x:c r="D1" s="6" t="str">
        <x:v>Read Me + Evidence</x:v>
      </x:c>
      <x:c r="E1" s="6" t="str">
        <x:v>Read Me + Evidence</x:v>
      </x:c>
      <x:c r="F1" s="6" t="str">
        <x:v>Read Me + Evidence</x:v>
      </x:c>
      <x:c r="G1" s="3"/>
      <x:c r="H1" s="3"/>
      <x:c r="I1" s="3"/>
      <x:c r="J1" s="3"/>
      <x:c r="K1" s="3"/>
      <x:c r="L1" s="3"/>
    </x:row>
    <x:row r="2" ht="16.5" customHeight="1">
      <x:c r="A2" s="9" t="str">
        <x:v>CURRENT INSTALLED AUDIT | This workbook separates source coverage from observed product behavior.</x:v>
      </x:c>
      <x:c r="B2" s="9" t="str">
        <x:v>CURRENT INSTALLED AUDIT | This workbook separates source coverage from observed product behavior.</x:v>
      </x:c>
      <x:c r="C2" s="9" t="str">
        <x:v>CURRENT INSTALLED AUDIT | This workbook separates source coverage from observed product behavior.</x:v>
      </x:c>
      <x:c r="D2" s="9" t="str">
        <x:v>CURRENT INSTALLED AUDIT | This workbook separates source coverage from observed product behavior.</x:v>
      </x:c>
      <x:c r="E2" s="9" t="str">
        <x:v>CURRENT INSTALLED AUDIT | This workbook separates source coverage from observed product behavior.</x:v>
      </x:c>
      <x:c r="F2" s="9" t="str">
        <x:v>CURRENT INSTALLED AUDIT | This workbook separates source coverage from observed product behavior.</x:v>
      </x:c>
      <x:c r="G2" s="3"/>
      <x:c r="H2" s="3"/>
      <x:c r="I2" s="3"/>
      <x:c r="J2" s="3"/>
      <x:c r="K2" s="3"/>
      <x:c r="L2" s="3"/>
    </x:row>
    <x:row r="3" ht="16.5" customHeight="1">
      <x:c r="A3" s="9" t="str">
        <x:v>CURRENT INSTALLED AUDIT | This workbook separates source coverage from observed product behavior.</x:v>
      </x:c>
      <x:c r="B3" s="9" t="str">
        <x:v>CURRENT INSTALLED AUDIT | This workbook separates source coverage from observed product behavior.</x:v>
      </x:c>
      <x:c r="C3" s="9" t="str">
        <x:v>CURRENT INSTALLED AUDIT | This workbook separates source coverage from observed product behavior.</x:v>
      </x:c>
      <x:c r="D3" s="9" t="str">
        <x:v>CURRENT INSTALLED AUDIT | This workbook separates source coverage from observed product behavior.</x:v>
      </x:c>
      <x:c r="E3" s="9" t="str">
        <x:v>CURRENT INSTALLED AUDIT | This workbook separates source coverage from observed product behavior.</x:v>
      </x:c>
      <x:c r="F3" s="9" t="str">
        <x:v>CURRENT INSTALLED AUDIT | This workbook separates source coverage from observed product behavior.</x:v>
      </x:c>
      <x:c r="G3" s="3"/>
      <x:c r="H3" s="3"/>
      <x:c r="I3" s="3"/>
      <x:c r="J3" s="3"/>
      <x:c r="K3" s="3"/>
      <x:c r="L3" s="3"/>
    </x:row>
    <x:row r="4" ht="9" customHeight="1">
      <x:c r="A4" s="3"/>
      <x:c r="B4" s="3"/>
      <x:c r="C4" s="3"/>
      <x:c r="D4" s="3"/>
      <x:c r="E4" s="3"/>
      <x:c r="F4" s="3"/>
      <x:c r="G4" s="3"/>
      <x:c r="H4" s="3"/>
      <x:c r="I4" s="3"/>
      <x:c r="J4" s="3"/>
      <x:c r="K4" s="3"/>
      <x:c r="L4" s="3"/>
    </x:row>
    <x:row r="5" ht="36" customHeight="1">
      <x:c r="A5" s="19" t="str">
        <x:v>Purpose</x:v>
      </x:c>
      <x:c r="B5" s="19" t="str">
        <x:v>Purpose</x:v>
      </x:c>
      <x:c r="C5" s="23" t="str">
        <x:v>Expected versus actual Home/app audit. Source map completion is not execution or product acceptance.</x:v>
      </x:c>
      <x:c r="D5" s="23" t="str">
        <x:v>Expected versus actual Home/app audit. Source map completion is not execution or product acceptance.</x:v>
      </x:c>
      <x:c r="E5" s="23" t="str">
        <x:v>Expected versus actual Home/app audit. Source map completion is not execution or product acceptance.</x:v>
      </x:c>
      <x:c r="F5" s="23" t="str">
        <x:v>Expected versus actual Home/app audit. Source map completion is not execution or product acceptance.</x:v>
      </x:c>
      <x:c r="G5" s="3"/>
      <x:c r="H5" s="7" t="str">
        <x:v>Live status</x:v>
      </x:c>
      <x:c r="I5" s="7" t="str">
        <x:v>Executed GUI?</x:v>
      </x:c>
      <x:c r="J5" s="3"/>
      <x:c r="K5" s="7" t="str">
        <x:v>Scope rules</x:v>
      </x:c>
      <x:c r="L5" s="7" t="str">
        <x:v>Meaning</x:v>
      </x:c>
    </x:row>
    <x:row r="6" ht="36" customHeight="1">
      <x:c r="A6" s="19" t="str">
        <x:v>Source</x:v>
      </x:c>
      <x:c r="B6" s="19" t="str">
        <x:v>Source</x:v>
      </x:c>
      <x:c r="C6" s="23" t="str">
        <x:v>feat/0.7.1-candidate @ 37b4195acb5dd9db3cef2bc0ba225af1c368529b | tree 368714246c7f227f63cc1c7548b90eacd6631585</x:v>
      </x:c>
      <x:c r="D6" s="23" t="str">
        <x:v>feat/0.7.1-candidate @ 37b4195acb5dd9db3cef2bc0ba225af1c368529b | tree 368714246c7f227f63cc1c7548b90eacd6631585</x:v>
      </x:c>
      <x:c r="E6" s="23" t="str">
        <x:v>feat/0.7.1-candidate @ 37b4195acb5dd9db3cef2bc0ba225af1c368529b | tree 368714246c7f227f63cc1c7548b90eacd6631585</x:v>
      </x:c>
      <x:c r="F6" s="23" t="str">
        <x:v>feat/0.7.1-candidate @ 37b4195acb5dd9db3cef2bc0ba225af1c368529b | tree 368714246c7f227f63cc1c7548b90eacd6631585</x:v>
      </x:c>
      <x:c r="G6" s="3"/>
      <x:c r="H6" s="3" t="str">
        <x:v>Not run</x:v>
      </x:c>
      <x:c r="I6" s="14" t="n">
        <x:v>0</x:v>
      </x:c>
      <x:c r="J6" s="3"/>
      <x:c r="K6" s="3" t="str">
        <x:v>planned</x:v>
      </x:c>
      <x:c r="L6" s="3" t="str">
        <x:v>Source only</x:v>
      </x:c>
    </x:row>
    <x:row r="7" ht="36" customHeight="1">
      <x:c r="A7" s="19" t="str">
        <x:v>Installed baseline</x:v>
      </x:c>
      <x:c r="B7" s="19" t="str">
        <x:v>Installed baseline</x:v>
      </x:c>
      <x:c r="C7" s="23" t="str">
        <x:v>Isolated source-home install on localhost:61380: 33 installed capsule manifests and 16 launcher targets. Existing account, passkey, Wallet, and user data remain in the isolated test root.</x:v>
      </x:c>
      <x:c r="D7" s="23" t="str">
        <x:v>Isolated source-home install on localhost:61380: 33 installed capsule manifests and 16 launcher targets. Existing account, passkey, Wallet, and user data remain in the isolated test root.</x:v>
      </x:c>
      <x:c r="E7" s="23" t="str">
        <x:v>Isolated source-home install on localhost:61380: 33 installed capsule manifests and 16 launcher targets. Existing account, passkey, Wallet, and user data remain in the isolated test root.</x:v>
      </x:c>
      <x:c r="F7" s="23" t="str">
        <x:v>Isolated source-home install on localhost:61380: 33 installed capsule manifests and 16 launcher targets. Existing account, passkey, Wallet, and user data remain in the isolated test root.</x:v>
      </x:c>
      <x:c r="G7" s="3"/>
      <x:c r="H7" s="3" t="str">
        <x:v>Pass</x:v>
      </x:c>
      <x:c r="I7" s="14" t="n">
        <x:v>1</x:v>
      </x:c>
      <x:c r="J7" s="3"/>
      <x:c r="K7" s="3" t="str">
        <x:v>runtime-only-no-ui</x:v>
      </x:c>
      <x:c r="L7" s="3" t="str">
        <x:v>Source only</x:v>
      </x:c>
    </x:row>
    <x:row r="8" ht="36" customHeight="1">
      <x:c r="A8" s="19" t="str">
        <x:v>Manifest SHA-256</x:v>
      </x:c>
      <x:c r="B8" s="19" t="str">
        <x:v>Manifest SHA-256</x:v>
      </x:c>
      <x:c r="C8" s="23" t="str">
        <x:v>76eb9ed880aebf6a0e71256c88d38e2966eaee96be34b998475e3ddca2f79dc6</x:v>
      </x:c>
      <x:c r="D8" s="23" t="str">
        <x:v>76eb9ed880aebf6a0e71256c88d38e2966eaee96be34b998475e3ddca2f79dc6</x:v>
      </x:c>
      <x:c r="E8" s="23" t="str">
        <x:v>76eb9ed880aebf6a0e71256c88d38e2966eaee96be34b998475e3ddca2f79dc6</x:v>
      </x:c>
      <x:c r="F8" s="23" t="str">
        <x:v>76eb9ed880aebf6a0e71256c88d38e2966eaee96be34b998475e3ddca2f79dc6</x:v>
      </x:c>
      <x:c r="G8" s="3"/>
      <x:c r="H8" s="3" t="str">
        <x:v>Fail</x:v>
      </x:c>
      <x:c r="I8" s="14" t="n">
        <x:v>1</x:v>
      </x:c>
      <x:c r="J8" s="3"/>
      <x:c r="K8" s="3" t="str">
        <x:v>declared-only</x:v>
      </x:c>
      <x:c r="L8" s="3" t="str">
        <x:v>Source only</x:v>
      </x:c>
    </x:row>
    <x:row r="9" ht="36" customHeight="1">
      <x:c r="A9" s="19" t="str">
        <x:v>Input files</x:v>
      </x:c>
      <x:c r="B9" s="19" t="str">
        <x:v>Input files</x:v>
      </x:c>
      <x:c r="C9" s="23" t="str">
        <x:v>source-inventory.json + live-audit.json</x:v>
      </x:c>
      <x:c r="D9" s="23" t="str">
        <x:v>source-inventory.json + live-audit.json</x:v>
      </x:c>
      <x:c r="E9" s="23" t="str">
        <x:v>source-inventory.json + live-audit.json</x:v>
      </x:c>
      <x:c r="F9" s="23" t="str">
        <x:v>source-inventory.json + live-audit.json</x:v>
      </x:c>
      <x:c r="G9" s="3"/>
      <x:c r="H9" s="3" t="str">
        <x:v>Partially observed</x:v>
      </x:c>
      <x:c r="I9" s="14" t="n">
        <x:v>1</x:v>
      </x:c>
      <x:c r="J9" s="3"/>
      <x:c r="K9" s="3" t="str">
        <x:v>model-provider</x:v>
      </x:c>
      <x:c r="L9" s="3" t="str">
        <x:v>Source-only capsule</x:v>
      </x:c>
    </x:row>
    <x:row r="10" ht="36" customHeight="1">
      <x:c r="A10" s="19" t="str">
        <x:v>Live tool state</x:v>
      </x:c>
      <x:c r="B10" s="19" t="str">
        <x:v>Live tool state</x:v>
      </x:c>
      <x:c r="C10" s="23" t="str">
        <x:v>Brave uses the existing signed-in test session. Computer Use reached Home through accessibility controls at 100% zoom. Existing tabs and account data were preserved; tool-control errors remain separate from product results.</x:v>
      </x:c>
      <x:c r="D10" s="23" t="str">
        <x:v>Brave uses the existing signed-in test session. Computer Use reached Home through accessibility controls at 100% zoom. Existing tabs and account data were preserved; tool-control errors remain separate from product results.</x:v>
      </x:c>
      <x:c r="E10" s="23" t="str">
        <x:v>Brave uses the existing signed-in test session. Computer Use reached Home through accessibility controls at 100% zoom. Existing tabs and account data were preserved; tool-control errors remain separate from product results.</x:v>
      </x:c>
      <x:c r="F10" s="23" t="str">
        <x:v>Brave uses the existing signed-in test session. Computer Use reached Home through accessibility controls at 100% zoom. Existing tabs and account data were preserved; tool-control errors remain separate from product results.</x:v>
      </x:c>
      <x:c r="G10" s="3"/>
      <x:c r="H10" s="3" t="str">
        <x:v>Blocked prerequisite</x:v>
      </x:c>
      <x:c r="I10" s="14" t="n">
        <x:v>0</x:v>
      </x:c>
      <x:c r="J10" s="3"/>
      <x:c r="K10" s="3" t="str">
        <x:v>runtime-services</x:v>
      </x:c>
      <x:c r="L10" s="3" t="str">
        <x:v>Source-only area</x:v>
      </x:c>
    </x:row>
    <x:row r="11" ht="36" customHeight="1">
      <x:c r="A11" s="19" t="str">
        <x:v>How to record</x:v>
      </x:c>
      <x:c r="B11" s="19" t="str">
        <x:v>How to record</x:v>
      </x:c>
      <x:c r="C11" s="23" t="str">
        <x:v>Filter Journey Matrix by Area/Safety. Enter exact Live status, actual scope and evidence. Update Control Index only for the individual control observed.</x:v>
      </x:c>
      <x:c r="D11" s="23" t="str">
        <x:v>Filter Journey Matrix by Area/Safety. Enter exact Live status, actual scope and evidence. Update Control Index only for the individual control observed.</x:v>
      </x:c>
      <x:c r="E11" s="23" t="str">
        <x:v>Filter Journey Matrix by Area/Safety. Enter exact Live status, actual scope and evidence. Update Control Index only for the individual control observed.</x:v>
      </x:c>
      <x:c r="F11" s="23" t="str">
        <x:v>Filter Journey Matrix by Area/Safety. Enter exact Live status, actual scope and evidence. Update Control Index only for the individual control observed.</x:v>
      </x:c>
      <x:c r="G11" s="3"/>
      <x:c r="H11" s="3" t="str">
        <x:v>Blocked tool</x:v>
      </x:c>
      <x:c r="I11" s="14" t="n">
        <x:v>0</x:v>
      </x:c>
      <x:c r="J11" s="3"/>
      <x:c r="K11" s="3" t="str">
        <x:v>GUI</x:v>
      </x:c>
      <x:c r="L11" s="3" t="str">
        <x:v>Visible/journey coverage</x:v>
      </x:c>
    </x:row>
    <x:row r="12" ht="36" customHeight="1">
      <x:c r="A12" s="19" t="str">
        <x:v>Prior evidence</x:v>
      </x:c>
      <x:c r="B12" s="19" t="str">
        <x:v>Prior evidence</x:v>
      </x:c>
      <x:c r="C12" s="23" t="str">
        <x:v>Eight prior reports/static observations are retained separately. Current Live status cells record the later result or explicit blocker; prior reports alone add no Pass or observed count.</x:v>
      </x:c>
      <x:c r="D12" s="23" t="str">
        <x:v>Eight prior reports/static observations are retained separately. Current Live status cells record the later result or explicit blocker; prior reports alone add no Pass or observed count.</x:v>
      </x:c>
      <x:c r="E12" s="23" t="str">
        <x:v>Eight prior reports/static observations are retained separately. Current Live status cells record the later result or explicit blocker; prior reports alone add no Pass or observed count.</x:v>
      </x:c>
      <x:c r="F12" s="23" t="str">
        <x:v>Eight prior reports/static observations are retained separately. Current Live status cells record the later result or explicit blocker; prior reports alone add no Pass or observed count.</x:v>
      </x:c>
      <x:c r="G12" s="3"/>
      <x:c r="H12" s="3" t="str">
        <x:v>Not applicable</x:v>
      </x:c>
      <x:c r="I12" s="14" t="n">
        <x:v>0</x:v>
      </x:c>
      <x:c r="J12" s="3"/>
      <x:c r="K12" s="3" t="str">
        <x:v>Source only</x:v>
      </x:c>
      <x:c r="L12" s="3" t="str">
        <x:v>Excluded from execution base</x:v>
      </x:c>
    </x:row>
    <x:row r="13" ht="36" customHeight="1">
      <x:c r="A13" s="19" t="str">
        <x:v>Observation rate</x:v>
      </x:c>
      <x:c r="B13" s="19" t="str">
        <x:v>Observation rate</x:v>
      </x:c>
      <x:c r="C13" s="23" t="str">
        <x:v>GUI journeys with Pass, Fail or Partially observed / applicable GUI journeys. This is not full completion. Blocked and Not run stay in the denominator; Not applicable and source-only scope are excluded.</x:v>
      </x:c>
      <x:c r="D13" s="23" t="str">
        <x:v>GUI journeys with Pass, Fail or Partially observed / applicable GUI journeys. This is not full completion. Blocked and Not run stay in the denominator; Not applicable and source-only scope are excluded.</x:v>
      </x:c>
      <x:c r="E13" s="23" t="str">
        <x:v>GUI journeys with Pass, Fail or Partially observed / applicable GUI journeys. This is not full completion. Blocked and Not run stay in the denominator; Not applicable and source-only scope are excluded.</x:v>
      </x:c>
      <x:c r="F13" s="23" t="str">
        <x:v>GUI journeys with Pass, Fail or Partially observed / applicable GUI journeys. This is not full completion. Blocked and Not run stay in the denominator; Not applicable and source-only scope are excluded.</x:v>
      </x:c>
      <x:c r="G13" s="3"/>
      <x:c r="H13" s="3"/>
      <x:c r="I13" s="3"/>
      <x:c r="J13" s="3"/>
      <x:c r="K13" s="3"/>
      <x:c r="L13" s="3"/>
    </x:row>
    <x:row r="14" ht="36" customHeight="1">
      <x:c r="A14" s="19" t="str">
        <x:v>Pass rate</x:v>
      </x:c>
      <x:c r="B14" s="19" t="str">
        <x:v>Pass rate</x:v>
      </x:c>
      <x:c r="C14" s="23" t="str">
        <x:v>Pass / executed GUI journeys. Partial observations are executed but not passed. A zero rate with zero executions is not evidence of failure or success.</x:v>
      </x:c>
      <x:c r="D14" s="23" t="str">
        <x:v>Pass / executed GUI journeys. Partial observations are executed but not passed. A zero rate with zero executions is not evidence of failure or success.</x:v>
      </x:c>
      <x:c r="E14" s="23" t="str">
        <x:v>Pass / executed GUI journeys. Partial observations are executed but not passed. A zero rate with zero executions is not evidence of failure or success.</x:v>
      </x:c>
      <x:c r="F14" s="23" t="str">
        <x:v>Pass / executed GUI journeys. Partial observations are executed but not passed. A zero rate with zero executions is not evidence of failure or success.</x:v>
      </x:c>
      <x:c r="G14" s="3"/>
      <x:c r="H14" s="3"/>
      <x:c r="I14" s="3"/>
      <x:c r="J14" s="3"/>
      <x:c r="K14" s="3"/>
      <x:c r="L14" s="3"/>
    </x:row>
    <x:row r="15" ht="36" customHeight="1">
      <x:c r="A15" s="19" t="str">
        <x:v>Control coverage</x:v>
      </x:c>
      <x:c r="B15" s="19" t="str">
        <x:v>Control coverage</x:v>
      </x:c>
      <x:c r="C15" s="23" t="str">
        <x:v>Control results have a separate denominator. A journey Pass never assigns Pass to its static controls.</x:v>
      </x:c>
      <x:c r="D15" s="23" t="str">
        <x:v>Control results have a separate denominator. A journey Pass never assigns Pass to its static controls.</x:v>
      </x:c>
      <x:c r="E15" s="23" t="str">
        <x:v>Control results have a separate denominator. A journey Pass never assigns Pass to its static controls.</x:v>
      </x:c>
      <x:c r="F15" s="23" t="str">
        <x:v>Control results have a separate denominator. A journey Pass never assigns Pass to its static controls.</x:v>
      </x:c>
      <x:c r="G15" s="3"/>
      <x:c r="H15" s="3"/>
      <x:c r="I15" s="3"/>
      <x:c r="J15" s="3"/>
      <x:c r="K15" s="3"/>
      <x:c r="L15" s="3"/>
    </x:row>
    <x:row r="16" ht="36" customHeight="1">
      <x:c r="A16" s="19" t="str">
        <x:v>Safety</x:v>
      </x:c>
      <x:c r="B16" s="19" t="str">
        <x:v>Safety</x:v>
      </x:c>
      <x:c r="C16" s="23" t="str">
        <x:v>Preview/cancel by default. Actual file/account/recovery/model/network/financial/destructive/restart actions require approved disposable fixtures. User handles all secrets.</x:v>
      </x:c>
      <x:c r="D16" s="23" t="str">
        <x:v>Preview/cancel by default. Actual file/account/recovery/model/network/financial/destructive/restart actions require approved disposable fixtures. User handles all secrets.</x:v>
      </x:c>
      <x:c r="E16" s="23" t="str">
        <x:v>Preview/cancel by default. Actual file/account/recovery/model/network/financial/destructive/restart actions require approved disposable fixtures. User handles all secrets.</x:v>
      </x:c>
      <x:c r="F16" s="23" t="str">
        <x:v>Preview/cancel by default. Actual file/account/recovery/model/network/financial/destructive/restart actions require approved disposable fixtures. User handles all secrets.</x:v>
      </x:c>
      <x:c r="G16" s="3"/>
      <x:c r="H16" s="3"/>
      <x:c r="I16" s="3"/>
      <x:c r="J16" s="3"/>
      <x:c r="K16" s="3"/>
      <x:c r="L16" s="3"/>
    </x:row>
    <x:row r="17" ht="36" customHeight="1">
      <x:c r="A17" s="19" t="str">
        <x:v>Model distinctions</x:v>
      </x:c>
      <x:c r="B17" s="19" t="str">
        <x:v>Model distinctions</x:v>
      </x:c>
      <x:c r="C17" s="23" t="str">
        <x:v>The installed candidate starts model-provider through the shared Init contract and reaches a truthful zero-offer state. Model execution needs one approved compatible offer. Remote Profile offers and content-addressed model retrieval remain separate journeys.</x:v>
      </x:c>
      <x:c r="D17" s="23" t="str">
        <x:v>The installed candidate starts model-provider through the shared Init contract and reaches a truthful zero-offer state. Model execution needs one approved compatible offer. Remote Profile offers and content-addressed model retrieval remain separate journeys.</x:v>
      </x:c>
      <x:c r="E17" s="23" t="str">
        <x:v>The installed candidate starts model-provider through the shared Init contract and reaches a truthful zero-offer state. Model execution needs one approved compatible offer. Remote Profile offers and content-addressed model retrieval remain separate journeys.</x:v>
      </x:c>
      <x:c r="F17" s="23" t="str">
        <x:v>The installed candidate starts model-provider through the shared Init contract and reaches a truthful zero-offer state. Model execution needs one approved compatible offer. Remote Profile offers and content-addressed model retrieval remain separate journeys.</x:v>
      </x:c>
      <x:c r="G17" s="3"/>
      <x:c r="H17" s="3"/>
      <x:c r="I17" s="3"/>
      <x:c r="J17" s="3"/>
      <x:c r="K17" s="3"/>
      <x:c r="L17" s="3"/>
    </x:row>
    <x:row r="18" ht="36" customHeight="1">
      <x:c r="A18" s="19" t="str">
        <x:v>Protected content</x:v>
      </x:c>
      <x:c r="B18" s="19" t="str">
        <x:v>Protected content</x:v>
      </x:c>
      <x:c r="C18" s="23" t="str">
        <x:v>B-03: mint currently blocked by absent custody composition, private Chain config and inactive custody root. Funds alone are insufficient. Library code/installed hashes match; the video-only menu/dialog is not GUI-proven. See mint-readiness-evidence.md.</x:v>
      </x:c>
      <x:c r="D18" s="23" t="str">
        <x:v>B-03: mint currently blocked by absent custody composition, private Chain config and inactive custody root. Funds alone are insufficient. Library code/installed hashes match; the video-only menu/dialog is not GUI-proven. See mint-readiness-evidence.md.</x:v>
      </x:c>
      <x:c r="E18" s="23" t="str">
        <x:v>B-03: mint currently blocked by absent custody composition, private Chain config and inactive custody root. Funds alone are insufficient. Library code/installed hashes match; the video-only menu/dialog is not GUI-proven. See mint-readiness-evidence.md.</x:v>
      </x:c>
      <x:c r="F18" s="23" t="str">
        <x:v>B-03: mint currently blocked by absent custody composition, private Chain config and inactive custody root. Funds alone are insufficient. Library code/installed hashes match; the video-only menu/dialog is not GUI-proven. See mint-readiness-evidence.md.</x:v>
      </x:c>
      <x:c r="G18" s="3"/>
      <x:c r="H18" s="3"/>
      <x:c r="I18" s="3"/>
      <x:c r="J18" s="3"/>
      <x:c r="K18" s="3"/>
      <x:c r="L18" s="3"/>
    </x:row>
    <x:row r="19" ht="36" customHeight="1">
      <x:c r="A19" s="19" t="str">
        <x:v>Source references</x:v>
      </x:c>
      <x:c r="B19" s="19" t="str">
        <x:v>Source references</x:v>
      </x:c>
      <x:c r="C19" s="23" t="str">
        <x:v>S- IDs resolve below. Relative paths use source-inventory.json's exact worktree/commit. Static control rows include their own source file and line.</x:v>
      </x:c>
      <x:c r="D19" s="23" t="str">
        <x:v>S- IDs resolve below. Relative paths use source-inventory.json's exact worktree/commit. Static control rows include their own source file and line.</x:v>
      </x:c>
      <x:c r="E19" s="23" t="str">
        <x:v>S- IDs resolve below. Relative paths use source-inventory.json's exact worktree/commit. Static control rows include their own source file and line.</x:v>
      </x:c>
      <x:c r="F19" s="23" t="str">
        <x:v>S- IDs resolve below. Relative paths use source-inventory.json's exact worktree/commit. Static control rows include their own source file and line.</x:v>
      </x:c>
      <x:c r="G19" s="3"/>
      <x:c r="H19" s="3"/>
      <x:c r="I19" s="3"/>
      <x:c r="J19" s="3"/>
      <x:c r="K19" s="3"/>
      <x:c r="L19" s="3"/>
    </x:row>
    <x:row r="20" ht="36" customHeight="1">
      <x:c r="A20" s="19" t="str">
        <x:v>Views and limits</x:v>
      </x:c>
      <x:c r="B20" s="19" t="str">
        <x:v>Views and limits</x:v>
      </x:c>
      <x:c r="C20" s="23" t="str">
        <x:v>Mapped capsule coverage means at least one source journey per capsule, not every possible path/state. Dynamic groups and conditional templates are indexed separately. ROM internals and remote-page controls need live observation.</x:v>
      </x:c>
      <x:c r="D20" s="23" t="str">
        <x:v>Mapped capsule coverage means at least one source journey per capsule, not every possible path/state. Dynamic groups and conditional templates are indexed separately. ROM internals and remote-page controls need live observation.</x:v>
      </x:c>
      <x:c r="E20" s="23" t="str">
        <x:v>Mapped capsule coverage means at least one source journey per capsule, not every possible path/state. Dynamic groups and conditional templates are indexed separately. ROM internals and remote-page controls need live observation.</x:v>
      </x:c>
      <x:c r="F20" s="23" t="str">
        <x:v>Mapped capsule coverage means at least one source journey per capsule, not every possible path/state. Dynamic groups and conditional templates are indexed separately. ROM internals and remote-page controls need live observation.</x:v>
      </x:c>
      <x:c r="G20" s="3"/>
      <x:c r="H20" s="3"/>
      <x:c r="I20" s="3"/>
      <x:c r="J20" s="3"/>
      <x:c r="K20" s="3"/>
      <x:c r="L20" s="3"/>
    </x:row>
    <x:row r="21" ht="36" customHeight="1">
      <x:c r="A21" s="19" t="str">
        <x:v>Handoff state</x:v>
      </x:c>
      <x:c r="B21" s="19" t="str">
        <x:v>Handoff state</x:v>
      </x:c>
      <x:c r="C21" s="23" t="str">
        <x:v>Installed candidate snapshot: 37b4195a / tree 36871424. Runtime SHA-256 d9c9378b881072c0adc1b534429d7dd87c9cb8240849e677fb8c16c3d1ddc5a8; Home asset SHA-256 7bbffd989be301c9851ee3561bddc4182ec23ced8c502c3f01cdab4f7bb808f7. E-108 records current installed proof.</x:v>
      </x:c>
      <x:c r="D21" s="23" t="str">
        <x:v>Installed candidate snapshot: 37b4195a / tree 36871424. Runtime SHA-256 d9c9378b881072c0adc1b534429d7dd87c9cb8240849e677fb8c16c3d1ddc5a8; Home asset SHA-256 7bbffd989be301c9851ee3561bddc4182ec23ced8c502c3f01cdab4f7bb808f7. E-108 records current installed proof.</x:v>
      </x:c>
      <x:c r="E21" s="23" t="str">
        <x:v>Installed candidate snapshot: 37b4195a / tree 36871424. Runtime SHA-256 d9c9378b881072c0adc1b534429d7dd87c9cb8240849e677fb8c16c3d1ddc5a8; Home asset SHA-256 7bbffd989be301c9851ee3561bddc4182ec23ced8c502c3f01cdab4f7bb808f7. E-108 records current installed proof.</x:v>
      </x:c>
      <x:c r="F21" s="23" t="str">
        <x:v>Installed candidate snapshot: 37b4195a / tree 36871424. Runtime SHA-256 d9c9378b881072c0adc1b534429d7dd87c9cb8240849e677fb8c16c3d1ddc5a8; Home asset SHA-256 7bbffd989be301c9851ee3561bddc4182ec23ced8c502c3f01cdab4f7bb808f7. E-108 records current installed proof.</x:v>
      </x:c>
      <x:c r="G21" s="3"/>
      <x:c r="H21" s="3"/>
      <x:c r="I21" s="3"/>
      <x:c r="J21" s="3"/>
      <x:c r="K21" s="3"/>
      <x:c r="L21" s="3"/>
    </x:row>
    <x:row r="22" ht="36" customHeight="1">
      <x:c r="A22" s="19" t="str">
        <x:v>Known live evidence</x:v>
      </x:c>
      <x:c r="B22" s="19" t="str">
        <x:v>Known live evidence</x:v>
      </x:c>
      <x:c r="C22" s="23" t="str">
        <x:v>The workbook retains 61 product findings. E-108 adds current installed evidence without changing older outcomes that still need a direct retest.</x:v>
      </x:c>
      <x:c r="D22" s="23" t="str">
        <x:v>The workbook retains 61 product findings. E-108 adds current installed evidence without changing older outcomes that still need a direct retest.</x:v>
      </x:c>
      <x:c r="E22" s="23" t="str">
        <x:v>The workbook retains 61 product findings. E-108 adds current installed evidence without changing older outcomes that still need a direct retest.</x:v>
      </x:c>
      <x:c r="F22" s="23" t="str">
        <x:v>The workbook retains 61 product findings. E-108 adds current installed evidence without changing older outcomes that still need a direct retest.</x:v>
      </x:c>
      <x:c r="G22" s="3"/>
      <x:c r="H22" s="3"/>
      <x:c r="I22" s="3"/>
      <x:c r="J22" s="3"/>
      <x:c r="K22" s="3"/>
      <x:c r="L22" s="3"/>
    </x:row>
    <x:row r="23" ht="36" customHeight="1">
      <x:c r="A23" s="19" t="str">
        <x:v>Needs retest</x:v>
      </x:c>
      <x:c r="B23" s="19" t="str">
        <x:v>Needs retest</x:v>
      </x:c>
      <x:c r="C23" s="23" t="str">
        <x:v>Tiny/clipped Library screenshot has ambiguous viewport/window state. Treat as Needs retest, not a confirmed regression. Failed capture 023, if present, is tool evidence only.</x:v>
      </x:c>
      <x:c r="D23" s="23" t="str">
        <x:v>Tiny/clipped Library screenshot has ambiguous viewport/window state. Treat as Needs retest, not a confirmed regression. Failed capture 023, if present, is tool evidence only.</x:v>
      </x:c>
      <x:c r="E23" s="23" t="str">
        <x:v>Tiny/clipped Library screenshot has ambiguous viewport/window state. Treat as Needs retest, not a confirmed regression. Failed capture 023, if present, is tool evidence only.</x:v>
      </x:c>
      <x:c r="F23" s="23" t="str">
        <x:v>Tiny/clipped Library screenshot has ambiguous viewport/window state. Treat as Needs retest, not a confirmed regression. Failed capture 023, if present, is tool evidence only.</x:v>
      </x:c>
      <x:c r="G23" s="3"/>
      <x:c r="H23" s="3"/>
      <x:c r="I23" s="3"/>
      <x:c r="J23" s="3"/>
      <x:c r="K23" s="3"/>
      <x:c r="L23" s="3"/>
    </x:row>
    <x:row r="24" ht="36" customHeight="1">
      <x:c r="A24" s="19" t="str">
        <x:v>Controlled prerequisites</x:v>
      </x:c>
      <x:c r="B24" s="19" t="str">
        <x:v>Controlled prerequisites</x:v>
      </x:c>
      <x:c r="C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D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E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F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G24" s="3"/>
      <x:c r="H24" s="3"/>
      <x:c r="I24" s="3"/>
      <x:c r="J24" s="3"/>
      <x:c r="K24" s="3"/>
      <x:c r="L24" s="3"/>
    </x:row>
    <x:row r="25">
      <x:c r="A25" s="3"/>
      <x:c r="B25" s="3"/>
      <x:c r="C25" s="3"/>
      <x:c r="D25" s="3"/>
      <x:c r="E25" s="3"/>
      <x:c r="F25" s="3"/>
      <x:c r="G25" s="3"/>
      <x:c r="H25" s="3"/>
      <x:c r="I25" s="3"/>
      <x:c r="J25" s="3"/>
      <x:c r="K25" s="3"/>
      <x:c r="L25" s="3"/>
    </x:row>
    <x:row r="26">
      <x:c r="A26" s="3"/>
      <x:c r="B26" s="3"/>
      <x:c r="C26" s="3"/>
      <x:c r="D26" s="3"/>
      <x:c r="E26" s="3"/>
      <x:c r="F26" s="3"/>
      <x:c r="G26" s="3"/>
      <x:c r="H26" s="3"/>
      <x:c r="I26" s="3"/>
      <x:c r="J26" s="3"/>
      <x:c r="K26" s="3"/>
      <x:c r="L26" s="3"/>
    </x:row>
    <x:row r="27">
      <x:c r="A27" s="16" t="str">
        <x:v>Evidence register | Source references and observations have separate evidence classes</x:v>
      </x:c>
      <x:c r="B27" s="16" t="str">
        <x:v>Evidence register | Source references and observations have separate evidence classes</x:v>
      </x:c>
      <x:c r="C27" s="16" t="str">
        <x:v>Evidence register | Source references and observations have separate evidence classes</x:v>
      </x:c>
      <x:c r="D27" s="16" t="str">
        <x:v>Evidence register | Source references and observations have separate evidence classes</x:v>
      </x:c>
      <x:c r="E27" s="16" t="str">
        <x:v>Evidence register | Source references and observations have separate evidence classes</x:v>
      </x:c>
      <x:c r="F27" s="16" t="str">
        <x:v>Evidence register | Source references and observations have separate evidence classes</x:v>
      </x:c>
      <x:c r="G27" s="3"/>
      <x:c r="H27" s="3"/>
      <x:c r="I27" s="3"/>
      <x:c r="J27" s="3"/>
      <x:c r="K27" s="3"/>
      <x:c r="L27" s="3"/>
    </x:row>
    <x:row r="28">
      <x:c r="A28" s="3"/>
      <x:c r="B28" s="3"/>
      <x:c r="C28" s="3"/>
      <x:c r="D28" s="3"/>
      <x:c r="E28" s="3"/>
      <x:c r="F28" s="3"/>
      <x:c r="G28" s="3"/>
      <x:c r="H28" s="3"/>
      <x:c r="I28" s="3"/>
      <x:c r="J28" s="3"/>
      <x:c r="K28" s="3"/>
      <x:c r="L28" s="3"/>
    </x:row>
    <x:row r="29" ht="28.5" customHeight="1">
      <x:c r="A29" s="11" t="str">
        <x:v>Evidence ID</x:v>
      </x:c>
      <x:c r="B29" s="11" t="str">
        <x:v>Kind</x:v>
      </x:c>
      <x:c r="C29" s="11" t="str">
        <x:v>Claim / source</x:v>
      </x:c>
      <x:c r="D29" s="11" t="str">
        <x:v>Locator</x:v>
      </x:c>
      <x:c r="E29" s="11" t="str">
        <x:v>Evidence level</x:v>
      </x:c>
      <x:c r="F29" s="11" t="str">
        <x:v>Scope / limitation</x:v>
      </x:c>
      <x:c r="G29" s="3"/>
      <x:c r="H29" s="3"/>
      <x:c r="I29" s="3"/>
      <x:c r="J29" s="3"/>
      <x:c r="K29" s="3"/>
      <x:c r="L29" s="3"/>
    </x:row>
    <x:row r="30" ht="42" customHeight="1">
      <x:c r="A30" s="3" t="str">
        <x:v>S-001</x:v>
      </x:c>
      <x:c r="B30" s="3" t="str">
        <x:v>Source</x:v>
      </x:c>
      <x:c r="C30" s="3" t="str">
        <x:v>index.html:87</x:v>
      </x:c>
      <x:c r="D30" s="3" t="str">
        <x:v>capsules/home/browser/index.html:87</x:v>
      </x:c>
      <x:c r="E30" s="3" t="str">
        <x:v>Expected behavior only</x:v>
      </x:c>
      <x:c r="F30" s="3" t="str">
        <x:v>Source commit 8e5eb88b; not live execution.</x:v>
      </x:c>
      <x:c r="G30" s="3"/>
      <x:c r="H30" s="3"/>
      <x:c r="I30" s="3"/>
      <x:c r="J30" s="3"/>
      <x:c r="K30" s="3"/>
      <x:c r="L30" s="3"/>
    </x:row>
    <x:row r="31" ht="42" customHeight="1">
      <x:c r="A31" s="3" t="str">
        <x:v>S-002</x:v>
      </x:c>
      <x:c r="B31" s="3" t="str">
        <x:v>Source</x:v>
      </x:c>
      <x:c r="C31" s="3" t="str">
        <x:v>index.html:97</x:v>
      </x:c>
      <x:c r="D31" s="3" t="str">
        <x:v>capsules/home/browser/index.html:97</x:v>
      </x:c>
      <x:c r="E31" s="3" t="str">
        <x:v>Expected behavior only</x:v>
      </x:c>
      <x:c r="F31" s="3" t="str">
        <x:v>Source commit 8e5eb88b; not live execution.</x:v>
      </x:c>
      <x:c r="G31" s="3"/>
      <x:c r="H31" s="3"/>
      <x:c r="I31" s="3"/>
      <x:c r="J31" s="3"/>
      <x:c r="K31" s="3"/>
      <x:c r="L31" s="3"/>
    </x:row>
    <x:row r="32" ht="42" customHeight="1">
      <x:c r="A32" s="3" t="str">
        <x:v>S-003</x:v>
      </x:c>
      <x:c r="B32" s="3" t="str">
        <x:v>Source</x:v>
      </x:c>
      <x:c r="C32" s="3" t="str">
        <x:v>index.html:98</x:v>
      </x:c>
      <x:c r="D32" s="3" t="str">
        <x:v>capsules/home/browser/index.html:98</x:v>
      </x:c>
      <x:c r="E32" s="3" t="str">
        <x:v>Expected behavior only</x:v>
      </x:c>
      <x:c r="F32" s="3" t="str">
        <x:v>Source commit 8e5eb88b; not live execution.</x:v>
      </x:c>
      <x:c r="G32" s="3"/>
      <x:c r="H32" s="3"/>
      <x:c r="I32" s="3"/>
      <x:c r="J32" s="3"/>
      <x:c r="K32" s="3"/>
      <x:c r="L32" s="3"/>
    </x:row>
    <x:row r="33" ht="42" customHeight="1">
      <x:c r="A33" s="3" t="str">
        <x:v>S-004</x:v>
      </x:c>
      <x:c r="B33" s="3" t="str">
        <x:v>Source</x:v>
      </x:c>
      <x:c r="C33" s="3" t="str">
        <x:v>index.html:45</x:v>
      </x:c>
      <x:c r="D33" s="3" t="str">
        <x:v>capsules/home/browser/index.html:45</x:v>
      </x:c>
      <x:c r="E33" s="3" t="str">
        <x:v>Expected behavior only</x:v>
      </x:c>
      <x:c r="F33" s="3" t="str">
        <x:v>Source commit 8e5eb88b; not live execution.</x:v>
      </x:c>
      <x:c r="G33" s="3"/>
      <x:c r="H33" s="3"/>
      <x:c r="I33" s="3"/>
      <x:c r="J33" s="3"/>
      <x:c r="K33" s="3"/>
      <x:c r="L33" s="3"/>
    </x:row>
    <x:row r="34" ht="42" customHeight="1">
      <x:c r="A34" s="3" t="str">
        <x:v>S-005</x:v>
      </x:c>
      <x:c r="B34" s="3" t="str">
        <x:v>Source</x:v>
      </x:c>
      <x:c r="C34" s="3" t="str">
        <x:v>index.html:51</x:v>
      </x:c>
      <x:c r="D34" s="3" t="str">
        <x:v>capsules/home/browser/index.html:51</x:v>
      </x:c>
      <x:c r="E34" s="3" t="str">
        <x:v>Expected behavior only</x:v>
      </x:c>
      <x:c r="F34" s="3" t="str">
        <x:v>Source commit 8e5eb88b; not live execution.</x:v>
      </x:c>
      <x:c r="G34" s="3"/>
      <x:c r="H34" s="3"/>
      <x:c r="I34" s="3"/>
      <x:c r="J34" s="3"/>
      <x:c r="K34" s="3"/>
      <x:c r="L34" s="3"/>
    </x:row>
    <x:row r="35" ht="42" customHeight="1">
      <x:c r="A35" s="3" t="str">
        <x:v>S-006</x:v>
      </x:c>
      <x:c r="B35" s="3" t="str">
        <x:v>Source</x:v>
      </x:c>
      <x:c r="C35" s="3" t="str">
        <x:v>index.html:119</x:v>
      </x:c>
      <x:c r="D35" s="3" t="str">
        <x:v>capsules/home/browser/index.html:119</x:v>
      </x:c>
      <x:c r="E35" s="3" t="str">
        <x:v>Expected behavior only</x:v>
      </x:c>
      <x:c r="F35" s="3" t="str">
        <x:v>Source commit 8e5eb88b; not live execution.</x:v>
      </x:c>
      <x:c r="G35" s="3"/>
      <x:c r="H35" s="3"/>
      <x:c r="I35" s="3"/>
      <x:c r="J35" s="3"/>
      <x:c r="K35" s="3"/>
      <x:c r="L35" s="3"/>
    </x:row>
    <x:row r="36" ht="42" customHeight="1">
      <x:c r="A36" s="3" t="str">
        <x:v>S-007</x:v>
      </x:c>
      <x:c r="B36" s="3" t="str">
        <x:v>Source</x:v>
      </x:c>
      <x:c r="C36" s="3" t="str">
        <x:v>home-gui-template.html:329</x:v>
      </x:c>
      <x:c r="D36" s="3" t="str">
        <x:v>capsules/home-gui/browser/home-gui-template.html:329</x:v>
      </x:c>
      <x:c r="E36" s="3" t="str">
        <x:v>Expected behavior only</x:v>
      </x:c>
      <x:c r="F36" s="3" t="str">
        <x:v>Source commit 8e5eb88b; not live execution.</x:v>
      </x:c>
      <x:c r="G36" s="3"/>
      <x:c r="H36" s="3"/>
      <x:c r="I36" s="3"/>
      <x:c r="J36" s="3"/>
      <x:c r="K36" s="3"/>
      <x:c r="L36" s="3"/>
    </x:row>
    <x:row r="37" ht="42" customHeight="1">
      <x:c r="A37" s="3" t="str">
        <x:v>S-008</x:v>
      </x:c>
      <x:c r="B37" s="3" t="str">
        <x:v>Source</x:v>
      </x:c>
      <x:c r="C37" s="3" t="str">
        <x:v>shell-core.js:681</x:v>
      </x:c>
      <x:c r="D37" s="3" t="str">
        <x:v>capsules/home-gui/browser/shell-core.js:681</x:v>
      </x:c>
      <x:c r="E37" s="3" t="str">
        <x:v>Expected behavior only</x:v>
      </x:c>
      <x:c r="F37" s="3" t="str">
        <x:v>Source commit 8e5eb88b; not live execution.</x:v>
      </x:c>
      <x:c r="G37" s="3"/>
      <x:c r="H37" s="3"/>
      <x:c r="I37" s="3"/>
      <x:c r="J37" s="3"/>
      <x:c r="K37" s="3"/>
      <x:c r="L37" s="3"/>
    </x:row>
    <x:row r="38" ht="42" customHeight="1">
      <x:c r="A38" s="3" t="str">
        <x:v>S-009</x:v>
      </x:c>
      <x:c r="B38" s="3" t="str">
        <x:v>Source</x:v>
      </x:c>
      <x:c r="C38" s="3" t="str">
        <x:v>shell-surface.js:88</x:v>
      </x:c>
      <x:c r="D38" s="3" t="str">
        <x:v>capsules/home-gui/browser/shell-surface.js:88</x:v>
      </x:c>
      <x:c r="E38" s="3" t="str">
        <x:v>Expected behavior only</x:v>
      </x:c>
      <x:c r="F38" s="3" t="str">
        <x:v>Source commit 8e5eb88b; not live execution.</x:v>
      </x:c>
      <x:c r="G38" s="3"/>
      <x:c r="H38" s="3"/>
      <x:c r="I38" s="3"/>
      <x:c r="J38" s="3"/>
      <x:c r="K38" s="3"/>
      <x:c r="L38" s="3"/>
    </x:row>
    <x:row r="39" ht="42" customHeight="1">
      <x:c r="A39" s="3" t="str">
        <x:v>S-010</x:v>
      </x:c>
      <x:c r="B39" s="3" t="str">
        <x:v>Source</x:v>
      </x:c>
      <x:c r="C39" s="3" t="str">
        <x:v>home-gui-template.html:367</x:v>
      </x:c>
      <x:c r="D39" s="3" t="str">
        <x:v>capsules/home-gui/browser/home-gui-template.html:367</x:v>
      </x:c>
      <x:c r="E39" s="3" t="str">
        <x:v>Expected behavior only</x:v>
      </x:c>
      <x:c r="F39" s="3" t="str">
        <x:v>Source commit 8e5eb88b; not live execution.</x:v>
      </x:c>
      <x:c r="G39" s="3"/>
      <x:c r="H39" s="3"/>
      <x:c r="I39" s="3"/>
      <x:c r="J39" s="3"/>
      <x:c r="K39" s="3"/>
      <x:c r="L39" s="3"/>
    </x:row>
    <x:row r="40" ht="42" customHeight="1">
      <x:c r="A40" s="3" t="str">
        <x:v>S-011</x:v>
      </x:c>
      <x:c r="B40" s="3" t="str">
        <x:v>Source</x:v>
      </x:c>
      <x:c r="C40" s="3" t="str">
        <x:v>shell-surface.js:585</x:v>
      </x:c>
      <x:c r="D40" s="3" t="str">
        <x:v>capsules/home-gui/browser/shell-surface.js:585</x:v>
      </x:c>
      <x:c r="E40" s="3" t="str">
        <x:v>Expected behavior only</x:v>
      </x:c>
      <x:c r="F40" s="3" t="str">
        <x:v>Source commit 8e5eb88b; not live execution.</x:v>
      </x:c>
      <x:c r="G40" s="3"/>
      <x:c r="H40" s="3"/>
      <x:c r="I40" s="3"/>
      <x:c r="J40" s="3"/>
      <x:c r="K40" s="3"/>
      <x:c r="L40" s="3"/>
    </x:row>
    <x:row r="41" ht="42" customHeight="1">
      <x:c r="A41" s="3" t="str">
        <x:v>S-012</x:v>
      </x:c>
      <x:c r="B41" s="3" t="str">
        <x:v>Source</x:v>
      </x:c>
      <x:c r="C41" s="3" t="str">
        <x:v>home-gui-template.html:440</x:v>
      </x:c>
      <x:c r="D41" s="3" t="str">
        <x:v>capsules/home-gui/browser/home-gui-template.html:440</x:v>
      </x:c>
      <x:c r="E41" s="3" t="str">
        <x:v>Expected behavior only</x:v>
      </x:c>
      <x:c r="F41" s="3" t="str">
        <x:v>Source commit 8e5eb88b; not live execution.</x:v>
      </x:c>
      <x:c r="G41" s="3"/>
      <x:c r="H41" s="3"/>
      <x:c r="I41" s="3"/>
      <x:c r="J41" s="3"/>
      <x:c r="K41" s="3"/>
      <x:c r="L41" s="3"/>
    </x:row>
    <x:row r="42" ht="42" customHeight="1">
      <x:c r="A42" s="3" t="str">
        <x:v>S-013</x:v>
      </x:c>
      <x:c r="B42" s="3" t="str">
        <x:v>Source</x:v>
      </x:c>
      <x:c r="C42" s="3" t="str">
        <x:v>home-gui-template.html:105</x:v>
      </x:c>
      <x:c r="D42" s="3" t="str">
        <x:v>capsules/home-gui/browser/home-gui-template.html:105</x:v>
      </x:c>
      <x:c r="E42" s="3" t="str">
        <x:v>Expected behavior only</x:v>
      </x:c>
      <x:c r="F42" s="3" t="str">
        <x:v>Source commit 8e5eb88b; not live execution.</x:v>
      </x:c>
      <x:c r="G42" s="3"/>
      <x:c r="H42" s="3"/>
      <x:c r="I42" s="3"/>
      <x:c r="J42" s="3"/>
      <x:c r="K42" s="3"/>
      <x:c r="L42" s="3"/>
    </x:row>
    <x:row r="43" ht="42" customHeight="1">
      <x:c r="A43" s="3" t="str">
        <x:v>S-014</x:v>
      </x:c>
      <x:c r="B43" s="3" t="str">
        <x:v>Source</x:v>
      </x:c>
      <x:c r="C43" s="3" t="str">
        <x:v>home-gui-template.html:12</x:v>
      </x:c>
      <x:c r="D43" s="3" t="str">
        <x:v>capsules/home-gui/browser/home-gui-template.html:12</x:v>
      </x:c>
      <x:c r="E43" s="3" t="str">
        <x:v>Expected behavior only</x:v>
      </x:c>
      <x:c r="F43" s="3" t="str">
        <x:v>Source commit 8e5eb88b; not live execution.</x:v>
      </x:c>
      <x:c r="G43" s="3"/>
      <x:c r="H43" s="3"/>
      <x:c r="I43" s="3"/>
      <x:c r="J43" s="3"/>
      <x:c r="K43" s="3"/>
      <x:c r="L43" s="3"/>
    </x:row>
    <x:row r="44" ht="42" customHeight="1">
      <x:c r="A44" s="3" t="str">
        <x:v>S-015</x:v>
      </x:c>
      <x:c r="B44" s="3" t="str">
        <x:v>Source</x:v>
      </x:c>
      <x:c r="C44" s="3" t="str">
        <x:v>home-gui-template.html:40</x:v>
      </x:c>
      <x:c r="D44" s="3" t="str">
        <x:v>capsules/home-gui/browser/home-gui-template.html:40</x:v>
      </x:c>
      <x:c r="E44" s="3" t="str">
        <x:v>Expected behavior only</x:v>
      </x:c>
      <x:c r="F44" s="3" t="str">
        <x:v>Source commit 8e5eb88b; not live execution.</x:v>
      </x:c>
      <x:c r="G44" s="3"/>
      <x:c r="H44" s="3"/>
      <x:c r="I44" s="3"/>
      <x:c r="J44" s="3"/>
      <x:c r="K44" s="3"/>
      <x:c r="L44" s="3"/>
    </x:row>
    <x:row r="45" ht="42" customHeight="1">
      <x:c r="A45" s="3" t="str">
        <x:v>S-016</x:v>
      </x:c>
      <x:c r="B45" s="3" t="str">
        <x:v>Source</x:v>
      </x:c>
      <x:c r="C45" s="3" t="str">
        <x:v>shell-surface.js:1913</x:v>
      </x:c>
      <x:c r="D45" s="3" t="str">
        <x:v>capsules/home-gui/browser/shell-surface.js:1913</x:v>
      </x:c>
      <x:c r="E45" s="3" t="str">
        <x:v>Expected behavior only</x:v>
      </x:c>
      <x:c r="F45" s="3" t="str">
        <x:v>Source commit 8e5eb88b; not live execution.</x:v>
      </x:c>
      <x:c r="G45" s="3"/>
      <x:c r="H45" s="3"/>
      <x:c r="I45" s="3"/>
      <x:c r="J45" s="3"/>
      <x:c r="K45" s="3"/>
      <x:c r="L45" s="3"/>
    </x:row>
    <x:row r="46" ht="42" customHeight="1">
      <x:c r="A46" s="3" t="str">
        <x:v>S-017</x:v>
      </x:c>
      <x:c r="B46" s="3" t="str">
        <x:v>Source</x:v>
      </x:c>
      <x:c r="C46" s="3" t="str">
        <x:v>shell-surface.js:2018</x:v>
      </x:c>
      <x:c r="D46" s="3" t="str">
        <x:v>capsules/home-gui/browser/shell-surface.js:2018</x:v>
      </x:c>
      <x:c r="E46" s="3" t="str">
        <x:v>Expected behavior only</x:v>
      </x:c>
      <x:c r="F46" s="3" t="str">
        <x:v>Source commit 8e5eb88b; not live execution.</x:v>
      </x:c>
      <x:c r="G46" s="3"/>
      <x:c r="H46" s="3"/>
      <x:c r="I46" s="3"/>
      <x:c r="J46" s="3"/>
      <x:c r="K46" s="3"/>
      <x:c r="L46" s="3"/>
    </x:row>
    <x:row r="47" ht="42" customHeight="1">
      <x:c r="A47" s="3" t="str">
        <x:v>S-018</x:v>
      </x:c>
      <x:c r="B47" s="3" t="str">
        <x:v>Source</x:v>
      </x:c>
      <x:c r="C47" s="3" t="str">
        <x:v>shell-core.js:874</x:v>
      </x:c>
      <x:c r="D47" s="3" t="str">
        <x:v>capsules/home-gui/browser/shell-core.js:874</x:v>
      </x:c>
      <x:c r="E47" s="3" t="str">
        <x:v>Expected behavior only</x:v>
      </x:c>
      <x:c r="F47" s="3" t="str">
        <x:v>Source commit 8e5eb88b; not live execution.</x:v>
      </x:c>
      <x:c r="G47" s="3"/>
      <x:c r="H47" s="3"/>
      <x:c r="I47" s="3"/>
      <x:c r="J47" s="3"/>
      <x:c r="K47" s="3"/>
      <x:c r="L47" s="3"/>
    </x:row>
    <x:row r="48" ht="42" customHeight="1">
      <x:c r="A48" s="3" t="str">
        <x:v>S-019</x:v>
      </x:c>
      <x:c r="B48" s="3" t="str">
        <x:v>Source</x:v>
      </x:c>
      <x:c r="C48" s="3" t="str">
        <x:v>shell-surface.js:1901</x:v>
      </x:c>
      <x:c r="D48" s="3" t="str">
        <x:v>capsules/home-gui/browser/shell-surface.js:1901</x:v>
      </x:c>
      <x:c r="E48" s="3" t="str">
        <x:v>Expected behavior only</x:v>
      </x:c>
      <x:c r="F48" s="3" t="str">
        <x:v>Source commit 8e5eb88b; not live execution.</x:v>
      </x:c>
      <x:c r="G48" s="3"/>
      <x:c r="H48" s="3"/>
      <x:c r="I48" s="3"/>
      <x:c r="J48" s="3"/>
      <x:c r="K48" s="3"/>
      <x:c r="L48" s="3"/>
    </x:row>
    <x:row r="49" ht="42" customHeight="1">
      <x:c r="A49" s="3" t="str">
        <x:v>S-020</x:v>
      </x:c>
      <x:c r="B49" s="3" t="str">
        <x:v>Source</x:v>
      </x:c>
      <x:c r="C49" s="3" t="str">
        <x:v>shell-surface.js:1939</x:v>
      </x:c>
      <x:c r="D49" s="3" t="str">
        <x:v>capsules/home-gui/browser/shell-surface.js:1939</x:v>
      </x:c>
      <x:c r="E49" s="3" t="str">
        <x:v>Expected behavior only</x:v>
      </x:c>
      <x:c r="F49" s="3" t="str">
        <x:v>Source commit 8e5eb88b; not live execution.</x:v>
      </x:c>
      <x:c r="G49" s="3"/>
      <x:c r="H49" s="3"/>
      <x:c r="I49" s="3"/>
      <x:c r="J49" s="3"/>
      <x:c r="K49" s="3"/>
      <x:c r="L49" s="3"/>
    </x:row>
    <x:row r="50" ht="42" customHeight="1">
      <x:c r="A50" s="3" t="str">
        <x:v>S-021</x:v>
      </x:c>
      <x:c r="B50" s="3" t="str">
        <x:v>Source</x:v>
      </x:c>
      <x:c r="C50" s="3" t="str">
        <x:v>home-gui-template.html:206</x:v>
      </x:c>
      <x:c r="D50" s="3" t="str">
        <x:v>capsules/home-gui/browser/home-gui-template.html:206</x:v>
      </x:c>
      <x:c r="E50" s="3" t="str">
        <x:v>Expected behavior only</x:v>
      </x:c>
      <x:c r="F50" s="3" t="str">
        <x:v>Source commit 8e5eb88b; not live execution.</x:v>
      </x:c>
      <x:c r="G50" s="3"/>
      <x:c r="H50" s="3"/>
      <x:c r="I50" s="3"/>
      <x:c r="J50" s="3"/>
      <x:c r="K50" s="3"/>
      <x:c r="L50" s="3"/>
    </x:row>
    <x:row r="51" ht="42" customHeight="1">
      <x:c r="A51" s="3" t="str">
        <x:v>S-022</x:v>
      </x:c>
      <x:c r="B51" s="3" t="str">
        <x:v>Source</x:v>
      </x:c>
      <x:c r="C51" s="3" t="str">
        <x:v>home-gui-template.html:76</x:v>
      </x:c>
      <x:c r="D51" s="3" t="str">
        <x:v>capsules/home-gui/browser/home-gui-template.html:76</x:v>
      </x:c>
      <x:c r="E51" s="3" t="str">
        <x:v>Expected behavior only</x:v>
      </x:c>
      <x:c r="F51" s="3" t="str">
        <x:v>Source commit 8e5eb88b; not live execution.</x:v>
      </x:c>
      <x:c r="G51" s="3"/>
      <x:c r="H51" s="3"/>
      <x:c r="I51" s="3"/>
      <x:c r="J51" s="3"/>
      <x:c r="K51" s="3"/>
      <x:c r="L51" s="3"/>
    </x:row>
    <x:row r="52" ht="42" customHeight="1">
      <x:c r="A52" s="3" t="str">
        <x:v>S-023</x:v>
      </x:c>
      <x:c r="B52" s="3" t="str">
        <x:v>Source</x:v>
      </x:c>
      <x:c r="C52" s="3" t="str">
        <x:v>home-gui-template.html:126</x:v>
      </x:c>
      <x:c r="D52" s="3" t="str">
        <x:v>capsules/home-gui/browser/home-gui-template.html:126</x:v>
      </x:c>
      <x:c r="E52" s="3" t="str">
        <x:v>Expected behavior only</x:v>
      </x:c>
      <x:c r="F52" s="3" t="str">
        <x:v>Source commit 8e5eb88b; not live execution.</x:v>
      </x:c>
      <x:c r="G52" s="3"/>
      <x:c r="H52" s="3"/>
      <x:c r="I52" s="3"/>
      <x:c r="J52" s="3"/>
      <x:c r="K52" s="3"/>
      <x:c r="L52" s="3"/>
    </x:row>
    <x:row r="53" ht="42" customHeight="1">
      <x:c r="A53" s="3" t="str">
        <x:v>S-024</x:v>
      </x:c>
      <x:c r="B53" s="3" t="str">
        <x:v>Source</x:v>
      </x:c>
      <x:c r="C53" s="3" t="str">
        <x:v>system.js:1022</x:v>
      </x:c>
      <x:c r="D53" s="3" t="str">
        <x:v>capsules/system/browser/system.js:1022</x:v>
      </x:c>
      <x:c r="E53" s="3" t="str">
        <x:v>Expected behavior only</x:v>
      </x:c>
      <x:c r="F53" s="3" t="str">
        <x:v>Source commit 8e5eb88b; not live execution.</x:v>
      </x:c>
      <x:c r="G53" s="3"/>
      <x:c r="H53" s="3"/>
      <x:c r="I53" s="3"/>
      <x:c r="J53" s="3"/>
      <x:c r="K53" s="3"/>
      <x:c r="L53" s="3"/>
    </x:row>
    <x:row r="54" ht="42" customHeight="1">
      <x:c r="A54" s="3" t="str">
        <x:v>S-025</x:v>
      </x:c>
      <x:c r="B54" s="3" t="str">
        <x:v>Source</x:v>
      </x:c>
      <x:c r="C54" s="3" t="str">
        <x:v>system.js:186</x:v>
      </x:c>
      <x:c r="D54" s="3" t="str">
        <x:v>capsules/system/browser/system.js:186</x:v>
      </x:c>
      <x:c r="E54" s="3" t="str">
        <x:v>Expected behavior only</x:v>
      </x:c>
      <x:c r="F54" s="3" t="str">
        <x:v>Source commit 8e5eb88b; not live execution.</x:v>
      </x:c>
      <x:c r="G54" s="3"/>
      <x:c r="H54" s="3"/>
      <x:c r="I54" s="3"/>
      <x:c r="J54" s="3"/>
      <x:c r="K54" s="3"/>
      <x:c r="L54" s="3"/>
    </x:row>
    <x:row r="55" ht="42" customHeight="1">
      <x:c r="A55" s="3" t="str">
        <x:v>S-026</x:v>
      </x:c>
      <x:c r="B55" s="3" t="str">
        <x:v>Source</x:v>
      </x:c>
      <x:c r="C55" s="3" t="str">
        <x:v>shell-setup-sheet.js:267</x:v>
      </x:c>
      <x:c r="D55" s="3" t="str">
        <x:v>capsules/home-gui/browser/shell-setup-sheet.js:267</x:v>
      </x:c>
      <x:c r="E55" s="3" t="str">
        <x:v>Expected behavior only</x:v>
      </x:c>
      <x:c r="F55" s="3" t="str">
        <x:v>Source commit 8e5eb88b; not live execution.</x:v>
      </x:c>
      <x:c r="G55" s="3"/>
      <x:c r="H55" s="3"/>
      <x:c r="I55" s="3"/>
      <x:c r="J55" s="3"/>
      <x:c r="K55" s="3"/>
      <x:c r="L55" s="3"/>
    </x:row>
    <x:row r="56" ht="42" customHeight="1">
      <x:c r="A56" s="3" t="str">
        <x:v>S-027</x:v>
      </x:c>
      <x:c r="B56" s="3" t="str">
        <x:v>Source</x:v>
      </x:c>
      <x:c r="C56" s="3" t="str">
        <x:v>system.js:1981</x:v>
      </x:c>
      <x:c r="D56" s="3" t="str">
        <x:v>capsules/system/browser/system.js:1981</x:v>
      </x:c>
      <x:c r="E56" s="3" t="str">
        <x:v>Expected behavior only</x:v>
      </x:c>
      <x:c r="F56" s="3" t="str">
        <x:v>Source commit 8e5eb88b; not live execution.</x:v>
      </x:c>
      <x:c r="G56" s="3"/>
      <x:c r="H56" s="3"/>
      <x:c r="I56" s="3"/>
      <x:c r="J56" s="3"/>
      <x:c r="K56" s="3"/>
      <x:c r="L56" s="3"/>
    </x:row>
    <x:row r="57" ht="42" customHeight="1">
      <x:c r="A57" s="3" t="str">
        <x:v>S-028</x:v>
      </x:c>
      <x:c r="B57" s="3" t="str">
        <x:v>Source</x:v>
      </x:c>
      <x:c r="C57" s="3" t="str">
        <x:v>system.js:508</x:v>
      </x:c>
      <x:c r="D57" s="3" t="str">
        <x:v>capsules/system/browser/system.js:508</x:v>
      </x:c>
      <x:c r="E57" s="3" t="str">
        <x:v>Expected behavior only</x:v>
      </x:c>
      <x:c r="F57" s="3" t="str">
        <x:v>Source commit 8e5eb88b; not live execution.</x:v>
      </x:c>
      <x:c r="G57" s="3"/>
      <x:c r="H57" s="3"/>
      <x:c r="I57" s="3"/>
      <x:c r="J57" s="3"/>
      <x:c r="K57" s="3"/>
      <x:c r="L57" s="3"/>
    </x:row>
    <x:row r="58" ht="42" customHeight="1">
      <x:c r="A58" s="3" t="str">
        <x:v>S-029</x:v>
      </x:c>
      <x:c r="B58" s="3" t="str">
        <x:v>Source</x:v>
      </x:c>
      <x:c r="C58" s="3" t="str">
        <x:v>system.js:2210</x:v>
      </x:c>
      <x:c r="D58" s="3" t="str">
        <x:v>capsules/system/browser/system.js:2210</x:v>
      </x:c>
      <x:c r="E58" s="3" t="str">
        <x:v>Expected behavior only</x:v>
      </x:c>
      <x:c r="F58" s="3" t="str">
        <x:v>Source commit 8e5eb88b; not live execution.</x:v>
      </x:c>
      <x:c r="G58" s="3"/>
      <x:c r="H58" s="3"/>
      <x:c r="I58" s="3"/>
      <x:c r="J58" s="3"/>
      <x:c r="K58" s="3"/>
      <x:c r="L58" s="3"/>
    </x:row>
    <x:row r="59" ht="42" customHeight="1">
      <x:c r="A59" s="3" t="str">
        <x:v>S-030</x:v>
      </x:c>
      <x:c r="B59" s="3" t="str">
        <x:v>Source</x:v>
      </x:c>
      <x:c r="C59" s="3" t="str">
        <x:v>system.js:2237</x:v>
      </x:c>
      <x:c r="D59" s="3" t="str">
        <x:v>capsules/system/browser/system.js:2237</x:v>
      </x:c>
      <x:c r="E59" s="3" t="str">
        <x:v>Expected behavior only</x:v>
      </x:c>
      <x:c r="F59" s="3" t="str">
        <x:v>Source commit 8e5eb88b; not live execution.</x:v>
      </x:c>
      <x:c r="G59" s="3"/>
      <x:c r="H59" s="3"/>
      <x:c r="I59" s="3"/>
      <x:c r="J59" s="3"/>
      <x:c r="K59" s="3"/>
      <x:c r="L59" s="3"/>
    </x:row>
    <x:row r="60" ht="42" customHeight="1">
      <x:c r="A60" s="3" t="str">
        <x:v>S-031</x:v>
      </x:c>
      <x:c r="B60" s="3" t="str">
        <x:v>Source</x:v>
      </x:c>
      <x:c r="C60" s="3" t="str">
        <x:v>gateway_home_system.rs:3370</x:v>
      </x:c>
      <x:c r="D60" s="3" t="str">
        <x:v>elastos/crates/elastos-server/src/api/gateway_home_system.rs:3370</x:v>
      </x:c>
      <x:c r="E60" s="3" t="str">
        <x:v>Expected behavior only</x:v>
      </x:c>
      <x:c r="F60" s="3" t="str">
        <x:v>Source commit 8e5eb88b; not live execution.</x:v>
      </x:c>
      <x:c r="G60" s="3"/>
      <x:c r="H60" s="3"/>
      <x:c r="I60" s="3"/>
      <x:c r="J60" s="3"/>
      <x:c r="K60" s="3"/>
      <x:c r="L60" s="3"/>
    </x:row>
    <x:row r="61" ht="42" customHeight="1">
      <x:c r="A61" s="3" t="str">
        <x:v>S-032</x:v>
      </x:c>
      <x:c r="B61" s="3" t="str">
        <x:v>Source</x:v>
      </x:c>
      <x:c r="C61" s="3" t="str">
        <x:v>system.js:338</x:v>
      </x:c>
      <x:c r="D61" s="3" t="str">
        <x:v>capsules/system/browser/system.js:338</x:v>
      </x:c>
      <x:c r="E61" s="3" t="str">
        <x:v>Expected behavior only</x:v>
      </x:c>
      <x:c r="F61" s="3" t="str">
        <x:v>Source commit 8e5eb88b; not live execution.</x:v>
      </x:c>
      <x:c r="G61" s="3"/>
      <x:c r="H61" s="3"/>
      <x:c r="I61" s="3"/>
      <x:c r="J61" s="3"/>
      <x:c r="K61" s="3"/>
      <x:c r="L61" s="3"/>
    </x:row>
    <x:row r="62" ht="42" customHeight="1">
      <x:c r="A62" s="3" t="str">
        <x:v>S-033</x:v>
      </x:c>
      <x:c r="B62" s="3" t="str">
        <x:v>Source</x:v>
      </x:c>
      <x:c r="C62" s="3" t="str">
        <x:v>system.js:642</x:v>
      </x:c>
      <x:c r="D62" s="3" t="str">
        <x:v>capsules/system/browser/system.js:642</x:v>
      </x:c>
      <x:c r="E62" s="3" t="str">
        <x:v>Expected behavior only</x:v>
      </x:c>
      <x:c r="F62" s="3" t="str">
        <x:v>Source commit 8e5eb88b; not live execution.</x:v>
      </x:c>
      <x:c r="G62" s="3"/>
      <x:c r="H62" s="3"/>
      <x:c r="I62" s="3"/>
      <x:c r="J62" s="3"/>
      <x:c r="K62" s="3"/>
      <x:c r="L62" s="3"/>
    </x:row>
    <x:row r="63" ht="42" customHeight="1">
      <x:c r="A63" s="3" t="str">
        <x:v>S-034</x:v>
      </x:c>
      <x:c r="B63" s="3" t="str">
        <x:v>Source</x:v>
      </x:c>
      <x:c r="C63" s="3" t="str">
        <x:v>system.js:1100</x:v>
      </x:c>
      <x:c r="D63" s="3" t="str">
        <x:v>capsules/system/browser/system.js:1100</x:v>
      </x:c>
      <x:c r="E63" s="3" t="str">
        <x:v>Expected behavior only</x:v>
      </x:c>
      <x:c r="F63" s="3" t="str">
        <x:v>Source commit 8e5eb88b; not live execution.</x:v>
      </x:c>
      <x:c r="G63" s="3"/>
      <x:c r="H63" s="3"/>
      <x:c r="I63" s="3"/>
      <x:c r="J63" s="3"/>
      <x:c r="K63" s="3"/>
      <x:c r="L63" s="3"/>
    </x:row>
    <x:row r="64" ht="42" customHeight="1">
      <x:c r="A64" s="3" t="str">
        <x:v>S-035</x:v>
      </x:c>
      <x:c r="B64" s="3" t="str">
        <x:v>Source</x:v>
      </x:c>
      <x:c r="C64" s="3" t="str">
        <x:v>system.js:1689</x:v>
      </x:c>
      <x:c r="D64" s="3" t="str">
        <x:v>capsules/system/browser/system.js:1689</x:v>
      </x:c>
      <x:c r="E64" s="3" t="str">
        <x:v>Expected behavior only</x:v>
      </x:c>
      <x:c r="F64" s="3" t="str">
        <x:v>Source commit 8e5eb88b; not live execution.</x:v>
      </x:c>
      <x:c r="G64" s="3"/>
      <x:c r="H64" s="3"/>
      <x:c r="I64" s="3"/>
      <x:c r="J64" s="3"/>
      <x:c r="K64" s="3"/>
      <x:c r="L64" s="3"/>
    </x:row>
    <x:row r="65" ht="42" customHeight="1">
      <x:c r="A65" s="3" t="str">
        <x:v>S-036</x:v>
      </x:c>
      <x:c r="B65" s="3" t="str">
        <x:v>Source</x:v>
      </x:c>
      <x:c r="C65" s="3" t="str">
        <x:v>system.js:2811</x:v>
      </x:c>
      <x:c r="D65" s="3" t="str">
        <x:v>capsules/system/browser/system.js:2811</x:v>
      </x:c>
      <x:c r="E65" s="3" t="str">
        <x:v>Expected behavior only</x:v>
      </x:c>
      <x:c r="F65" s="3" t="str">
        <x:v>Source commit 8e5eb88b; not live execution.</x:v>
      </x:c>
      <x:c r="G65" s="3"/>
      <x:c r="H65" s="3"/>
      <x:c r="I65" s="3"/>
      <x:c r="J65" s="3"/>
      <x:c r="K65" s="3"/>
      <x:c r="L65" s="3"/>
    </x:row>
    <x:row r="66" ht="42" customHeight="1">
      <x:c r="A66" s="3" t="str">
        <x:v>S-037</x:v>
      </x:c>
      <x:c r="B66" s="3" t="str">
        <x:v>Source</x:v>
      </x:c>
      <x:c r="C66" s="3" t="str">
        <x:v>system.js:1280</x:v>
      </x:c>
      <x:c r="D66" s="3" t="str">
        <x:v>capsules/system/browser/system.js:1280</x:v>
      </x:c>
      <x:c r="E66" s="3" t="str">
        <x:v>Expected behavior only</x:v>
      </x:c>
      <x:c r="F66" s="3" t="str">
        <x:v>Source commit 8e5eb88b; not live execution.</x:v>
      </x:c>
      <x:c r="G66" s="3"/>
      <x:c r="H66" s="3"/>
      <x:c r="I66" s="3"/>
      <x:c r="J66" s="3"/>
      <x:c r="K66" s="3"/>
      <x:c r="L66" s="3"/>
    </x:row>
    <x:row r="67" ht="42" customHeight="1">
      <x:c r="A67" s="3" t="str">
        <x:v>S-038</x:v>
      </x:c>
      <x:c r="B67" s="3" t="str">
        <x:v>Source</x:v>
      </x:c>
      <x:c r="C67" s="3" t="str">
        <x:v>people.js:217</x:v>
      </x:c>
      <x:c r="D67" s="3" t="str">
        <x:v>capsules/people/browser/people.js:217</x:v>
      </x:c>
      <x:c r="E67" s="3" t="str">
        <x:v>Expected behavior only</x:v>
      </x:c>
      <x:c r="F67" s="3" t="str">
        <x:v>Source commit 8e5eb88b; not live execution.</x:v>
      </x:c>
      <x:c r="G67" s="3"/>
      <x:c r="H67" s="3"/>
      <x:c r="I67" s="3"/>
      <x:c r="J67" s="3"/>
      <x:c r="K67" s="3"/>
      <x:c r="L67" s="3"/>
    </x:row>
    <x:row r="68" ht="42" customHeight="1">
      <x:c r="A68" s="3" t="str">
        <x:v>S-039</x:v>
      </x:c>
      <x:c r="B68" s="3" t="str">
        <x:v>Source</x:v>
      </x:c>
      <x:c r="C68" s="3" t="str">
        <x:v>people.js:517</x:v>
      </x:c>
      <x:c r="D68" s="3" t="str">
        <x:v>capsules/people/browser/people.js:517</x:v>
      </x:c>
      <x:c r="E68" s="3" t="str">
        <x:v>Expected behavior only</x:v>
      </x:c>
      <x:c r="F68" s="3" t="str">
        <x:v>Source commit 8e5eb88b; not live execution.</x:v>
      </x:c>
      <x:c r="G68" s="3"/>
      <x:c r="H68" s="3"/>
      <x:c r="I68" s="3"/>
      <x:c r="J68" s="3"/>
      <x:c r="K68" s="3"/>
      <x:c r="L68" s="3"/>
    </x:row>
    <x:row r="69" ht="42" customHeight="1">
      <x:c r="A69" s="3" t="str">
        <x:v>S-040</x:v>
      </x:c>
      <x:c r="B69" s="3" t="str">
        <x:v>Source</x:v>
      </x:c>
      <x:c r="C69" s="3" t="str">
        <x:v>people.js:256</x:v>
      </x:c>
      <x:c r="D69" s="3" t="str">
        <x:v>capsules/people/browser/people.js:256</x:v>
      </x:c>
      <x:c r="E69" s="3" t="str">
        <x:v>Expected behavior only</x:v>
      </x:c>
      <x:c r="F69" s="3" t="str">
        <x:v>Source commit 8e5eb88b; not live execution.</x:v>
      </x:c>
      <x:c r="G69" s="3"/>
      <x:c r="H69" s="3"/>
      <x:c r="I69" s="3"/>
      <x:c r="J69" s="3"/>
      <x:c r="K69" s="3"/>
      <x:c r="L69" s="3"/>
    </x:row>
    <x:row r="70" ht="42" customHeight="1">
      <x:c r="A70" s="3" t="str">
        <x:v>S-041</x:v>
      </x:c>
      <x:c r="B70" s="3" t="str">
        <x:v>Source</x:v>
      </x:c>
      <x:c r="C70" s="3" t="str">
        <x:v>people.js:266</x:v>
      </x:c>
      <x:c r="D70" s="3" t="str">
        <x:v>capsules/people/browser/people.js:266</x:v>
      </x:c>
      <x:c r="E70" s="3" t="str">
        <x:v>Expected behavior only</x:v>
      </x:c>
      <x:c r="F70" s="3" t="str">
        <x:v>Source commit 8e5eb88b; not live execution.</x:v>
      </x:c>
      <x:c r="G70" s="3"/>
      <x:c r="H70" s="3"/>
      <x:c r="I70" s="3"/>
      <x:c r="J70" s="3"/>
      <x:c r="K70" s="3"/>
      <x:c r="L70" s="3"/>
    </x:row>
    <x:row r="71" ht="42" customHeight="1">
      <x:c r="A71" s="3" t="str">
        <x:v>S-042</x:v>
      </x:c>
      <x:c r="B71" s="3" t="str">
        <x:v>Source</x:v>
      </x:c>
      <x:c r="C71" s="3" t="str">
        <x:v>people.js:301</x:v>
      </x:c>
      <x:c r="D71" s="3" t="str">
        <x:v>capsules/people/browser/people.js:301</x:v>
      </x:c>
      <x:c r="E71" s="3" t="str">
        <x:v>Expected behavior only</x:v>
      </x:c>
      <x:c r="F71" s="3" t="str">
        <x:v>Source commit 8e5eb88b; not live execution.</x:v>
      </x:c>
      <x:c r="G71" s="3"/>
      <x:c r="H71" s="3"/>
      <x:c r="I71" s="3"/>
      <x:c r="J71" s="3"/>
      <x:c r="K71" s="3"/>
      <x:c r="L71" s="3"/>
    </x:row>
    <x:row r="72" ht="42" customHeight="1">
      <x:c r="A72" s="3" t="str">
        <x:v>S-043</x:v>
      </x:c>
      <x:c r="B72" s="3" t="str">
        <x:v>Source</x:v>
      </x:c>
      <x:c r="C72" s="3" t="str">
        <x:v>people.js:453</x:v>
      </x:c>
      <x:c r="D72" s="3" t="str">
        <x:v>capsules/people/browser/people.js:453</x:v>
      </x:c>
      <x:c r="E72" s="3" t="str">
        <x:v>Expected behavior only</x:v>
      </x:c>
      <x:c r="F72" s="3" t="str">
        <x:v>Source commit 8e5eb88b; not live execution.</x:v>
      </x:c>
      <x:c r="G72" s="3"/>
      <x:c r="H72" s="3"/>
      <x:c r="I72" s="3"/>
      <x:c r="J72" s="3"/>
      <x:c r="K72" s="3"/>
      <x:c r="L72" s="3"/>
    </x:row>
    <x:row r="73" ht="42" customHeight="1">
      <x:c r="A73" s="3" t="str">
        <x:v>S-044</x:v>
      </x:c>
      <x:c r="B73" s="3" t="str">
        <x:v>Source</x:v>
      </x:c>
      <x:c r="C73" s="3" t="str">
        <x:v>index.html:64</x:v>
      </x:c>
      <x:c r="D73" s="3" t="str">
        <x:v>capsules/chat-room/browser/index.html:64</x:v>
      </x:c>
      <x:c r="E73" s="3" t="str">
        <x:v>Expected behavior only</x:v>
      </x:c>
      <x:c r="F73" s="3" t="str">
        <x:v>Source commit 8e5eb88b; not live execution.</x:v>
      </x:c>
      <x:c r="G73" s="3"/>
      <x:c r="H73" s="3"/>
      <x:c r="I73" s="3"/>
      <x:c r="J73" s="3"/>
      <x:c r="K73" s="3"/>
      <x:c r="L73" s="3"/>
    </x:row>
    <x:row r="74" ht="42" customHeight="1">
      <x:c r="A74" s="3" t="str">
        <x:v>S-045</x:v>
      </x:c>
      <x:c r="B74" s="3" t="str">
        <x:v>Source</x:v>
      </x:c>
      <x:c r="C74" s="3" t="str">
        <x:v>index.html:47</x:v>
      </x:c>
      <x:c r="D74" s="3" t="str">
        <x:v>capsules/chat-room/browser/index.html:47</x:v>
      </x:c>
      <x:c r="E74" s="3" t="str">
        <x:v>Expected behavior only</x:v>
      </x:c>
      <x:c r="F74" s="3" t="str">
        <x:v>Source commit 8e5eb88b; not live execution.</x:v>
      </x:c>
      <x:c r="G74" s="3"/>
      <x:c r="H74" s="3"/>
      <x:c r="I74" s="3"/>
      <x:c r="J74" s="3"/>
      <x:c r="K74" s="3"/>
      <x:c r="L74" s="3"/>
    </x:row>
    <x:row r="75" ht="42" customHeight="1">
      <x:c r="A75" s="3" t="str">
        <x:v>S-046</x:v>
      </x:c>
      <x:c r="B75" s="3" t="str">
        <x:v>Source</x:v>
      </x:c>
      <x:c r="C75" s="3" t="str">
        <x:v>index.html:126</x:v>
      </x:c>
      <x:c r="D75" s="3" t="str">
        <x:v>capsules/chat-room/browser/index.html:126</x:v>
      </x:c>
      <x:c r="E75" s="3" t="str">
        <x:v>Expected behavior only</x:v>
      </x:c>
      <x:c r="F75" s="3" t="str">
        <x:v>Source commit 8e5eb88b; not live execution.</x:v>
      </x:c>
      <x:c r="G75" s="3"/>
      <x:c r="H75" s="3"/>
      <x:c r="I75" s="3"/>
      <x:c r="J75" s="3"/>
      <x:c r="K75" s="3"/>
      <x:c r="L75" s="3"/>
    </x:row>
    <x:row r="76" ht="42" customHeight="1">
      <x:c r="A76" s="3" t="str">
        <x:v>S-047</x:v>
      </x:c>
      <x:c r="B76" s="3" t="str">
        <x:v>Source</x:v>
      </x:c>
      <x:c r="C76" s="3" t="str">
        <x:v>index.html:99</x:v>
      </x:c>
      <x:c r="D76" s="3" t="str">
        <x:v>capsules/chat-room/browser/index.html:99</x:v>
      </x:c>
      <x:c r="E76" s="3" t="str">
        <x:v>Expected behavior only</x:v>
      </x:c>
      <x:c r="F76" s="3" t="str">
        <x:v>Source commit 8e5eb88b; not live execution.</x:v>
      </x:c>
      <x:c r="G76" s="3"/>
      <x:c r="H76" s="3"/>
      <x:c r="I76" s="3"/>
      <x:c r="J76" s="3"/>
      <x:c r="K76" s="3"/>
      <x:c r="L76" s="3"/>
    </x:row>
    <x:row r="77" ht="42" customHeight="1">
      <x:c r="A77" s="3" t="str">
        <x:v>S-048</x:v>
      </x:c>
      <x:c r="B77" s="3" t="str">
        <x:v>Source</x:v>
      </x:c>
      <x:c r="C77" s="3" t="str">
        <x:v>index.html:80</x:v>
      </x:c>
      <x:c r="D77" s="3" t="str">
        <x:v>capsules/chat-room/browser/index.html:80</x:v>
      </x:c>
      <x:c r="E77" s="3" t="str">
        <x:v>Expected behavior only</x:v>
      </x:c>
      <x:c r="F77" s="3" t="str">
        <x:v>Source commit 8e5eb88b; not live execution.</x:v>
      </x:c>
      <x:c r="G77" s="3"/>
      <x:c r="H77" s="3"/>
      <x:c r="I77" s="3"/>
      <x:c r="J77" s="3"/>
      <x:c r="K77" s="3"/>
      <x:c r="L77" s="3"/>
    </x:row>
    <x:row r="78" ht="42" customHeight="1">
      <x:c r="A78" s="3" t="str">
        <x:v>S-049</x:v>
      </x:c>
      <x:c r="B78" s="3" t="str">
        <x:v>Source</x:v>
      </x:c>
      <x:c r="C78" s="3" t="str">
        <x:v>index.html:74</x:v>
      </x:c>
      <x:c r="D78" s="3" t="str">
        <x:v>capsules/chat-room/browser/index.html:74</x:v>
      </x:c>
      <x:c r="E78" s="3" t="str">
        <x:v>Expected behavior only</x:v>
      </x:c>
      <x:c r="F78" s="3" t="str">
        <x:v>Source commit 8e5eb88b; not live execution.</x:v>
      </x:c>
      <x:c r="G78" s="3"/>
      <x:c r="H78" s="3"/>
      <x:c r="I78" s="3"/>
      <x:c r="J78" s="3"/>
      <x:c r="K78" s="3"/>
      <x:c r="L78" s="3"/>
    </x:row>
    <x:row r="79" ht="42" customHeight="1">
      <x:c r="A79" s="3" t="str">
        <x:v>S-050</x:v>
      </x:c>
      <x:c r="B79" s="3" t="str">
        <x:v>Source</x:v>
      </x:c>
      <x:c r="C79" s="3" t="str">
        <x:v>index.html:108</x:v>
      </x:c>
      <x:c r="D79" s="3" t="str">
        <x:v>capsules/chat-room/browser/index.html:108</x:v>
      </x:c>
      <x:c r="E79" s="3" t="str">
        <x:v>Expected behavior only</x:v>
      </x:c>
      <x:c r="F79" s="3" t="str">
        <x:v>Source commit 8e5eb88b; not live execution.</x:v>
      </x:c>
      <x:c r="G79" s="3"/>
      <x:c r="H79" s="3"/>
      <x:c r="I79" s="3"/>
      <x:c r="J79" s="3"/>
      <x:c r="K79" s="3"/>
      <x:c r="L79" s="3"/>
    </x:row>
    <x:row r="80" ht="42" customHeight="1">
      <x:c r="A80" s="3" t="str">
        <x:v>S-051</x:v>
      </x:c>
      <x:c r="B80" s="3" t="str">
        <x:v>Source</x:v>
      </x:c>
      <x:c r="C80" s="3" t="str">
        <x:v>index.html:872</x:v>
      </x:c>
      <x:c r="D80" s="3" t="str">
        <x:v>capsules/inbox/browser/index.html:872</x:v>
      </x:c>
      <x:c r="E80" s="3" t="str">
        <x:v>Expected behavior only</x:v>
      </x:c>
      <x:c r="F80" s="3" t="str">
        <x:v>Source commit 8e5eb88b; not live execution.</x:v>
      </x:c>
      <x:c r="G80" s="3"/>
      <x:c r="H80" s="3"/>
      <x:c r="I80" s="3"/>
      <x:c r="J80" s="3"/>
      <x:c r="K80" s="3"/>
      <x:c r="L80" s="3"/>
    </x:row>
    <x:row r="81" ht="42" customHeight="1">
      <x:c r="A81" s="3" t="str">
        <x:v>S-052</x:v>
      </x:c>
      <x:c r="B81" s="3" t="str">
        <x:v>Source</x:v>
      </x:c>
      <x:c r="C81" s="3" t="str">
        <x:v>index.html:968</x:v>
      </x:c>
      <x:c r="D81" s="3" t="str">
        <x:v>capsules/inbox/browser/index.html:968</x:v>
      </x:c>
      <x:c r="E81" s="3" t="str">
        <x:v>Expected behavior only</x:v>
      </x:c>
      <x:c r="F81" s="3" t="str">
        <x:v>Source commit 8e5eb88b; not live execution.</x:v>
      </x:c>
      <x:c r="G81" s="3"/>
      <x:c r="H81" s="3"/>
      <x:c r="I81" s="3"/>
      <x:c r="J81" s="3"/>
      <x:c r="K81" s="3"/>
      <x:c r="L81" s="3"/>
    </x:row>
    <x:row r="82" ht="42" customHeight="1">
      <x:c r="A82" s="3" t="str">
        <x:v>S-053</x:v>
      </x:c>
      <x:c r="B82" s="3" t="str">
        <x:v>Source</x:v>
      </x:c>
      <x:c r="C82" s="3" t="str">
        <x:v>index.html:1081</x:v>
      </x:c>
      <x:c r="D82" s="3" t="str">
        <x:v>capsules/inbox/browser/index.html:1081</x:v>
      </x:c>
      <x:c r="E82" s="3" t="str">
        <x:v>Expected behavior only</x:v>
      </x:c>
      <x:c r="F82" s="3" t="str">
        <x:v>Source commit 8e5eb88b; not live execution.</x:v>
      </x:c>
      <x:c r="G82" s="3"/>
      <x:c r="H82" s="3"/>
      <x:c r="I82" s="3"/>
      <x:c r="J82" s="3"/>
      <x:c r="K82" s="3"/>
      <x:c r="L82" s="3"/>
    </x:row>
    <x:row r="83" ht="42" customHeight="1">
      <x:c r="A83" s="3" t="str">
        <x:v>S-054</x:v>
      </x:c>
      <x:c r="B83" s="3" t="str">
        <x:v>Source</x:v>
      </x:c>
      <x:c r="C83" s="3" t="str">
        <x:v>index.html:987</x:v>
      </x:c>
      <x:c r="D83" s="3" t="str">
        <x:v>capsules/inbox/browser/index.html:987</x:v>
      </x:c>
      <x:c r="E83" s="3" t="str">
        <x:v>Expected behavior only</x:v>
      </x:c>
      <x:c r="F83" s="3" t="str">
        <x:v>Source commit 8e5eb88b; not live execution.</x:v>
      </x:c>
      <x:c r="G83" s="3"/>
      <x:c r="H83" s="3"/>
      <x:c r="I83" s="3"/>
      <x:c r="J83" s="3"/>
      <x:c r="K83" s="3"/>
      <x:c r="L83" s="3"/>
    </x:row>
    <x:row r="84" ht="42" customHeight="1">
      <x:c r="A84" s="3" t="str">
        <x:v>S-055</x:v>
      </x:c>
      <x:c r="B84" s="3" t="str">
        <x:v>Source</x:v>
      </x:c>
      <x:c r="C84" s="3" t="str">
        <x:v>index.html:1104</x:v>
      </x:c>
      <x:c r="D84" s="3" t="str">
        <x:v>capsules/inbox/browser/index.html:1104</x:v>
      </x:c>
      <x:c r="E84" s="3" t="str">
        <x:v>Expected behavior only</x:v>
      </x:c>
      <x:c r="F84" s="3" t="str">
        <x:v>Source commit 8e5eb88b; not live execution.</x:v>
      </x:c>
      <x:c r="G84" s="3"/>
      <x:c r="H84" s="3"/>
      <x:c r="I84" s="3"/>
      <x:c r="J84" s="3"/>
      <x:c r="K84" s="3"/>
      <x:c r="L84" s="3"/>
    </x:row>
    <x:row r="85" ht="42" customHeight="1">
      <x:c r="A85" s="3" t="str">
        <x:v>S-056</x:v>
      </x:c>
      <x:c r="B85" s="3" t="str">
        <x:v>Source</x:v>
      </x:c>
      <x:c r="C85" s="3" t="str">
        <x:v>index.html:997</x:v>
      </x:c>
      <x:c r="D85" s="3" t="str">
        <x:v>capsules/inbox/browser/index.html:997</x:v>
      </x:c>
      <x:c r="E85" s="3" t="str">
        <x:v>Expected behavior only</x:v>
      </x:c>
      <x:c r="F85" s="3" t="str">
        <x:v>Source commit 8e5eb88b; not live execution.</x:v>
      </x:c>
      <x:c r="G85" s="3"/>
      <x:c r="H85" s="3"/>
      <x:c r="I85" s="3"/>
      <x:c r="J85" s="3"/>
      <x:c r="K85" s="3"/>
      <x:c r="L85" s="3"/>
    </x:row>
    <x:row r="86" ht="42" customHeight="1">
      <x:c r="A86" s="3" t="str">
        <x:v>S-057</x:v>
      </x:c>
      <x:c r="B86" s="3" t="str">
        <x:v>Source</x:v>
      </x:c>
      <x:c r="C86" s="3" t="str">
        <x:v>index.html:1001</x:v>
      </x:c>
      <x:c r="D86" s="3" t="str">
        <x:v>capsules/inbox/browser/index.html:1001</x:v>
      </x:c>
      <x:c r="E86" s="3" t="str">
        <x:v>Expected behavior only</x:v>
      </x:c>
      <x:c r="F86" s="3" t="str">
        <x:v>Source commit 8e5eb88b; not live execution.</x:v>
      </x:c>
      <x:c r="G86" s="3"/>
      <x:c r="H86" s="3"/>
      <x:c r="I86" s="3"/>
      <x:c r="J86" s="3"/>
      <x:c r="K86" s="3"/>
      <x:c r="L86" s="3"/>
    </x:row>
    <x:row r="87" ht="42" customHeight="1">
      <x:c r="A87" s="3" t="str">
        <x:v>S-058</x:v>
      </x:c>
      <x:c r="B87" s="3" t="str">
        <x:v>Source</x:v>
      </x:c>
      <x:c r="C87" s="3" t="str">
        <x:v>app.js:662</x:v>
      </x:c>
      <x:c r="D87" s="3" t="str">
        <x:v>capsules/library/browser/src/app.js:662</x:v>
      </x:c>
      <x:c r="E87" s="3" t="str">
        <x:v>Expected behavior only</x:v>
      </x:c>
      <x:c r="F87" s="3" t="str">
        <x:v>Source commit 8e5eb88b; not live execution.</x:v>
      </x:c>
      <x:c r="G87" s="3"/>
      <x:c r="H87" s="3"/>
      <x:c r="I87" s="3"/>
      <x:c r="J87" s="3"/>
      <x:c r="K87" s="3"/>
      <x:c r="L87" s="3"/>
    </x:row>
    <x:row r="88" ht="42" customHeight="1">
      <x:c r="A88" s="3" t="str">
        <x:v>S-059</x:v>
      </x:c>
      <x:c r="B88" s="3" t="str">
        <x:v>Source</x:v>
      </x:c>
      <x:c r="C88" s="3" t="str">
        <x:v>app.js:1130</x:v>
      </x:c>
      <x:c r="D88" s="3" t="str">
        <x:v>capsules/library/browser/src/app.js:1130</x:v>
      </x:c>
      <x:c r="E88" s="3" t="str">
        <x:v>Expected behavior only</x:v>
      </x:c>
      <x:c r="F88" s="3" t="str">
        <x:v>Source commit 8e5eb88b; not live execution.</x:v>
      </x:c>
      <x:c r="G88" s="3"/>
      <x:c r="H88" s="3"/>
      <x:c r="I88" s="3"/>
      <x:c r="J88" s="3"/>
      <x:c r="K88" s="3"/>
      <x:c r="L88" s="3"/>
    </x:row>
    <x:row r="89" ht="42" customHeight="1">
      <x:c r="A89" s="3" t="str">
        <x:v>S-060</x:v>
      </x:c>
      <x:c r="B89" s="3" t="str">
        <x:v>Source</x:v>
      </x:c>
      <x:c r="C89" s="3" t="str">
        <x:v>actions.js:186</x:v>
      </x:c>
      <x:c r="D89" s="3" t="str">
        <x:v>capsules/library/browser/src/actions.js:186</x:v>
      </x:c>
      <x:c r="E89" s="3" t="str">
        <x:v>Expected behavior only</x:v>
      </x:c>
      <x:c r="F89" s="3" t="str">
        <x:v>Source commit 8e5eb88b; not live execution.</x:v>
      </x:c>
      <x:c r="G89" s="3"/>
      <x:c r="H89" s="3"/>
      <x:c r="I89" s="3"/>
      <x:c r="J89" s="3"/>
      <x:c r="K89" s="3"/>
      <x:c r="L89" s="3"/>
    </x:row>
    <x:row r="90" ht="42" customHeight="1">
      <x:c r="A90" s="3" t="str">
        <x:v>S-061</x:v>
      </x:c>
      <x:c r="B90" s="3" t="str">
        <x:v>Source</x:v>
      </x:c>
      <x:c r="C90" s="3" t="str">
        <x:v>actions.js:600</x:v>
      </x:c>
      <x:c r="D90" s="3" t="str">
        <x:v>capsules/library/browser/src/actions.js:600</x:v>
      </x:c>
      <x:c r="E90" s="3" t="str">
        <x:v>Expected behavior only</x:v>
      </x:c>
      <x:c r="F90" s="3" t="str">
        <x:v>Source commit 8e5eb88b; not live execution.</x:v>
      </x:c>
      <x:c r="G90" s="3"/>
      <x:c r="H90" s="3"/>
      <x:c r="I90" s="3"/>
      <x:c r="J90" s="3"/>
      <x:c r="K90" s="3"/>
      <x:c r="L90" s="3"/>
    </x:row>
    <x:row r="91" ht="42" customHeight="1">
      <x:c r="A91" s="3" t="str">
        <x:v>S-062</x:v>
      </x:c>
      <x:c r="B91" s="3" t="str">
        <x:v>Source</x:v>
      </x:c>
      <x:c r="C91" s="3" t="str">
        <x:v>actions.js:194</x:v>
      </x:c>
      <x:c r="D91" s="3" t="str">
        <x:v>capsules/library/browser/src/actions.js:194</x:v>
      </x:c>
      <x:c r="E91" s="3" t="str">
        <x:v>Expected behavior only</x:v>
      </x:c>
      <x:c r="F91" s="3" t="str">
        <x:v>Source commit 8e5eb88b; not live execution.</x:v>
      </x:c>
      <x:c r="G91" s="3"/>
      <x:c r="H91" s="3"/>
      <x:c r="I91" s="3"/>
      <x:c r="J91" s="3"/>
      <x:c r="K91" s="3"/>
      <x:c r="L91" s="3"/>
    </x:row>
    <x:row r="92" ht="42" customHeight="1">
      <x:c r="A92" s="3" t="str">
        <x:v>S-063</x:v>
      </x:c>
      <x:c r="B92" s="3" t="str">
        <x:v>Source</x:v>
      </x:c>
      <x:c r="C92" s="3" t="str">
        <x:v>events.js:188</x:v>
      </x:c>
      <x:c r="D92" s="3" t="str">
        <x:v>capsules/library/browser/src/events.js:188</x:v>
      </x:c>
      <x:c r="E92" s="3" t="str">
        <x:v>Expected behavior only</x:v>
      </x:c>
      <x:c r="F92" s="3" t="str">
        <x:v>Source commit 8e5eb88b; not live execution.</x:v>
      </x:c>
      <x:c r="G92" s="3"/>
      <x:c r="H92" s="3"/>
      <x:c r="I92" s="3"/>
      <x:c r="J92" s="3"/>
      <x:c r="K92" s="3"/>
      <x:c r="L92" s="3"/>
    </x:row>
    <x:row r="93" ht="42" customHeight="1">
      <x:c r="A93" s="3" t="str">
        <x:v>S-064</x:v>
      </x:c>
      <x:c r="B93" s="3" t="str">
        <x:v>Source</x:v>
      </x:c>
      <x:c r="C93" s="3" t="str">
        <x:v>events.js:155</x:v>
      </x:c>
      <x:c r="D93" s="3" t="str">
        <x:v>capsules/library/browser/src/events.js:155</x:v>
      </x:c>
      <x:c r="E93" s="3" t="str">
        <x:v>Expected behavior only</x:v>
      </x:c>
      <x:c r="F93" s="3" t="str">
        <x:v>Source commit 8e5eb88b; not live execution.</x:v>
      </x:c>
      <x:c r="G93" s="3"/>
      <x:c r="H93" s="3"/>
      <x:c r="I93" s="3"/>
      <x:c r="J93" s="3"/>
      <x:c r="K93" s="3"/>
      <x:c r="L93" s="3"/>
    </x:row>
    <x:row r="94" ht="42" customHeight="1">
      <x:c r="A94" s="3" t="str">
        <x:v>S-065</x:v>
      </x:c>
      <x:c r="B94" s="3" t="str">
        <x:v>Source</x:v>
      </x:c>
      <x:c r="C94" s="3" t="str">
        <x:v>app.js:954</x:v>
      </x:c>
      <x:c r="D94" s="3" t="str">
        <x:v>capsules/library/browser/src/app.js:954</x:v>
      </x:c>
      <x:c r="E94" s="3" t="str">
        <x:v>Expected behavior only</x:v>
      </x:c>
      <x:c r="F94" s="3" t="str">
        <x:v>Source commit 8e5eb88b; not live execution.</x:v>
      </x:c>
      <x:c r="G94" s="3"/>
      <x:c r="H94" s="3"/>
      <x:c r="I94" s="3"/>
      <x:c r="J94" s="3"/>
      <x:c r="K94" s="3"/>
      <x:c r="L94" s="3"/>
    </x:row>
    <x:row r="95" ht="42" customHeight="1">
      <x:c r="A95" s="3" t="str">
        <x:v>S-066</x:v>
      </x:c>
      <x:c r="B95" s="3" t="str">
        <x:v>Source</x:v>
      </x:c>
      <x:c r="C95" s="3" t="str">
        <x:v>preview.js:1</x:v>
      </x:c>
      <x:c r="D95" s="3" t="str">
        <x:v>capsules/library/browser/src/preview.js:1</x:v>
      </x:c>
      <x:c r="E95" s="3" t="str">
        <x:v>Expected behavior only</x:v>
      </x:c>
      <x:c r="F95" s="3" t="str">
        <x:v>Source commit 8e5eb88b; not live execution.</x:v>
      </x:c>
      <x:c r="G95" s="3"/>
      <x:c r="H95" s="3"/>
      <x:c r="I95" s="3"/>
      <x:c r="J95" s="3"/>
      <x:c r="K95" s="3"/>
      <x:c r="L95" s="3"/>
    </x:row>
    <x:row r="96" ht="42" customHeight="1">
      <x:c r="A96" s="3" t="str">
        <x:v>S-067</x:v>
      </x:c>
      <x:c r="B96" s="3" t="str">
        <x:v>Source</x:v>
      </x:c>
      <x:c r="C96" s="3" t="str">
        <x:v>app.js:1009</x:v>
      </x:c>
      <x:c r="D96" s="3" t="str">
        <x:v>capsules/library/browser/src/app.js:1009</x:v>
      </x:c>
      <x:c r="E96" s="3" t="str">
        <x:v>Expected behavior only</x:v>
      </x:c>
      <x:c r="F96" s="3" t="str">
        <x:v>Source commit 8e5eb88b; not live execution.</x:v>
      </x:c>
      <x:c r="G96" s="3"/>
      <x:c r="H96" s="3"/>
      <x:c r="I96" s="3"/>
      <x:c r="J96" s="3"/>
      <x:c r="K96" s="3"/>
      <x:c r="L96" s="3"/>
    </x:row>
    <x:row r="97" ht="42" customHeight="1">
      <x:c r="A97" s="3" t="str">
        <x:v>S-068</x:v>
      </x:c>
      <x:c r="B97" s="3" t="str">
        <x:v>Source</x:v>
      </x:c>
      <x:c r="C97" s="3" t="str">
        <x:v>actions.js:249</x:v>
      </x:c>
      <x:c r="D97" s="3" t="str">
        <x:v>capsules/library/browser/src/actions.js:249</x:v>
      </x:c>
      <x:c r="E97" s="3" t="str">
        <x:v>Expected behavior only</x:v>
      </x:c>
      <x:c r="F97" s="3" t="str">
        <x:v>Source commit 8e5eb88b; not live execution.</x:v>
      </x:c>
      <x:c r="G97" s="3"/>
      <x:c r="H97" s="3"/>
      <x:c r="I97" s="3"/>
      <x:c r="J97" s="3"/>
      <x:c r="K97" s="3"/>
      <x:c r="L97" s="3"/>
    </x:row>
    <x:row r="98" ht="42" customHeight="1">
      <x:c r="A98" s="3" t="str">
        <x:v>S-069</x:v>
      </x:c>
      <x:c r="B98" s="3" t="str">
        <x:v>Source</x:v>
      </x:c>
      <x:c r="C98" s="3" t="str">
        <x:v>actions.js:280</x:v>
      </x:c>
      <x:c r="D98" s="3" t="str">
        <x:v>capsules/library/browser/src/actions.js:280</x:v>
      </x:c>
      <x:c r="E98" s="3" t="str">
        <x:v>Expected behavior only</x:v>
      </x:c>
      <x:c r="F98" s="3" t="str">
        <x:v>Source commit 8e5eb88b; not live execution.</x:v>
      </x:c>
      <x:c r="G98" s="3"/>
      <x:c r="H98" s="3"/>
      <x:c r="I98" s="3"/>
      <x:c r="J98" s="3"/>
      <x:c r="K98" s="3"/>
      <x:c r="L98" s="3"/>
    </x:row>
    <x:row r="99" ht="42" customHeight="1">
      <x:c r="A99" s="3" t="str">
        <x:v>S-070</x:v>
      </x:c>
      <x:c r="B99" s="3" t="str">
        <x:v>Source</x:v>
      </x:c>
      <x:c r="C99" s="3" t="str">
        <x:v>actions.js:297</x:v>
      </x:c>
      <x:c r="D99" s="3" t="str">
        <x:v>capsules/library/browser/src/actions.js:297</x:v>
      </x:c>
      <x:c r="E99" s="3" t="str">
        <x:v>Expected behavior only</x:v>
      </x:c>
      <x:c r="F99" s="3" t="str">
        <x:v>Source commit 8e5eb88b; not live execution.</x:v>
      </x:c>
      <x:c r="G99" s="3"/>
      <x:c r="H99" s="3"/>
      <x:c r="I99" s="3"/>
      <x:c r="J99" s="3"/>
      <x:c r="K99" s="3"/>
      <x:c r="L99" s="3"/>
    </x:row>
    <x:row r="100" ht="42" customHeight="1">
      <x:c r="A100" s="3" t="str">
        <x:v>S-071</x:v>
      </x:c>
      <x:c r="B100" s="3" t="str">
        <x:v>Source</x:v>
      </x:c>
      <x:c r="C100" s="3" t="str">
        <x:v>app.js:1055</x:v>
      </x:c>
      <x:c r="D100" s="3" t="str">
        <x:v>capsules/library/browser/src/app.js:1055</x:v>
      </x:c>
      <x:c r="E100" s="3" t="str">
        <x:v>Expected behavior only</x:v>
      </x:c>
      <x:c r="F100" s="3" t="str">
        <x:v>Source commit 8e5eb88b; not live execution.</x:v>
      </x:c>
      <x:c r="G100" s="3"/>
      <x:c r="H100" s="3"/>
      <x:c r="I100" s="3"/>
      <x:c r="J100" s="3"/>
      <x:c r="K100" s="3"/>
      <x:c r="L100" s="3"/>
    </x:row>
    <x:row r="101" ht="42" customHeight="1">
      <x:c r="A101" s="3" t="str">
        <x:v>S-072</x:v>
      </x:c>
      <x:c r="B101" s="3" t="str">
        <x:v>Source</x:v>
      </x:c>
      <x:c r="C101" s="3" t="str">
        <x:v>actions.js:339</x:v>
      </x:c>
      <x:c r="D101" s="3" t="str">
        <x:v>capsules/library/browser/src/actions.js:339</x:v>
      </x:c>
      <x:c r="E101" s="3" t="str">
        <x:v>Expected behavior only</x:v>
      </x:c>
      <x:c r="F101" s="3" t="str">
        <x:v>Source commit 8e5eb88b; not live execution.</x:v>
      </x:c>
      <x:c r="G101" s="3"/>
      <x:c r="H101" s="3"/>
      <x:c r="I101" s="3"/>
      <x:c r="J101" s="3"/>
      <x:c r="K101" s="3"/>
      <x:c r="L101" s="3"/>
    </x:row>
    <x:row r="102" ht="42" customHeight="1">
      <x:c r="A102" s="3" t="str">
        <x:v>S-073</x:v>
      </x:c>
      <x:c r="B102" s="3" t="str">
        <x:v>Source</x:v>
      </x:c>
      <x:c r="C102" s="3" t="str">
        <x:v>app.js:1000</x:v>
      </x:c>
      <x:c r="D102" s="3" t="str">
        <x:v>capsules/library/browser/src/app.js:1000</x:v>
      </x:c>
      <x:c r="E102" s="3" t="str">
        <x:v>Expected behavior only</x:v>
      </x:c>
      <x:c r="F102" s="3" t="str">
        <x:v>Source commit 8e5eb88b; not live execution.</x:v>
      </x:c>
      <x:c r="G102" s="3"/>
      <x:c r="H102" s="3"/>
      <x:c r="I102" s="3"/>
      <x:c r="J102" s="3"/>
      <x:c r="K102" s="3"/>
      <x:c r="L102" s="3"/>
    </x:row>
    <x:row r="103" ht="42" customHeight="1">
      <x:c r="A103" s="3" t="str">
        <x:v>S-074</x:v>
      </x:c>
      <x:c r="B103" s="3" t="str">
        <x:v>Source</x:v>
      </x:c>
      <x:c r="C103" s="3" t="str">
        <x:v>actions.js:424</x:v>
      </x:c>
      <x:c r="D103" s="3" t="str">
        <x:v>capsules/library/browser/src/actions.js:424</x:v>
      </x:c>
      <x:c r="E103" s="3" t="str">
        <x:v>Expected behavior only</x:v>
      </x:c>
      <x:c r="F103" s="3" t="str">
        <x:v>Source commit 8e5eb88b; not live execution.</x:v>
      </x:c>
      <x:c r="G103" s="3"/>
      <x:c r="H103" s="3"/>
      <x:c r="I103" s="3"/>
      <x:c r="J103" s="3"/>
      <x:c r="K103" s="3"/>
      <x:c r="L103" s="3"/>
    </x:row>
    <x:row r="104" ht="42" customHeight="1">
      <x:c r="A104" s="3" t="str">
        <x:v>S-075</x:v>
      </x:c>
      <x:c r="B104" s="3" t="str">
        <x:v>Source</x:v>
      </x:c>
      <x:c r="C104" s="3" t="str">
        <x:v>dialog.js:930</x:v>
      </x:c>
      <x:c r="D104" s="3" t="str">
        <x:v>capsules/library/browser/src/dialog.js:930</x:v>
      </x:c>
      <x:c r="E104" s="3" t="str">
        <x:v>Expected behavior only</x:v>
      </x:c>
      <x:c r="F104" s="3" t="str">
        <x:v>Source commit 8e5eb88b; not live execution.</x:v>
      </x:c>
      <x:c r="G104" s="3"/>
      <x:c r="H104" s="3"/>
      <x:c r="I104" s="3"/>
      <x:c r="J104" s="3"/>
      <x:c r="K104" s="3"/>
      <x:c r="L104" s="3"/>
    </x:row>
    <x:row r="105" ht="42" customHeight="1">
      <x:c r="A105" s="3" t="str">
        <x:v>S-076</x:v>
      </x:c>
      <x:c r="B105" s="3" t="str">
        <x:v>Source</x:v>
      </x:c>
      <x:c r="C105" s="3" t="str">
        <x:v>actions.js:403</x:v>
      </x:c>
      <x:c r="D105" s="3" t="str">
        <x:v>capsules/library/browser/src/actions.js:403</x:v>
      </x:c>
      <x:c r="E105" s="3" t="str">
        <x:v>Expected behavior only</x:v>
      </x:c>
      <x:c r="F105" s="3" t="str">
        <x:v>Source commit 8e5eb88b; not live execution.</x:v>
      </x:c>
      <x:c r="G105" s="3"/>
      <x:c r="H105" s="3"/>
      <x:c r="I105" s="3"/>
      <x:c r="J105" s="3"/>
      <x:c r="K105" s="3"/>
      <x:c r="L105" s="3"/>
    </x:row>
    <x:row r="106" ht="42" customHeight="1">
      <x:c r="A106" s="3" t="str">
        <x:v>S-077</x:v>
      </x:c>
      <x:c r="B106" s="3" t="str">
        <x:v>Source</x:v>
      </x:c>
      <x:c r="C106" s="3" t="str">
        <x:v>app.js:1013</x:v>
      </x:c>
      <x:c r="D106" s="3" t="str">
        <x:v>capsules/library/browser/src/app.js:1013</x:v>
      </x:c>
      <x:c r="E106" s="3" t="str">
        <x:v>Expected behavior only</x:v>
      </x:c>
      <x:c r="F106" s="3" t="str">
        <x:v>Source commit 8e5eb88b; not live execution.</x:v>
      </x:c>
      <x:c r="G106" s="3"/>
      <x:c r="H106" s="3"/>
      <x:c r="I106" s="3"/>
      <x:c r="J106" s="3"/>
      <x:c r="K106" s="3"/>
      <x:c r="L106" s="3"/>
    </x:row>
    <x:row r="107" ht="42" customHeight="1">
      <x:c r="A107" s="3" t="str">
        <x:v>S-078</x:v>
      </x:c>
      <x:c r="B107" s="3" t="str">
        <x:v>Source</x:v>
      </x:c>
      <x:c r="C107" s="3" t="str">
        <x:v>model.js:162</x:v>
      </x:c>
      <x:c r="D107" s="3" t="str">
        <x:v>capsules/library/browser/src/model.js:162</x:v>
      </x:c>
      <x:c r="E107" s="3" t="str">
        <x:v>Expected behavior only</x:v>
      </x:c>
      <x:c r="F107" s="3" t="str">
        <x:v>Source commit 8e5eb88b; not live execution.</x:v>
      </x:c>
      <x:c r="G107" s="3"/>
      <x:c r="H107" s="3"/>
      <x:c r="I107" s="3"/>
      <x:c r="J107" s="3"/>
      <x:c r="K107" s="3"/>
      <x:c r="L107" s="3"/>
    </x:row>
    <x:row r="108" ht="42" customHeight="1">
      <x:c r="A108" s="3" t="str">
        <x:v>S-079</x:v>
      </x:c>
      <x:c r="B108" s="3" t="str">
        <x:v>Source</x:v>
      </x:c>
      <x:c r="C108" s="3" t="str">
        <x:v>actions.js:389</x:v>
      </x:c>
      <x:c r="D108" s="3" t="str">
        <x:v>capsules/library/browser/src/actions.js:389</x:v>
      </x:c>
      <x:c r="E108" s="3" t="str">
        <x:v>Expected behavior only</x:v>
      </x:c>
      <x:c r="F108" s="3" t="str">
        <x:v>Source commit 8e5eb88b; not live execution.</x:v>
      </x:c>
      <x:c r="G108" s="3"/>
      <x:c r="H108" s="3"/>
      <x:c r="I108" s="3"/>
      <x:c r="J108" s="3"/>
      <x:c r="K108" s="3"/>
      <x:c r="L108" s="3"/>
    </x:row>
    <x:row r="109" ht="42" customHeight="1">
      <x:c r="A109" s="3" t="str">
        <x:v>S-080</x:v>
      </x:c>
      <x:c r="B109" s="3" t="str">
        <x:v>Source</x:v>
      </x:c>
      <x:c r="C109" s="3" t="str">
        <x:v>dialog.js:882</x:v>
      </x:c>
      <x:c r="D109" s="3" t="str">
        <x:v>capsules/library/browser/src/dialog.js:882</x:v>
      </x:c>
      <x:c r="E109" s="3" t="str">
        <x:v>Expected behavior only</x:v>
      </x:c>
      <x:c r="F109" s="3" t="str">
        <x:v>Source commit 8e5eb88b; not live execution.</x:v>
      </x:c>
      <x:c r="G109" s="3"/>
      <x:c r="H109" s="3"/>
      <x:c r="I109" s="3"/>
      <x:c r="J109" s="3"/>
      <x:c r="K109" s="3"/>
      <x:c r="L109" s="3"/>
    </x:row>
    <x:row r="110" ht="42" customHeight="1">
      <x:c r="A110" s="3" t="str">
        <x:v>S-081</x:v>
      </x:c>
      <x:c r="B110" s="3" t="str">
        <x:v>Source</x:v>
      </x:c>
      <x:c r="C110" s="3" t="str">
        <x:v>actions.js:346</x:v>
      </x:c>
      <x:c r="D110" s="3" t="str">
        <x:v>capsules/library/browser/src/actions.js:346</x:v>
      </x:c>
      <x:c r="E110" s="3" t="str">
        <x:v>Expected behavior only</x:v>
      </x:c>
      <x:c r="F110" s="3" t="str">
        <x:v>Source commit 8e5eb88b; not live execution.</x:v>
      </x:c>
      <x:c r="G110" s="3"/>
      <x:c r="H110" s="3"/>
      <x:c r="I110" s="3"/>
      <x:c r="J110" s="3"/>
      <x:c r="K110" s="3"/>
      <x:c r="L110" s="3"/>
    </x:row>
    <x:row r="111" ht="42" customHeight="1">
      <x:c r="A111" s="3" t="str">
        <x:v>S-082</x:v>
      </x:c>
      <x:c r="B111" s="3" t="str">
        <x:v>Source</x:v>
      </x:c>
      <x:c r="C111" s="3" t="str">
        <x:v>gateway_provider_proxy.rs:3241</x:v>
      </x:c>
      <x:c r="D111" s="3" t="str">
        <x:v>elastos/crates/elastos-server/src/api/gateway_provider_proxy.rs:3241</x:v>
      </x:c>
      <x:c r="E111" s="3" t="str">
        <x:v>Expected behavior only</x:v>
      </x:c>
      <x:c r="F111" s="3" t="str">
        <x:v>Source commit 8e5eb88b; not live execution.</x:v>
      </x:c>
      <x:c r="G111" s="3"/>
      <x:c r="H111" s="3"/>
      <x:c r="I111" s="3"/>
      <x:c r="J111" s="3"/>
      <x:c r="K111" s="3"/>
      <x:c r="L111" s="3"/>
    </x:row>
    <x:row r="112" ht="42" customHeight="1">
      <x:c r="A112" s="3" t="str">
        <x:v>S-083</x:v>
      </x:c>
      <x:c r="B112" s="3" t="str">
        <x:v>Source</x:v>
      </x:c>
      <x:c r="C112" s="3" t="str">
        <x:v>library.rs:2025</x:v>
      </x:c>
      <x:c r="D112" s="3" t="str">
        <x:v>elastos/crates/elastos-server/src/library.rs:2025</x:v>
      </x:c>
      <x:c r="E112" s="3" t="str">
        <x:v>Expected behavior only</x:v>
      </x:c>
      <x:c r="F112" s="3" t="str">
        <x:v>Source commit 8e5eb88b; not live execution.</x:v>
      </x:c>
      <x:c r="G112" s="3"/>
      <x:c r="H112" s="3"/>
      <x:c r="I112" s="3"/>
      <x:c r="J112" s="3"/>
      <x:c r="K112" s="3"/>
      <x:c r="L112" s="3"/>
    </x:row>
    <x:row r="113" ht="42" customHeight="1">
      <x:c r="A113" s="3" t="str">
        <x:v>S-084</x:v>
      </x:c>
      <x:c r="B113" s="3" t="str">
        <x:v>Source</x:v>
      </x:c>
      <x:c r="C113" s="3" t="str">
        <x:v>library.rs:1883</x:v>
      </x:c>
      <x:c r="D113" s="3" t="str">
        <x:v>elastos/crates/elastos-server/src/library.rs:1883</x:v>
      </x:c>
      <x:c r="E113" s="3" t="str">
        <x:v>Expected behavior only</x:v>
      </x:c>
      <x:c r="F113" s="3" t="str">
        <x:v>Source commit 8e5eb88b; not live execution.</x:v>
      </x:c>
      <x:c r="G113" s="3"/>
      <x:c r="H113" s="3"/>
      <x:c r="I113" s="3"/>
      <x:c r="J113" s="3"/>
      <x:c r="K113" s="3"/>
      <x:c r="L113" s="3"/>
    </x:row>
    <x:row r="114" ht="42" customHeight="1">
      <x:c r="A114" s="3" t="str">
        <x:v>S-085</x:v>
      </x:c>
      <x:c r="B114" s="3" t="str">
        <x:v>Source</x:v>
      </x:c>
      <x:c r="C114" s="3" t="str">
        <x:v>gateway_provider_proxy.rs:1538</x:v>
      </x:c>
      <x:c r="D114" s="3" t="str">
        <x:v>elastos/crates/elastos-server/src/api/gateway_provider_proxy.rs:1538</x:v>
      </x:c>
      <x:c r="E114" s="3" t="str">
        <x:v>Expected behavior only</x:v>
      </x:c>
      <x:c r="F114" s="3" t="str">
        <x:v>Source commit 8e5eb88b; not live execution.</x:v>
      </x:c>
      <x:c r="G114" s="3"/>
      <x:c r="H114" s="3"/>
      <x:c r="I114" s="3"/>
      <x:c r="J114" s="3"/>
      <x:c r="K114" s="3"/>
      <x:c r="L114" s="3"/>
    </x:row>
    <x:row r="115" ht="42" customHeight="1">
      <x:c r="A115" s="3" t="str">
        <x:v>S-086</x:v>
      </x:c>
      <x:c r="B115" s="3" t="str">
        <x:v>Source</x:v>
      </x:c>
      <x:c r="C115" s="3" t="str">
        <x:v>actions.js:57</x:v>
      </x:c>
      <x:c r="D115" s="3" t="str">
        <x:v>capsules/library/browser/src/actions.js:57</x:v>
      </x:c>
      <x:c r="E115" s="3" t="str">
        <x:v>Expected behavior only</x:v>
      </x:c>
      <x:c r="F115" s="3" t="str">
        <x:v>Source commit 8e5eb88b; not live execution.</x:v>
      </x:c>
      <x:c r="G115" s="3"/>
      <x:c r="H115" s="3"/>
      <x:c r="I115" s="3"/>
      <x:c r="J115" s="3"/>
      <x:c r="K115" s="3"/>
      <x:c r="L115" s="3"/>
    </x:row>
    <x:row r="116" ht="42" customHeight="1">
      <x:c r="A116" s="3" t="str">
        <x:v>S-087</x:v>
      </x:c>
      <x:c r="B116" s="3" t="str">
        <x:v>Source</x:v>
      </x:c>
      <x:c r="C116" s="3" t="str">
        <x:v>protected_content_runtime.rs:5498</x:v>
      </x:c>
      <x:c r="D116" s="3" t="str">
        <x:v>elastos/crates/elastos-server/src/protected_content_runtime.rs:5498</x:v>
      </x:c>
      <x:c r="E116" s="3" t="str">
        <x:v>Expected behavior only</x:v>
      </x:c>
      <x:c r="F116" s="3" t="str">
        <x:v>Source commit 8e5eb88b; not live execution.</x:v>
      </x:c>
      <x:c r="G116" s="3"/>
      <x:c r="H116" s="3"/>
      <x:c r="I116" s="3"/>
      <x:c r="J116" s="3"/>
      <x:c r="K116" s="3"/>
      <x:c r="L116" s="3"/>
    </x:row>
    <x:row r="117" ht="42" customHeight="1">
      <x:c r="A117" s="3" t="str">
        <x:v>S-088</x:v>
      </x:c>
      <x:c r="B117" s="3" t="str">
        <x:v>Source</x:v>
      </x:c>
      <x:c r="C117" s="3" t="str">
        <x:v>actions.js:452</x:v>
      </x:c>
      <x:c r="D117" s="3" t="str">
        <x:v>capsules/library/browser/src/actions.js:452</x:v>
      </x:c>
      <x:c r="E117" s="3" t="str">
        <x:v>Expected behavior only</x:v>
      </x:c>
      <x:c r="F117" s="3" t="str">
        <x:v>Source commit 8e5eb88b; not live execution.</x:v>
      </x:c>
      <x:c r="G117" s="3"/>
      <x:c r="H117" s="3"/>
      <x:c r="I117" s="3"/>
      <x:c r="J117" s="3"/>
      <x:c r="K117" s="3"/>
      <x:c r="L117" s="3"/>
    </x:row>
    <x:row r="118" ht="42" customHeight="1">
      <x:c r="A118" s="3" t="str">
        <x:v>S-089</x:v>
      </x:c>
      <x:c r="B118" s="3" t="str">
        <x:v>Source</x:v>
      </x:c>
      <x:c r="C118" s="3" t="str">
        <x:v>actions.js:617</x:v>
      </x:c>
      <x:c r="D118" s="3" t="str">
        <x:v>capsules/library/browser/src/actions.js:617</x:v>
      </x:c>
      <x:c r="E118" s="3" t="str">
        <x:v>Expected behavior only</x:v>
      </x:c>
      <x:c r="F118" s="3" t="str">
        <x:v>Source commit 8e5eb88b; not live execution.</x:v>
      </x:c>
      <x:c r="G118" s="3"/>
      <x:c r="H118" s="3"/>
      <x:c r="I118" s="3"/>
      <x:c r="J118" s="3"/>
      <x:c r="K118" s="3"/>
      <x:c r="L118" s="3"/>
    </x:row>
    <x:row r="119" ht="42" customHeight="1">
      <x:c r="A119" s="3" t="str">
        <x:v>S-090</x:v>
      </x:c>
      <x:c r="B119" s="3" t="str">
        <x:v>Source</x:v>
      </x:c>
      <x:c r="C119" s="3" t="str">
        <x:v>app.js:592</x:v>
      </x:c>
      <x:c r="D119" s="3" t="str">
        <x:v>capsules/library/browser/src/app.js:592</x:v>
      </x:c>
      <x:c r="E119" s="3" t="str">
        <x:v>Expected behavior only</x:v>
      </x:c>
      <x:c r="F119" s="3" t="str">
        <x:v>Source commit 8e5eb88b; not live execution.</x:v>
      </x:c>
      <x:c r="G119" s="3"/>
      <x:c r="H119" s="3"/>
      <x:c r="I119" s="3"/>
      <x:c r="J119" s="3"/>
      <x:c r="K119" s="3"/>
      <x:c r="L119" s="3"/>
    </x:row>
    <x:row r="120" ht="42" customHeight="1">
      <x:c r="A120" s="3" t="str">
        <x:v>S-091</x:v>
      </x:c>
      <x:c r="B120" s="3" t="str">
        <x:v>Source</x:v>
      </x:c>
      <x:c r="C120" s="3" t="str">
        <x:v>index.html:1135</x:v>
      </x:c>
      <x:c r="D120" s="3" t="str">
        <x:v>capsules/documents/browser/index.html:1135</x:v>
      </x:c>
      <x:c r="E120" s="3" t="str">
        <x:v>Expected behavior only</x:v>
      </x:c>
      <x:c r="F120" s="3" t="str">
        <x:v>Source commit 8e5eb88b; not live execution.</x:v>
      </x:c>
      <x:c r="G120" s="3"/>
      <x:c r="H120" s="3"/>
      <x:c r="I120" s="3"/>
      <x:c r="J120" s="3"/>
      <x:c r="K120" s="3"/>
      <x:c r="L120" s="3"/>
    </x:row>
    <x:row r="121" ht="42" customHeight="1">
      <x:c r="A121" s="3" t="str">
        <x:v>S-092</x:v>
      </x:c>
      <x:c r="B121" s="3" t="str">
        <x:v>Source</x:v>
      </x:c>
      <x:c r="C121" s="3" t="str">
        <x:v>index.html:1657</x:v>
      </x:c>
      <x:c r="D121" s="3" t="str">
        <x:v>capsules/documents/browser/index.html:1657</x:v>
      </x:c>
      <x:c r="E121" s="3" t="str">
        <x:v>Expected behavior only</x:v>
      </x:c>
      <x:c r="F121" s="3" t="str">
        <x:v>Source commit 8e5eb88b; not live execution.</x:v>
      </x:c>
      <x:c r="G121" s="3"/>
      <x:c r="H121" s="3"/>
      <x:c r="I121" s="3"/>
      <x:c r="J121" s="3"/>
      <x:c r="K121" s="3"/>
      <x:c r="L121" s="3"/>
    </x:row>
    <x:row r="122" ht="42" customHeight="1">
      <x:c r="A122" s="3" t="str">
        <x:v>S-093</x:v>
      </x:c>
      <x:c r="B122" s="3" t="str">
        <x:v>Source</x:v>
      </x:c>
      <x:c r="C122" s="3" t="str">
        <x:v>index.html:2132</x:v>
      </x:c>
      <x:c r="D122" s="3" t="str">
        <x:v>capsules/documents/browser/index.html:2132</x:v>
      </x:c>
      <x:c r="E122" s="3" t="str">
        <x:v>Expected behavior only</x:v>
      </x:c>
      <x:c r="F122" s="3" t="str">
        <x:v>Source commit 8e5eb88b; not live execution.</x:v>
      </x:c>
      <x:c r="G122" s="3"/>
      <x:c r="H122" s="3"/>
      <x:c r="I122" s="3"/>
      <x:c r="J122" s="3"/>
      <x:c r="K122" s="3"/>
      <x:c r="L122" s="3"/>
    </x:row>
    <x:row r="123" ht="42" customHeight="1">
      <x:c r="A123" s="3" t="str">
        <x:v>S-094</x:v>
      </x:c>
      <x:c r="B123" s="3" t="str">
        <x:v>Source</x:v>
      </x:c>
      <x:c r="C123" s="3" t="str">
        <x:v>index.html:2661</x:v>
      </x:c>
      <x:c r="D123" s="3" t="str">
        <x:v>capsules/documents/browser/index.html:2661</x:v>
      </x:c>
      <x:c r="E123" s="3" t="str">
        <x:v>Expected behavior only</x:v>
      </x:c>
      <x:c r="F123" s="3" t="str">
        <x:v>Source commit 8e5eb88b; not live execution.</x:v>
      </x:c>
      <x:c r="G123" s="3"/>
      <x:c r="H123" s="3"/>
      <x:c r="I123" s="3"/>
      <x:c r="J123" s="3"/>
      <x:c r="K123" s="3"/>
      <x:c r="L123" s="3"/>
    </x:row>
    <x:row r="124" ht="42" customHeight="1">
      <x:c r="A124" s="3" t="str">
        <x:v>S-095</x:v>
      </x:c>
      <x:c r="B124" s="3" t="str">
        <x:v>Source</x:v>
      </x:c>
      <x:c r="C124" s="3" t="str">
        <x:v>index.html:2021</x:v>
      </x:c>
      <x:c r="D124" s="3" t="str">
        <x:v>capsules/documents/browser/index.html:2021</x:v>
      </x:c>
      <x:c r="E124" s="3" t="str">
        <x:v>Expected behavior only</x:v>
      </x:c>
      <x:c r="F124" s="3" t="str">
        <x:v>Source commit 8e5eb88b; not live execution.</x:v>
      </x:c>
      <x:c r="G124" s="3"/>
      <x:c r="H124" s="3"/>
      <x:c r="I124" s="3"/>
      <x:c r="J124" s="3"/>
      <x:c r="K124" s="3"/>
      <x:c r="L124" s="3"/>
    </x:row>
    <x:row r="125" ht="42" customHeight="1">
      <x:c r="A125" s="3" t="str">
        <x:v>S-096</x:v>
      </x:c>
      <x:c r="B125" s="3" t="str">
        <x:v>Source</x:v>
      </x:c>
      <x:c r="C125" s="3" t="str">
        <x:v>index.html:2055</x:v>
      </x:c>
      <x:c r="D125" s="3" t="str">
        <x:v>capsules/documents/browser/index.html:2055</x:v>
      </x:c>
      <x:c r="E125" s="3" t="str">
        <x:v>Expected behavior only</x:v>
      </x:c>
      <x:c r="F125" s="3" t="str">
        <x:v>Source commit 8e5eb88b; not live execution.</x:v>
      </x:c>
      <x:c r="G125" s="3"/>
      <x:c r="H125" s="3"/>
      <x:c r="I125" s="3"/>
      <x:c r="J125" s="3"/>
      <x:c r="K125" s="3"/>
      <x:c r="L125" s="3"/>
    </x:row>
    <x:row r="126" ht="42" customHeight="1">
      <x:c r="A126" s="3" t="str">
        <x:v>S-097</x:v>
      </x:c>
      <x:c r="B126" s="3" t="str">
        <x:v>Source</x:v>
      </x:c>
      <x:c r="C126" s="3" t="str">
        <x:v>index.html:2200</x:v>
      </x:c>
      <x:c r="D126" s="3" t="str">
        <x:v>capsules/documents/browser/index.html:2200</x:v>
      </x:c>
      <x:c r="E126" s="3" t="str">
        <x:v>Expected behavior only</x:v>
      </x:c>
      <x:c r="F126" s="3" t="str">
        <x:v>Source commit 8e5eb88b; not live execution.</x:v>
      </x:c>
      <x:c r="G126" s="3"/>
      <x:c r="H126" s="3"/>
      <x:c r="I126" s="3"/>
      <x:c r="J126" s="3"/>
      <x:c r="K126" s="3"/>
      <x:c r="L126" s="3"/>
    </x:row>
    <x:row r="127" ht="42" customHeight="1">
      <x:c r="A127" s="3" t="str">
        <x:v>S-098</x:v>
      </x:c>
      <x:c r="B127" s="3" t="str">
        <x:v>Source</x:v>
      </x:c>
      <x:c r="C127" s="3" t="str">
        <x:v>index.html:2812</x:v>
      </x:c>
      <x:c r="D127" s="3" t="str">
        <x:v>capsules/documents/browser/index.html:2812</x:v>
      </x:c>
      <x:c r="E127" s="3" t="str">
        <x:v>Expected behavior only</x:v>
      </x:c>
      <x:c r="F127" s="3" t="str">
        <x:v>Source commit 8e5eb88b; not live execution.</x:v>
      </x:c>
      <x:c r="G127" s="3"/>
      <x:c r="H127" s="3"/>
      <x:c r="I127" s="3"/>
      <x:c r="J127" s="3"/>
      <x:c r="K127" s="3"/>
      <x:c r="L127" s="3"/>
    </x:row>
    <x:row r="128" ht="42" customHeight="1">
      <x:c r="A128" s="3" t="str">
        <x:v>S-099</x:v>
      </x:c>
      <x:c r="B128" s="3" t="str">
        <x:v>Source</x:v>
      </x:c>
      <x:c r="C128" s="3" t="str">
        <x:v>index.html:1818</x:v>
      </x:c>
      <x:c r="D128" s="3" t="str">
        <x:v>capsules/documents/browser/index.html:1818</x:v>
      </x:c>
      <x:c r="E128" s="3" t="str">
        <x:v>Expected behavior only</x:v>
      </x:c>
      <x:c r="F128" s="3" t="str">
        <x:v>Source commit 8e5eb88b; not live execution.</x:v>
      </x:c>
      <x:c r="G128" s="3"/>
      <x:c r="H128" s="3"/>
      <x:c r="I128" s="3"/>
      <x:c r="J128" s="3"/>
      <x:c r="K128" s="3"/>
      <x:c r="L128" s="3"/>
    </x:row>
    <x:row r="129" ht="42" customHeight="1">
      <x:c r="A129" s="3" t="str">
        <x:v>S-100</x:v>
      </x:c>
      <x:c r="B129" s="3" t="str">
        <x:v>Source</x:v>
      </x:c>
      <x:c r="C129" s="3" t="str">
        <x:v>index.html:2487</x:v>
      </x:c>
      <x:c r="D129" s="3" t="str">
        <x:v>capsules/documents/browser/index.html:2487</x:v>
      </x:c>
      <x:c r="E129" s="3" t="str">
        <x:v>Expected behavior only</x:v>
      </x:c>
      <x:c r="F129" s="3" t="str">
        <x:v>Source commit 8e5eb88b; not live execution.</x:v>
      </x:c>
      <x:c r="G129" s="3"/>
      <x:c r="H129" s="3"/>
      <x:c r="I129" s="3"/>
      <x:c r="J129" s="3"/>
      <x:c r="K129" s="3"/>
      <x:c r="L129" s="3"/>
    </x:row>
    <x:row r="130" ht="42" customHeight="1">
      <x:c r="A130" s="3" t="str">
        <x:v>S-101</x:v>
      </x:c>
      <x:c r="B130" s="3" t="str">
        <x:v>Source</x:v>
      </x:c>
      <x:c r="C130" s="3" t="str">
        <x:v>index.html:1738</x:v>
      </x:c>
      <x:c r="D130" s="3" t="str">
        <x:v>capsules/documents/browser/index.html:1738</x:v>
      </x:c>
      <x:c r="E130" s="3" t="str">
        <x:v>Expected behavior only</x:v>
      </x:c>
      <x:c r="F130" s="3" t="str">
        <x:v>Source commit 8e5eb88b; not live execution.</x:v>
      </x:c>
      <x:c r="G130" s="3"/>
      <x:c r="H130" s="3"/>
      <x:c r="I130" s="3"/>
      <x:c r="J130" s="3"/>
      <x:c r="K130" s="3"/>
      <x:c r="L130" s="3"/>
    </x:row>
    <x:row r="131" ht="42" customHeight="1">
      <x:c r="A131" s="3" t="str">
        <x:v>S-102</x:v>
      </x:c>
      <x:c r="B131" s="3" t="str">
        <x:v>Source</x:v>
      </x:c>
      <x:c r="C131" s="3" t="str">
        <x:v>index.html:598</x:v>
      </x:c>
      <x:c r="D131" s="3" t="str">
        <x:v>capsules/archive-manager/browser/index.html:598</x:v>
      </x:c>
      <x:c r="E131" s="3" t="str">
        <x:v>Expected behavior only</x:v>
      </x:c>
      <x:c r="F131" s="3" t="str">
        <x:v>Source commit 8e5eb88b; not live execution.</x:v>
      </x:c>
      <x:c r="G131" s="3"/>
      <x:c r="H131" s="3"/>
      <x:c r="I131" s="3"/>
      <x:c r="J131" s="3"/>
      <x:c r="K131" s="3"/>
      <x:c r="L131" s="3"/>
    </x:row>
    <x:row r="132" ht="42" customHeight="1">
      <x:c r="A132" s="3" t="str">
        <x:v>S-103</x:v>
      </x:c>
      <x:c r="B132" s="3" t="str">
        <x:v>Source</x:v>
      </x:c>
      <x:c r="C132" s="3" t="str">
        <x:v>index.html:602</x:v>
      </x:c>
      <x:c r="D132" s="3" t="str">
        <x:v>capsules/archive-manager/browser/index.html:602</x:v>
      </x:c>
      <x:c r="E132" s="3" t="str">
        <x:v>Expected behavior only</x:v>
      </x:c>
      <x:c r="F132" s="3" t="str">
        <x:v>Source commit 8e5eb88b; not live execution.</x:v>
      </x:c>
      <x:c r="G132" s="3"/>
      <x:c r="H132" s="3"/>
      <x:c r="I132" s="3"/>
      <x:c r="J132" s="3"/>
      <x:c r="K132" s="3"/>
      <x:c r="L132" s="3"/>
    </x:row>
    <x:row r="133" ht="42" customHeight="1">
      <x:c r="A133" s="3" t="str">
        <x:v>S-104</x:v>
      </x:c>
      <x:c r="B133" s="3" t="str">
        <x:v>Source</x:v>
      </x:c>
      <x:c r="C133" s="3" t="str">
        <x:v>index.html:618</x:v>
      </x:c>
      <x:c r="D133" s="3" t="str">
        <x:v>capsules/archive-manager/browser/index.html:618</x:v>
      </x:c>
      <x:c r="E133" s="3" t="str">
        <x:v>Expected behavior only</x:v>
      </x:c>
      <x:c r="F133" s="3" t="str">
        <x:v>Source commit 8e5eb88b; not live execution.</x:v>
      </x:c>
      <x:c r="G133" s="3"/>
      <x:c r="H133" s="3"/>
      <x:c r="I133" s="3"/>
      <x:c r="J133" s="3"/>
      <x:c r="K133" s="3"/>
      <x:c r="L133" s="3"/>
    </x:row>
    <x:row r="134" ht="42" customHeight="1">
      <x:c r="A134" s="3" t="str">
        <x:v>S-105</x:v>
      </x:c>
      <x:c r="B134" s="3" t="str">
        <x:v>Source</x:v>
      </x:c>
      <x:c r="C134" s="3" t="str">
        <x:v>index.html:664</x:v>
      </x:c>
      <x:c r="D134" s="3" t="str">
        <x:v>capsules/archive-manager/browser/index.html:664</x:v>
      </x:c>
      <x:c r="E134" s="3" t="str">
        <x:v>Expected behavior only</x:v>
      </x:c>
      <x:c r="F134" s="3" t="str">
        <x:v>Source commit 8e5eb88b; not live execution.</x:v>
      </x:c>
      <x:c r="G134" s="3"/>
      <x:c r="H134" s="3"/>
      <x:c r="I134" s="3"/>
      <x:c r="J134" s="3"/>
      <x:c r="K134" s="3"/>
      <x:c r="L134" s="3"/>
    </x:row>
    <x:row r="135" ht="42" customHeight="1">
      <x:c r="A135" s="3" t="str">
        <x:v>S-106</x:v>
      </x:c>
      <x:c r="B135" s="3" t="str">
        <x:v>Source</x:v>
      </x:c>
      <x:c r="C135" s="3" t="str">
        <x:v>index.html:794</x:v>
      </x:c>
      <x:c r="D135" s="3" t="str">
        <x:v>capsules/archive-manager/browser/index.html:794</x:v>
      </x:c>
      <x:c r="E135" s="3" t="str">
        <x:v>Expected behavior only</x:v>
      </x:c>
      <x:c r="F135" s="3" t="str">
        <x:v>Source commit 8e5eb88b; not live execution.</x:v>
      </x:c>
      <x:c r="G135" s="3"/>
      <x:c r="H135" s="3"/>
      <x:c r="I135" s="3"/>
      <x:c r="J135" s="3"/>
      <x:c r="K135" s="3"/>
      <x:c r="L135" s="3"/>
    </x:row>
    <x:row r="136" ht="42" customHeight="1">
      <x:c r="A136" s="3" t="str">
        <x:v>S-107</x:v>
      </x:c>
      <x:c r="B136" s="3" t="str">
        <x:v>Source</x:v>
      </x:c>
      <x:c r="C136" s="3" t="str">
        <x:v>index.html:671</x:v>
      </x:c>
      <x:c r="D136" s="3" t="str">
        <x:v>capsules/archive-manager/browser/index.html:671</x:v>
      </x:c>
      <x:c r="E136" s="3" t="str">
        <x:v>Expected behavior only</x:v>
      </x:c>
      <x:c r="F136" s="3" t="str">
        <x:v>Source commit 8e5eb88b; not live execution.</x:v>
      </x:c>
      <x:c r="G136" s="3"/>
      <x:c r="H136" s="3"/>
      <x:c r="I136" s="3"/>
      <x:c r="J136" s="3"/>
      <x:c r="K136" s="3"/>
      <x:c r="L136" s="3"/>
    </x:row>
    <x:row r="137" ht="42" customHeight="1">
      <x:c r="A137" s="3" t="str">
        <x:v>S-108</x:v>
      </x:c>
      <x:c r="B137" s="3" t="str">
        <x:v>Source</x:v>
      </x:c>
      <x:c r="C137" s="3" t="str">
        <x:v>marketplace.js:47</x:v>
      </x:c>
      <x:c r="D137" s="3" t="str">
        <x:v>capsules/marketplace/browser/marketplace.js:47</x:v>
      </x:c>
      <x:c r="E137" s="3" t="str">
        <x:v>Expected behavior only</x:v>
      </x:c>
      <x:c r="F137" s="3" t="str">
        <x:v>Source commit 8e5eb88b; not live execution.</x:v>
      </x:c>
      <x:c r="G137" s="3"/>
      <x:c r="H137" s="3"/>
      <x:c r="I137" s="3"/>
      <x:c r="J137" s="3"/>
      <x:c r="K137" s="3"/>
      <x:c r="L137" s="3"/>
    </x:row>
    <x:row r="138" ht="42" customHeight="1">
      <x:c r="A138" s="3" t="str">
        <x:v>S-109</x:v>
      </x:c>
      <x:c r="B138" s="3" t="str">
        <x:v>Source</x:v>
      </x:c>
      <x:c r="C138" s="3" t="str">
        <x:v>marketplace.js:476</x:v>
      </x:c>
      <x:c r="D138" s="3" t="str">
        <x:v>capsules/marketplace/browser/marketplace.js:476</x:v>
      </x:c>
      <x:c r="E138" s="3" t="str">
        <x:v>Expected behavior only</x:v>
      </x:c>
      <x:c r="F138" s="3" t="str">
        <x:v>Source commit 8e5eb88b; not live execution.</x:v>
      </x:c>
      <x:c r="G138" s="3"/>
      <x:c r="H138" s="3"/>
      <x:c r="I138" s="3"/>
      <x:c r="J138" s="3"/>
      <x:c r="K138" s="3"/>
      <x:c r="L138" s="3"/>
    </x:row>
    <x:row r="139" ht="42" customHeight="1">
      <x:c r="A139" s="3" t="str">
        <x:v>S-110</x:v>
      </x:c>
      <x:c r="B139" s="3" t="str">
        <x:v>Source</x:v>
      </x:c>
      <x:c r="C139" s="3" t="str">
        <x:v>marketplace.js:827</x:v>
      </x:c>
      <x:c r="D139" s="3" t="str">
        <x:v>capsules/marketplace/browser/marketplace.js:827</x:v>
      </x:c>
      <x:c r="E139" s="3" t="str">
        <x:v>Expected behavior only</x:v>
      </x:c>
      <x:c r="F139" s="3" t="str">
        <x:v>Source commit 8e5eb88b; not live execution.</x:v>
      </x:c>
      <x:c r="G139" s="3"/>
      <x:c r="H139" s="3"/>
      <x:c r="I139" s="3"/>
      <x:c r="J139" s="3"/>
      <x:c r="K139" s="3"/>
      <x:c r="L139" s="3"/>
    </x:row>
    <x:row r="140" ht="42" customHeight="1">
      <x:c r="A140" s="3" t="str">
        <x:v>S-111</x:v>
      </x:c>
      <x:c r="B140" s="3" t="str">
        <x:v>Source</x:v>
      </x:c>
      <x:c r="C140" s="3" t="str">
        <x:v>marketplace.js:797</x:v>
      </x:c>
      <x:c r="D140" s="3" t="str">
        <x:v>capsules/marketplace/browser/marketplace.js:797</x:v>
      </x:c>
      <x:c r="E140" s="3" t="str">
        <x:v>Expected behavior only</x:v>
      </x:c>
      <x:c r="F140" s="3" t="str">
        <x:v>Source commit 8e5eb88b; not live execution.</x:v>
      </x:c>
      <x:c r="G140" s="3"/>
      <x:c r="H140" s="3"/>
      <x:c r="I140" s="3"/>
      <x:c r="J140" s="3"/>
      <x:c r="K140" s="3"/>
      <x:c r="L140" s="3"/>
    </x:row>
    <x:row r="141" ht="42" customHeight="1">
      <x:c r="A141" s="3" t="str">
        <x:v>S-112</x:v>
      </x:c>
      <x:c r="B141" s="3" t="str">
        <x:v>Source</x:v>
      </x:c>
      <x:c r="C141" s="3" t="str">
        <x:v>marketplace.js:524</x:v>
      </x:c>
      <x:c r="D141" s="3" t="str">
        <x:v>capsules/marketplace/browser/marketplace.js:524</x:v>
      </x:c>
      <x:c r="E141" s="3" t="str">
        <x:v>Expected behavior only</x:v>
      </x:c>
      <x:c r="F141" s="3" t="str">
        <x:v>Source commit 8e5eb88b; not live execution.</x:v>
      </x:c>
      <x:c r="G141" s="3"/>
      <x:c r="H141" s="3"/>
      <x:c r="I141" s="3"/>
      <x:c r="J141" s="3"/>
      <x:c r="K141" s="3"/>
      <x:c r="L141" s="3"/>
    </x:row>
    <x:row r="142" ht="42" customHeight="1">
      <x:c r="A142" s="3" t="str">
        <x:v>S-113</x:v>
      </x:c>
      <x:c r="B142" s="3" t="str">
        <x:v>Source</x:v>
      </x:c>
      <x:c r="C142" s="3" t="str">
        <x:v>marketplace.js:735</x:v>
      </x:c>
      <x:c r="D142" s="3" t="str">
        <x:v>capsules/marketplace/browser/marketplace.js:735</x:v>
      </x:c>
      <x:c r="E142" s="3" t="str">
        <x:v>Expected behavior only</x:v>
      </x:c>
      <x:c r="F142" s="3" t="str">
        <x:v>Source commit 8e5eb88b; not live execution.</x:v>
      </x:c>
      <x:c r="G142" s="3"/>
      <x:c r="H142" s="3"/>
      <x:c r="I142" s="3"/>
      <x:c r="J142" s="3"/>
      <x:c r="K142" s="3"/>
      <x:c r="L142" s="3"/>
    </x:row>
    <x:row r="143" ht="42" customHeight="1">
      <x:c r="A143" s="3" t="str">
        <x:v>S-114</x:v>
      </x:c>
      <x:c r="B143" s="3" t="str">
        <x:v>Source</x:v>
      </x:c>
      <x:c r="C143" s="3" t="str">
        <x:v>marketplace.js:760</x:v>
      </x:c>
      <x:c r="D143" s="3" t="str">
        <x:v>capsules/marketplace/browser/marketplace.js:760</x:v>
      </x:c>
      <x:c r="E143" s="3" t="str">
        <x:v>Expected behavior only</x:v>
      </x:c>
      <x:c r="F143" s="3" t="str">
        <x:v>Source commit 8e5eb88b; not live execution.</x:v>
      </x:c>
      <x:c r="G143" s="3"/>
      <x:c r="H143" s="3"/>
      <x:c r="I143" s="3"/>
      <x:c r="J143" s="3"/>
      <x:c r="K143" s="3"/>
      <x:c r="L143" s="3"/>
    </x:row>
    <x:row r="144" ht="42" customHeight="1">
      <x:c r="A144" s="3" t="str">
        <x:v>S-115</x:v>
      </x:c>
      <x:c r="B144" s="3" t="str">
        <x:v>Source</x:v>
      </x:c>
      <x:c r="C144" s="3" t="str">
        <x:v>marketplace.js:764</x:v>
      </x:c>
      <x:c r="D144" s="3" t="str">
        <x:v>capsules/marketplace/browser/marketplace.js:764</x:v>
      </x:c>
      <x:c r="E144" s="3" t="str">
        <x:v>Expected behavior only</x:v>
      </x:c>
      <x:c r="F144" s="3" t="str">
        <x:v>Source commit 8e5eb88b; not live execution.</x:v>
      </x:c>
      <x:c r="G144" s="3"/>
      <x:c r="H144" s="3"/>
      <x:c r="I144" s="3"/>
      <x:c r="J144" s="3"/>
      <x:c r="K144" s="3"/>
      <x:c r="L144" s="3"/>
    </x:row>
    <x:row r="145" ht="42" customHeight="1">
      <x:c r="A145" s="3" t="str">
        <x:v>S-116</x:v>
      </x:c>
      <x:c r="B145" s="3" t="str">
        <x:v>Source</x:v>
      </x:c>
      <x:c r="C145" s="3" t="str">
        <x:v>protected_content_runtime.rs:4820</x:v>
      </x:c>
      <x:c r="D145" s="3" t="str">
        <x:v>elastos/crates/elastos-server/src/protected_content_runtime.rs:4820</x:v>
      </x:c>
      <x:c r="E145" s="3" t="str">
        <x:v>Expected behavior only</x:v>
      </x:c>
      <x:c r="F145" s="3" t="str">
        <x:v>Source commit 8e5eb88b; not live execution.</x:v>
      </x:c>
      <x:c r="G145" s="3"/>
      <x:c r="H145" s="3"/>
      <x:c r="I145" s="3"/>
      <x:c r="J145" s="3"/>
      <x:c r="K145" s="3"/>
      <x:c r="L145" s="3"/>
    </x:row>
    <x:row r="146" ht="42" customHeight="1">
      <x:c r="A146" s="3" t="str">
        <x:v>S-117</x:v>
      </x:c>
      <x:c r="B146" s="3" t="str">
        <x:v>Source</x:v>
      </x:c>
      <x:c r="C146" s="3" t="str">
        <x:v>index.html:1</x:v>
      </x:c>
      <x:c r="D146" s="3" t="str">
        <x:v>capsules/elacity-player/browser/index.html:1</x:v>
      </x:c>
      <x:c r="E146" s="3" t="str">
        <x:v>Expected behavior only</x:v>
      </x:c>
      <x:c r="F146" s="3" t="str">
        <x:v>Source commit 8e5eb88b; not live execution.</x:v>
      </x:c>
      <x:c r="G146" s="3"/>
      <x:c r="H146" s="3"/>
      <x:c r="I146" s="3"/>
      <x:c r="J146" s="3"/>
      <x:c r="K146" s="3"/>
      <x:c r="L146" s="3"/>
    </x:row>
    <x:row r="147" ht="42" customHeight="1">
      <x:c r="A147" s="3" t="str">
        <x:v>S-118</x:v>
      </x:c>
      <x:c r="B147" s="3" t="str">
        <x:v>Source</x:v>
      </x:c>
      <x:c r="C147" s="3" t="str">
        <x:v>library.rs:1919</x:v>
      </x:c>
      <x:c r="D147" s="3" t="str">
        <x:v>elastos/crates/elastos-server/src/library.rs:1919</x:v>
      </x:c>
      <x:c r="E147" s="3" t="str">
        <x:v>Expected behavior only</x:v>
      </x:c>
      <x:c r="F147" s="3" t="str">
        <x:v>Source commit 8e5eb88b; not live execution.</x:v>
      </x:c>
      <x:c r="G147" s="3"/>
      <x:c r="H147" s="3"/>
      <x:c r="I147" s="3"/>
      <x:c r="J147" s="3"/>
      <x:c r="K147" s="3"/>
      <x:c r="L147" s="3"/>
    </x:row>
    <x:row r="148" ht="42" customHeight="1">
      <x:c r="A148" s="3" t="str">
        <x:v>S-119</x:v>
      </x:c>
      <x:c r="B148" s="3" t="str">
        <x:v>Source</x:v>
      </x:c>
      <x:c r="C148" s="3" t="str">
        <x:v>wallet.js:596</x:v>
      </x:c>
      <x:c r="D148" s="3" t="str">
        <x:v>capsules/wallet/browser/wallet.js:596</x:v>
      </x:c>
      <x:c r="E148" s="3" t="str">
        <x:v>Expected behavior only</x:v>
      </x:c>
      <x:c r="F148" s="3" t="str">
        <x:v>Source commit 8e5eb88b; not live execution.</x:v>
      </x:c>
      <x:c r="G148" s="3"/>
      <x:c r="H148" s="3"/>
      <x:c r="I148" s="3"/>
      <x:c r="J148" s="3"/>
      <x:c r="K148" s="3"/>
      <x:c r="L148" s="3"/>
    </x:row>
    <x:row r="149" ht="42" customHeight="1">
      <x:c r="A149" s="3" t="str">
        <x:v>S-120</x:v>
      </x:c>
      <x:c r="B149" s="3" t="str">
        <x:v>Source</x:v>
      </x:c>
      <x:c r="C149" s="3" t="str">
        <x:v>index.html:1</x:v>
      </x:c>
      <x:c r="D149" s="3" t="str">
        <x:v>capsules/wallet/browser/index.html:1</x:v>
      </x:c>
      <x:c r="E149" s="3" t="str">
        <x:v>Expected behavior only</x:v>
      </x:c>
      <x:c r="F149" s="3" t="str">
        <x:v>Source commit 8e5eb88b; not live execution.</x:v>
      </x:c>
      <x:c r="G149" s="3"/>
      <x:c r="H149" s="3"/>
      <x:c r="I149" s="3"/>
      <x:c r="J149" s="3"/>
      <x:c r="K149" s="3"/>
      <x:c r="L149" s="3"/>
    </x:row>
    <x:row r="150" ht="42" customHeight="1">
      <x:c r="A150" s="3" t="str">
        <x:v>S-121</x:v>
      </x:c>
      <x:c r="B150" s="3" t="str">
        <x:v>Source</x:v>
      </x:c>
      <x:c r="C150" s="3" t="str">
        <x:v>wallet-create-account-flow.js:31</x:v>
      </x:c>
      <x:c r="D150" s="3" t="str">
        <x:v>capsules/wallet/browser/wallet-create-account-flow.js:31</x:v>
      </x:c>
      <x:c r="E150" s="3" t="str">
        <x:v>Expected behavior only</x:v>
      </x:c>
      <x:c r="F150" s="3" t="str">
        <x:v>Source commit 8e5eb88b; not live execution.</x:v>
      </x:c>
      <x:c r="G150" s="3"/>
      <x:c r="H150" s="3"/>
      <x:c r="I150" s="3"/>
      <x:c r="J150" s="3"/>
      <x:c r="K150" s="3"/>
      <x:c r="L150" s="3"/>
    </x:row>
    <x:row r="151" ht="42" customHeight="1">
      <x:c r="A151" s="3" t="str">
        <x:v>S-122</x:v>
      </x:c>
      <x:c r="B151" s="3" t="str">
        <x:v>Source</x:v>
      </x:c>
      <x:c r="C151" s="3" t="str">
        <x:v>wallet-create-account-flow.js:136</x:v>
      </x:c>
      <x:c r="D151" s="3" t="str">
        <x:v>capsules/wallet/browser/wallet-create-account-flow.js:136</x:v>
      </x:c>
      <x:c r="E151" s="3" t="str">
        <x:v>Expected behavior only</x:v>
      </x:c>
      <x:c r="F151" s="3" t="str">
        <x:v>Source commit 8e5eb88b; not live execution.</x:v>
      </x:c>
      <x:c r="G151" s="3"/>
      <x:c r="H151" s="3"/>
      <x:c r="I151" s="3"/>
      <x:c r="J151" s="3"/>
      <x:c r="K151" s="3"/>
      <x:c r="L151" s="3"/>
    </x:row>
    <x:row r="152" ht="42" customHeight="1">
      <x:c r="A152" s="3" t="str">
        <x:v>S-123</x:v>
      </x:c>
      <x:c r="B152" s="3" t="str">
        <x:v>Source</x:v>
      </x:c>
      <x:c r="C152" s="3" t="str">
        <x:v>wallet-account-actions.js:52</x:v>
      </x:c>
      <x:c r="D152" s="3" t="str">
        <x:v>capsules/wallet/browser/wallet-account-actions.js:52</x:v>
      </x:c>
      <x:c r="E152" s="3" t="str">
        <x:v>Expected behavior only</x:v>
      </x:c>
      <x:c r="F152" s="3" t="str">
        <x:v>Source commit 8e5eb88b; not live execution.</x:v>
      </x:c>
      <x:c r="G152" s="3"/>
      <x:c r="H152" s="3"/>
      <x:c r="I152" s="3"/>
      <x:c r="J152" s="3"/>
      <x:c r="K152" s="3"/>
      <x:c r="L152" s="3"/>
    </x:row>
    <x:row r="153" ht="42" customHeight="1">
      <x:c r="A153" s="3" t="str">
        <x:v>S-124</x:v>
      </x:c>
      <x:c r="B153" s="3" t="str">
        <x:v>Source</x:v>
      </x:c>
      <x:c r="C153" s="3" t="str">
        <x:v>wallet-account-actions.js:272</x:v>
      </x:c>
      <x:c r="D153" s="3" t="str">
        <x:v>capsules/wallet/browser/wallet-account-actions.js:272</x:v>
      </x:c>
      <x:c r="E153" s="3" t="str">
        <x:v>Expected behavior only</x:v>
      </x:c>
      <x:c r="F153" s="3" t="str">
        <x:v>Source commit 8e5eb88b; not live execution.</x:v>
      </x:c>
      <x:c r="G153" s="3"/>
      <x:c r="H153" s="3"/>
      <x:c r="I153" s="3"/>
      <x:c r="J153" s="3"/>
      <x:c r="K153" s="3"/>
      <x:c r="L153" s="3"/>
    </x:row>
    <x:row r="154" ht="42" customHeight="1">
      <x:c r="A154" s="3" t="str">
        <x:v>S-125</x:v>
      </x:c>
      <x:c r="B154" s="3" t="str">
        <x:v>Source</x:v>
      </x:c>
      <x:c r="C154" s="3" t="str">
        <x:v>wallet-account-actions.js:99</x:v>
      </x:c>
      <x:c r="D154" s="3" t="str">
        <x:v>capsules/wallet/browser/wallet-account-actions.js:99</x:v>
      </x:c>
      <x:c r="E154" s="3" t="str">
        <x:v>Expected behavior only</x:v>
      </x:c>
      <x:c r="F154" s="3" t="str">
        <x:v>Source commit 8e5eb88b; not live execution.</x:v>
      </x:c>
      <x:c r="G154" s="3"/>
      <x:c r="H154" s="3"/>
      <x:c r="I154" s="3"/>
      <x:c r="J154" s="3"/>
      <x:c r="K154" s="3"/>
      <x:c r="L154" s="3"/>
    </x:row>
    <x:row r="155" ht="42" customHeight="1">
      <x:c r="A155" s="3" t="str">
        <x:v>S-126</x:v>
      </x:c>
      <x:c r="B155" s="3" t="str">
        <x:v>Source</x:v>
      </x:c>
      <x:c r="C155" s="3" t="str">
        <x:v>wallet-receive-flow.js:50</x:v>
      </x:c>
      <x:c r="D155" s="3" t="str">
        <x:v>capsules/wallet/browser/wallet-receive-flow.js:50</x:v>
      </x:c>
      <x:c r="E155" s="3" t="str">
        <x:v>Expected behavior only</x:v>
      </x:c>
      <x:c r="F155" s="3" t="str">
        <x:v>Source commit 8e5eb88b; not live execution.</x:v>
      </x:c>
      <x:c r="G155" s="3"/>
      <x:c r="H155" s="3"/>
      <x:c r="I155" s="3"/>
      <x:c r="J155" s="3"/>
      <x:c r="K155" s="3"/>
      <x:c r="L155" s="3"/>
    </x:row>
    <x:row r="156" ht="42" customHeight="1">
      <x:c r="A156" s="3" t="str">
        <x:v>S-127</x:v>
      </x:c>
      <x:c r="B156" s="3" t="str">
        <x:v>Source</x:v>
      </x:c>
      <x:c r="C156" s="3" t="str">
        <x:v>wallet-send-flow.js:30</x:v>
      </x:c>
      <x:c r="D156" s="3" t="str">
        <x:v>capsules/wallet/browser/wallet-send-flow.js:30</x:v>
      </x:c>
      <x:c r="E156" s="3" t="str">
        <x:v>Expected behavior only</x:v>
      </x:c>
      <x:c r="F156" s="3" t="str">
        <x:v>Source commit 8e5eb88b; not live execution.</x:v>
      </x:c>
      <x:c r="G156" s="3"/>
      <x:c r="H156" s="3"/>
      <x:c r="I156" s="3"/>
      <x:c r="J156" s="3"/>
      <x:c r="K156" s="3"/>
      <x:c r="L156" s="3"/>
    </x:row>
    <x:row r="157" ht="42" customHeight="1">
      <x:c r="A157" s="3" t="str">
        <x:v>S-128</x:v>
      </x:c>
      <x:c r="B157" s="3" t="str">
        <x:v>Source</x:v>
      </x:c>
      <x:c r="C157" s="3" t="str">
        <x:v>wallet-send-flow.js:188</x:v>
      </x:c>
      <x:c r="D157" s="3" t="str">
        <x:v>capsules/wallet/browser/wallet-send-flow.js:188</x:v>
      </x:c>
      <x:c r="E157" s="3" t="str">
        <x:v>Expected behavior only</x:v>
      </x:c>
      <x:c r="F157" s="3" t="str">
        <x:v>Source commit 8e5eb88b; not live execution.</x:v>
      </x:c>
      <x:c r="G157" s="3"/>
      <x:c r="H157" s="3"/>
      <x:c r="I157" s="3"/>
      <x:c r="J157" s="3"/>
      <x:c r="K157" s="3"/>
      <x:c r="L157" s="3"/>
    </x:row>
    <x:row r="158" ht="42" customHeight="1">
      <x:c r="A158" s="3" t="str">
        <x:v>S-129</x:v>
      </x:c>
      <x:c r="B158" s="3" t="str">
        <x:v>Source</x:v>
      </x:c>
      <x:c r="C158" s="3" t="str">
        <x:v>wallet-send-flow.js:129</x:v>
      </x:c>
      <x:c r="D158" s="3" t="str">
        <x:v>capsules/wallet/browser/wallet-send-flow.js:129</x:v>
      </x:c>
      <x:c r="E158" s="3" t="str">
        <x:v>Expected behavior only</x:v>
      </x:c>
      <x:c r="F158" s="3" t="str">
        <x:v>Source commit 8e5eb88b; not live execution.</x:v>
      </x:c>
      <x:c r="G158" s="3"/>
      <x:c r="H158" s="3"/>
      <x:c r="I158" s="3"/>
      <x:c r="J158" s="3"/>
      <x:c r="K158" s="3"/>
      <x:c r="L158" s="3"/>
    </x:row>
    <x:row r="159" ht="42" customHeight="1">
      <x:c r="A159" s="3" t="str">
        <x:v>S-130</x:v>
      </x:c>
      <x:c r="B159" s="3" t="str">
        <x:v>Source</x:v>
      </x:c>
      <x:c r="C159" s="3" t="str">
        <x:v>wallet-send-flow.js:233</x:v>
      </x:c>
      <x:c r="D159" s="3" t="str">
        <x:v>capsules/wallet/browser/wallet-send-flow.js:233</x:v>
      </x:c>
      <x:c r="E159" s="3" t="str">
        <x:v>Expected behavior only</x:v>
      </x:c>
      <x:c r="F159" s="3" t="str">
        <x:v>Source commit 8e5eb88b; not live execution.</x:v>
      </x:c>
      <x:c r="G159" s="3"/>
      <x:c r="H159" s="3"/>
      <x:c r="I159" s="3"/>
      <x:c r="J159" s="3"/>
      <x:c r="K159" s="3"/>
      <x:c r="L159" s="3"/>
    </x:row>
    <x:row r="160" ht="42" customHeight="1">
      <x:c r="A160" s="3" t="str">
        <x:v>S-131</x:v>
      </x:c>
      <x:c r="B160" s="3" t="str">
        <x:v>Source</x:v>
      </x:c>
      <x:c r="C160" s="3" t="str">
        <x:v>wallet-activity.js:1</x:v>
      </x:c>
      <x:c r="D160" s="3" t="str">
        <x:v>capsules/wallet/browser/wallet-activity.js:1</x:v>
      </x:c>
      <x:c r="E160" s="3" t="str">
        <x:v>Expected behavior only</x:v>
      </x:c>
      <x:c r="F160" s="3" t="str">
        <x:v>Source commit 8e5eb88b; not live execution.</x:v>
      </x:c>
      <x:c r="G160" s="3"/>
      <x:c r="H160" s="3"/>
      <x:c r="I160" s="3"/>
      <x:c r="J160" s="3"/>
      <x:c r="K160" s="3"/>
      <x:c r="L160" s="3"/>
    </x:row>
    <x:row r="161" ht="42" customHeight="1">
      <x:c r="A161" s="3" t="str">
        <x:v>S-132</x:v>
      </x:c>
      <x:c r="B161" s="3" t="str">
        <x:v>Source</x:v>
      </x:c>
      <x:c r="C161" s="3" t="str">
        <x:v>wallet-requests.js:46</x:v>
      </x:c>
      <x:c r="D161" s="3" t="str">
        <x:v>capsules/wallet/browser/wallet-requests.js:46</x:v>
      </x:c>
      <x:c r="E161" s="3" t="str">
        <x:v>Expected behavior only</x:v>
      </x:c>
      <x:c r="F161" s="3" t="str">
        <x:v>Source commit 8e5eb88b; not live execution.</x:v>
      </x:c>
      <x:c r="G161" s="3"/>
      <x:c r="H161" s="3"/>
      <x:c r="I161" s="3"/>
      <x:c r="J161" s="3"/>
      <x:c r="K161" s="3"/>
      <x:c r="L161" s="3"/>
    </x:row>
    <x:row r="162" ht="42" customHeight="1">
      <x:c r="A162" s="3" t="str">
        <x:v>S-133</x:v>
      </x:c>
      <x:c r="B162" s="3" t="str">
        <x:v>Source</x:v>
      </x:c>
      <x:c r="C162" s="3" t="str">
        <x:v>wallet-account-actions.js:206</x:v>
      </x:c>
      <x:c r="D162" s="3" t="str">
        <x:v>capsules/wallet/browser/wallet-account-actions.js:206</x:v>
      </x:c>
      <x:c r="E162" s="3" t="str">
        <x:v>Expected behavior only</x:v>
      </x:c>
      <x:c r="F162" s="3" t="str">
        <x:v>Source commit 8e5eb88b; not live execution.</x:v>
      </x:c>
      <x:c r="G162" s="3"/>
      <x:c r="H162" s="3"/>
      <x:c r="I162" s="3"/>
      <x:c r="J162" s="3"/>
      <x:c r="K162" s="3"/>
      <x:c r="L162" s="3"/>
    </x:row>
    <x:row r="163" ht="42" customHeight="1">
      <x:c r="A163" s="3" t="str">
        <x:v>S-134</x:v>
      </x:c>
      <x:c r="B163" s="3" t="str">
        <x:v>Source</x:v>
      </x:c>
      <x:c r="C163" s="3" t="str">
        <x:v>wallet-account-actions.js:163</x:v>
      </x:c>
      <x:c r="D163" s="3" t="str">
        <x:v>capsules/wallet/browser/wallet-account-actions.js:163</x:v>
      </x:c>
      <x:c r="E163" s="3" t="str">
        <x:v>Expected behavior only</x:v>
      </x:c>
      <x:c r="F163" s="3" t="str">
        <x:v>Source commit 8e5eb88b; not live execution.</x:v>
      </x:c>
      <x:c r="G163" s="3"/>
      <x:c r="H163" s="3"/>
      <x:c r="I163" s="3"/>
      <x:c r="J163" s="3"/>
      <x:c r="K163" s="3"/>
      <x:c r="L163" s="3"/>
    </x:row>
    <x:row r="164" ht="42" customHeight="1">
      <x:c r="A164" s="3" t="str">
        <x:v>S-135</x:v>
      </x:c>
      <x:c r="B164" s="3" t="str">
        <x:v>Source</x:v>
      </x:c>
      <x:c r="C164" s="3" t="str">
        <x:v>index.html:1</x:v>
      </x:c>
      <x:c r="D164" s="3" t="str">
        <x:v>capsules/wallet-metamask/browser/index.html:1</x:v>
      </x:c>
      <x:c r="E164" s="3" t="str">
        <x:v>Expected behavior only</x:v>
      </x:c>
      <x:c r="F164" s="3" t="str">
        <x:v>Source commit 8e5eb88b; not live execution.</x:v>
      </x:c>
      <x:c r="G164" s="3"/>
      <x:c r="H164" s="3"/>
      <x:c r="I164" s="3"/>
      <x:c r="J164" s="3"/>
      <x:c r="K164" s="3"/>
      <x:c r="L164" s="3"/>
    </x:row>
    <x:row r="165" ht="42" customHeight="1">
      <x:c r="A165" s="3" t="str">
        <x:v>S-136</x:v>
      </x:c>
      <x:c r="B165" s="3" t="str">
        <x:v>Source</x:v>
      </x:c>
      <x:c r="C165" s="3" t="str">
        <x:v>index.html:1</x:v>
      </x:c>
      <x:c r="D165" s="3" t="str">
        <x:v>capsules/wallet-unisat/browser/index.html:1</x:v>
      </x:c>
      <x:c r="E165" s="3" t="str">
        <x:v>Expected behavior only</x:v>
      </x:c>
      <x:c r="F165" s="3" t="str">
        <x:v>Source commit 8e5eb88b; not live execution.</x:v>
      </x:c>
      <x:c r="G165" s="3"/>
      <x:c r="H165" s="3"/>
      <x:c r="I165" s="3"/>
      <x:c r="J165" s="3"/>
      <x:c r="K165" s="3"/>
      <x:c r="L165" s="3"/>
    </x:row>
    <x:row r="166" ht="42" customHeight="1">
      <x:c r="A166" s="3" t="str">
        <x:v>S-137</x:v>
      </x:c>
      <x:c r="B166" s="3" t="str">
        <x:v>Source</x:v>
      </x:c>
      <x:c r="C166" s="3" t="str">
        <x:v>index.html:1</x:v>
      </x:c>
      <x:c r="D166" s="3" t="str">
        <x:v>capsules/wallet-walletconnect/browser/index.html:1</x:v>
      </x:c>
      <x:c r="E166" s="3" t="str">
        <x:v>Expected behavior only</x:v>
      </x:c>
      <x:c r="F166" s="3" t="str">
        <x:v>Source commit 8e5eb88b; not live execution.</x:v>
      </x:c>
      <x:c r="G166" s="3"/>
      <x:c r="H166" s="3"/>
      <x:c r="I166" s="3"/>
      <x:c r="J166" s="3"/>
      <x:c r="K166" s="3"/>
      <x:c r="L166" s="3"/>
    </x:row>
    <x:row r="167" ht="42" customHeight="1">
      <x:c r="A167" s="3" t="str">
        <x:v>S-138</x:v>
      </x:c>
      <x:c r="B167" s="3" t="str">
        <x:v>Source</x:v>
      </x:c>
      <x:c r="C167" s="3" t="str">
        <x:v>services.js:93</x:v>
      </x:c>
      <x:c r="D167" s="3" t="str">
        <x:v>capsules/services/browser/services.js:93</x:v>
      </x:c>
      <x:c r="E167" s="3" t="str">
        <x:v>Expected behavior only</x:v>
      </x:c>
      <x:c r="F167" s="3" t="str">
        <x:v>Source commit 8e5eb88b; not live execution.</x:v>
      </x:c>
      <x:c r="G167" s="3"/>
      <x:c r="H167" s="3"/>
      <x:c r="I167" s="3"/>
      <x:c r="J167" s="3"/>
      <x:c r="K167" s="3"/>
      <x:c r="L167" s="3"/>
    </x:row>
    <x:row r="168" ht="42" customHeight="1">
      <x:c r="A168" s="3" t="str">
        <x:v>S-139</x:v>
      </x:c>
      <x:c r="B168" s="3" t="str">
        <x:v>Source</x:v>
      </x:c>
      <x:c r="C168" s="3" t="str">
        <x:v>services.js:201</x:v>
      </x:c>
      <x:c r="D168" s="3" t="str">
        <x:v>capsules/services/browser/services.js:201</x:v>
      </x:c>
      <x:c r="E168" s="3" t="str">
        <x:v>Expected behavior only</x:v>
      </x:c>
      <x:c r="F168" s="3" t="str">
        <x:v>Source commit 8e5eb88b; not live execution.</x:v>
      </x:c>
      <x:c r="G168" s="3"/>
      <x:c r="H168" s="3"/>
      <x:c r="I168" s="3"/>
      <x:c r="J168" s="3"/>
      <x:c r="K168" s="3"/>
      <x:c r="L168" s="3"/>
    </x:row>
    <x:row r="169" ht="42" customHeight="1">
      <x:c r="A169" s="3" t="str">
        <x:v>S-140</x:v>
      </x:c>
      <x:c r="B169" s="3" t="str">
        <x:v>Source</x:v>
      </x:c>
      <x:c r="C169" s="3" t="str">
        <x:v>services.js:245</x:v>
      </x:c>
      <x:c r="D169" s="3" t="str">
        <x:v>capsules/services/browser/services.js:245</x:v>
      </x:c>
      <x:c r="E169" s="3" t="str">
        <x:v>Expected behavior only</x:v>
      </x:c>
      <x:c r="F169" s="3" t="str">
        <x:v>Source commit 8e5eb88b; not live execution.</x:v>
      </x:c>
      <x:c r="G169" s="3"/>
      <x:c r="H169" s="3"/>
      <x:c r="I169" s="3"/>
      <x:c r="J169" s="3"/>
      <x:c r="K169" s="3"/>
      <x:c r="L169" s="3"/>
    </x:row>
    <x:row r="170" ht="42" customHeight="1">
      <x:c r="A170" s="3" t="str">
        <x:v>S-141</x:v>
      </x:c>
      <x:c r="B170" s="3" t="str">
        <x:v>Source</x:v>
      </x:c>
      <x:c r="C170" s="3" t="str">
        <x:v>services.js:435</x:v>
      </x:c>
      <x:c r="D170" s="3" t="str">
        <x:v>capsules/services/browser/services.js:435</x:v>
      </x:c>
      <x:c r="E170" s="3" t="str">
        <x:v>Expected behavior only</x:v>
      </x:c>
      <x:c r="F170" s="3" t="str">
        <x:v>Source commit 8e5eb88b; not live execution.</x:v>
      </x:c>
      <x:c r="G170" s="3"/>
      <x:c r="H170" s="3"/>
      <x:c r="I170" s="3"/>
      <x:c r="J170" s="3"/>
      <x:c r="K170" s="3"/>
      <x:c r="L170" s="3"/>
    </x:row>
    <x:row r="171" ht="42" customHeight="1">
      <x:c r="A171" s="3" t="str">
        <x:v>S-142</x:v>
      </x:c>
      <x:c r="B171" s="3" t="str">
        <x:v>Source</x:v>
      </x:c>
      <x:c r="C171" s="3" t="str">
        <x:v>services.js:466</x:v>
      </x:c>
      <x:c r="D171" s="3" t="str">
        <x:v>capsules/services/browser/services.js:466</x:v>
      </x:c>
      <x:c r="E171" s="3" t="str">
        <x:v>Expected behavior only</x:v>
      </x:c>
      <x:c r="F171" s="3" t="str">
        <x:v>Source commit 8e5eb88b; not live execution.</x:v>
      </x:c>
      <x:c r="G171" s="3"/>
      <x:c r="H171" s="3"/>
      <x:c r="I171" s="3"/>
      <x:c r="J171" s="3"/>
      <x:c r="K171" s="3"/>
      <x:c r="L171" s="3"/>
    </x:row>
    <x:row r="172" ht="42" customHeight="1">
      <x:c r="A172" s="3" t="str">
        <x:v>S-143</x:v>
      </x:c>
      <x:c r="B172" s="3" t="str">
        <x:v>Source</x:v>
      </x:c>
      <x:c r="C172" s="3" t="str">
        <x:v>TASKS.md:408</x:v>
      </x:c>
      <x:c r="D172" s="3" t="str">
        <x:v>TASKS.md:408</x:v>
      </x:c>
      <x:c r="E172" s="3" t="str">
        <x:v>Expected behavior only</x:v>
      </x:c>
      <x:c r="F172" s="3" t="str">
        <x:v>Source commit 8e5eb88b; not live execution.</x:v>
      </x:c>
      <x:c r="G172" s="3"/>
      <x:c r="H172" s="3"/>
      <x:c r="I172" s="3"/>
      <x:c r="J172" s="3"/>
      <x:c r="K172" s="3"/>
      <x:c r="L172" s="3"/>
    </x:row>
    <x:row r="173" ht="42" customHeight="1">
      <x:c r="A173" s="3" t="str">
        <x:v>S-144</x:v>
      </x:c>
      <x:c r="B173" s="3" t="str">
        <x:v>Source</x:v>
      </x:c>
      <x:c r="C173" s="3" t="str">
        <x:v>assistant.js:1629</x:v>
      </x:c>
      <x:c r="D173" s="3" t="str">
        <x:v>capsules/assistant/browser/assistant.js:1629</x:v>
      </x:c>
      <x:c r="E173" s="3" t="str">
        <x:v>Expected behavior only</x:v>
      </x:c>
      <x:c r="F173" s="3" t="str">
        <x:v>Source commit 8e5eb88b; not live execution.</x:v>
      </x:c>
      <x:c r="G173" s="3"/>
      <x:c r="H173" s="3"/>
      <x:c r="I173" s="3"/>
      <x:c r="J173" s="3"/>
      <x:c r="K173" s="3"/>
      <x:c r="L173" s="3"/>
    </x:row>
    <x:row r="174" ht="42" customHeight="1">
      <x:c r="A174" s="3" t="str">
        <x:v>S-145</x:v>
      </x:c>
      <x:c r="B174" s="3" t="str">
        <x:v>Source</x:v>
      </x:c>
      <x:c r="C174" s="3" t="str">
        <x:v>assistant.js:1542</x:v>
      </x:c>
      <x:c r="D174" s="3" t="str">
        <x:v>capsules/assistant/browser/assistant.js:1542</x:v>
      </x:c>
      <x:c r="E174" s="3" t="str">
        <x:v>Expected behavior only</x:v>
      </x:c>
      <x:c r="F174" s="3" t="str">
        <x:v>Source commit 8e5eb88b; not live execution.</x:v>
      </x:c>
      <x:c r="G174" s="3"/>
      <x:c r="H174" s="3"/>
      <x:c r="I174" s="3"/>
      <x:c r="J174" s="3"/>
      <x:c r="K174" s="3"/>
      <x:c r="L174" s="3"/>
    </x:row>
    <x:row r="175" ht="42" customHeight="1">
      <x:c r="A175" s="3" t="str">
        <x:v>S-146</x:v>
      </x:c>
      <x:c r="B175" s="3" t="str">
        <x:v>Source</x:v>
      </x:c>
      <x:c r="C175" s="3" t="str">
        <x:v>assistant.js:131</x:v>
      </x:c>
      <x:c r="D175" s="3" t="str">
        <x:v>capsules/assistant/browser/assistant.js:131</x:v>
      </x:c>
      <x:c r="E175" s="3" t="str">
        <x:v>Expected behavior only</x:v>
      </x:c>
      <x:c r="F175" s="3" t="str">
        <x:v>Source commit 8e5eb88b; not live execution.</x:v>
      </x:c>
      <x:c r="G175" s="3"/>
      <x:c r="H175" s="3"/>
      <x:c r="I175" s="3"/>
      <x:c r="J175" s="3"/>
      <x:c r="K175" s="3"/>
      <x:c r="L175" s="3"/>
    </x:row>
    <x:row r="176" ht="42" customHeight="1">
      <x:c r="A176" s="3" t="str">
        <x:v>S-147</x:v>
      </x:c>
      <x:c r="B176" s="3" t="str">
        <x:v>Source</x:v>
      </x:c>
      <x:c r="C176" s="3" t="str">
        <x:v>assistant.js:1733</x:v>
      </x:c>
      <x:c r="D176" s="3" t="str">
        <x:v>capsules/assistant/browser/assistant.js:1733</x:v>
      </x:c>
      <x:c r="E176" s="3" t="str">
        <x:v>Expected behavior only</x:v>
      </x:c>
      <x:c r="F176" s="3" t="str">
        <x:v>Source commit 8e5eb88b; not live execution.</x:v>
      </x:c>
      <x:c r="G176" s="3"/>
      <x:c r="H176" s="3"/>
      <x:c r="I176" s="3"/>
      <x:c r="J176" s="3"/>
      <x:c r="K176" s="3"/>
      <x:c r="L176" s="3"/>
    </x:row>
    <x:row r="177" ht="42" customHeight="1">
      <x:c r="A177" s="3" t="str">
        <x:v>S-148</x:v>
      </x:c>
      <x:c r="B177" s="3" t="str">
        <x:v>Source</x:v>
      </x:c>
      <x:c r="C177" s="3" t="str">
        <x:v>assistant.js:393</x:v>
      </x:c>
      <x:c r="D177" s="3" t="str">
        <x:v>capsules/assistant/browser/assistant.js:393</x:v>
      </x:c>
      <x:c r="E177" s="3" t="str">
        <x:v>Expected behavior only</x:v>
      </x:c>
      <x:c r="F177" s="3" t="str">
        <x:v>Source commit 8e5eb88b; not live execution.</x:v>
      </x:c>
      <x:c r="G177" s="3"/>
      <x:c r="H177" s="3"/>
      <x:c r="I177" s="3"/>
      <x:c r="J177" s="3"/>
      <x:c r="K177" s="3"/>
      <x:c r="L177" s="3"/>
    </x:row>
    <x:row r="178" ht="42" customHeight="1">
      <x:c r="A178" s="3" t="str">
        <x:v>S-149</x:v>
      </x:c>
      <x:c r="B178" s="3" t="str">
        <x:v>Source</x:v>
      </x:c>
      <x:c r="C178" s="3" t="str">
        <x:v>assistant.js:216</x:v>
      </x:c>
      <x:c r="D178" s="3" t="str">
        <x:v>capsules/assistant/browser/assistant.js:216</x:v>
      </x:c>
      <x:c r="E178" s="3" t="str">
        <x:v>Expected behavior only</x:v>
      </x:c>
      <x:c r="F178" s="3" t="str">
        <x:v>Source commit 8e5eb88b; not live execution.</x:v>
      </x:c>
      <x:c r="G178" s="3"/>
      <x:c r="H178" s="3"/>
      <x:c r="I178" s="3"/>
      <x:c r="J178" s="3"/>
      <x:c r="K178" s="3"/>
      <x:c r="L178" s="3"/>
    </x:row>
    <x:row r="179" ht="42" customHeight="1">
      <x:c r="A179" s="3" t="str">
        <x:v>S-150</x:v>
      </x:c>
      <x:c r="B179" s="3" t="str">
        <x:v>Source</x:v>
      </x:c>
      <x:c r="C179" s="3" t="str">
        <x:v>assistant.js:1297</x:v>
      </x:c>
      <x:c r="D179" s="3" t="str">
        <x:v>capsules/assistant/browser/assistant.js:1297</x:v>
      </x:c>
      <x:c r="E179" s="3" t="str">
        <x:v>Expected behavior only</x:v>
      </x:c>
      <x:c r="F179" s="3" t="str">
        <x:v>Source commit 8e5eb88b; not live execution.</x:v>
      </x:c>
      <x:c r="G179" s="3"/>
      <x:c r="H179" s="3"/>
      <x:c r="I179" s="3"/>
      <x:c r="J179" s="3"/>
      <x:c r="K179" s="3"/>
      <x:c r="L179" s="3"/>
    </x:row>
    <x:row r="180" ht="42" customHeight="1">
      <x:c r="A180" s="3" t="str">
        <x:v>S-151</x:v>
      </x:c>
      <x:c r="B180" s="3" t="str">
        <x:v>Source</x:v>
      </x:c>
      <x:c r="C180" s="3" t="str">
        <x:v>assistant.js:1702</x:v>
      </x:c>
      <x:c r="D180" s="3" t="str">
        <x:v>capsules/assistant/browser/assistant.js:1702</x:v>
      </x:c>
      <x:c r="E180" s="3" t="str">
        <x:v>Expected behavior only</x:v>
      </x:c>
      <x:c r="F180" s="3" t="str">
        <x:v>Source commit 8e5eb88b; not live execution.</x:v>
      </x:c>
      <x:c r="G180" s="3"/>
      <x:c r="H180" s="3"/>
      <x:c r="I180" s="3"/>
      <x:c r="J180" s="3"/>
      <x:c r="K180" s="3"/>
      <x:c r="L180" s="3"/>
    </x:row>
    <x:row r="181" ht="42" customHeight="1">
      <x:c r="A181" s="3" t="str">
        <x:v>S-152</x:v>
      </x:c>
      <x:c r="B181" s="3" t="str">
        <x:v>Source</x:v>
      </x:c>
      <x:c r="C181" s="3" t="str">
        <x:v>assistant.js:279</x:v>
      </x:c>
      <x:c r="D181" s="3" t="str">
        <x:v>capsules/assistant/browser/assistant.js:279</x:v>
      </x:c>
      <x:c r="E181" s="3" t="str">
        <x:v>Expected behavior only</x:v>
      </x:c>
      <x:c r="F181" s="3" t="str">
        <x:v>Source commit 8e5eb88b; not live execution.</x:v>
      </x:c>
      <x:c r="G181" s="3"/>
      <x:c r="H181" s="3"/>
      <x:c r="I181" s="3"/>
      <x:c r="J181" s="3"/>
      <x:c r="K181" s="3"/>
      <x:c r="L181" s="3"/>
    </x:row>
    <x:row r="182" ht="42" customHeight="1">
      <x:c r="A182" s="3" t="str">
        <x:v>S-153</x:v>
      </x:c>
      <x:c r="B182" s="3" t="str">
        <x:v>Source</x:v>
      </x:c>
      <x:c r="C182" s="3" t="str">
        <x:v>assistant.js:336</x:v>
      </x:c>
      <x:c r="D182" s="3" t="str">
        <x:v>capsules/assistant/browser/assistant.js:336</x:v>
      </x:c>
      <x:c r="E182" s="3" t="str">
        <x:v>Expected behavior only</x:v>
      </x:c>
      <x:c r="F182" s="3" t="str">
        <x:v>Source commit 8e5eb88b; not live execution.</x:v>
      </x:c>
      <x:c r="G182" s="3"/>
      <x:c r="H182" s="3"/>
      <x:c r="I182" s="3"/>
      <x:c r="J182" s="3"/>
      <x:c r="K182" s="3"/>
      <x:c r="L182" s="3"/>
    </x:row>
    <x:row r="183" ht="42" customHeight="1">
      <x:c r="A183" s="3" t="str">
        <x:v>S-154</x:v>
      </x:c>
      <x:c r="B183" s="3" t="str">
        <x:v>Source</x:v>
      </x:c>
      <x:c r="C183" s="3" t="str">
        <x:v>config.rs:36</x:v>
      </x:c>
      <x:c r="D183" s="3" t="str">
        <x:v>capsules/model-provider/src/config.rs:36</x:v>
      </x:c>
      <x:c r="E183" s="3" t="str">
        <x:v>Expected behavior only</x:v>
      </x:c>
      <x:c r="F183" s="3" t="str">
        <x:v>Source commit 8e5eb88b; not live execution.</x:v>
      </x:c>
      <x:c r="G183" s="3"/>
      <x:c r="H183" s="3"/>
      <x:c r="I183" s="3"/>
      <x:c r="J183" s="3"/>
      <x:c r="K183" s="3"/>
      <x:c r="L183" s="3"/>
    </x:row>
    <x:row r="184" ht="42" customHeight="1">
      <x:c r="A184" s="3" t="str">
        <x:v>S-155</x:v>
      </x:c>
      <x:c r="B184" s="3" t="str">
        <x:v>Source</x:v>
      </x:c>
      <x:c r="C184" s="3" t="str">
        <x:v>execution.rs:135</x:v>
      </x:c>
      <x:c r="D184" s="3" t="str">
        <x:v>capsules/model-provider/src/execution.rs:135</x:v>
      </x:c>
      <x:c r="E184" s="3" t="str">
        <x:v>Expected behavior only</x:v>
      </x:c>
      <x:c r="F184" s="3" t="str">
        <x:v>Source commit 8e5eb88b; not live execution.</x:v>
      </x:c>
      <x:c r="G184" s="3"/>
      <x:c r="H184" s="3"/>
      <x:c r="I184" s="3"/>
      <x:c r="J184" s="3"/>
      <x:c r="K184" s="3"/>
      <x:c r="L184" s="3"/>
    </x:row>
    <x:row r="185" ht="42" customHeight="1">
      <x:c r="A185" s="3" t="str">
        <x:v>S-156</x:v>
      </x:c>
      <x:c r="B185" s="3" t="str">
        <x:v>Source</x:v>
      </x:c>
      <x:c r="C185" s="3" t="str">
        <x:v>server_infra.rs:889</x:v>
      </x:c>
      <x:c r="D185" s="3" t="str">
        <x:v>elastos/crates/elastos-server/src/server_infra.rs:889</x:v>
      </x:c>
      <x:c r="E185" s="3" t="str">
        <x:v>Expected behavior only</x:v>
      </x:c>
      <x:c r="F185" s="3" t="str">
        <x:v>Source commit 8e5eb88b; not live execution.</x:v>
      </x:c>
      <x:c r="G185" s="3"/>
      <x:c r="H185" s="3"/>
      <x:c r="I185" s="3"/>
      <x:c r="J185" s="3"/>
      <x:c r="K185" s="3"/>
      <x:c r="L185" s="3"/>
    </x:row>
    <x:row r="186" ht="42" customHeight="1">
      <x:c r="A186" s="3" t="str">
        <x:v>S-157</x:v>
      </x:c>
      <x:c r="B186" s="3" t="str">
        <x:v>Source</x:v>
      </x:c>
      <x:c r="C186" s="3" t="str">
        <x:v>setup-source-home.sh:1655</x:v>
      </x:c>
      <x:c r="D186" s="3" t="str">
        <x:v>scripts/setup-source-home.sh:1655</x:v>
      </x:c>
      <x:c r="E186" s="3" t="str">
        <x:v>Expected behavior only</x:v>
      </x:c>
      <x:c r="F186" s="3" t="str">
        <x:v>Source commit 8e5eb88b; not live execution.</x:v>
      </x:c>
      <x:c r="G186" s="3"/>
      <x:c r="H186" s="3"/>
      <x:c r="I186" s="3"/>
      <x:c r="J186" s="3"/>
      <x:c r="K186" s="3"/>
      <x:c r="L186" s="3"/>
    </x:row>
    <x:row r="187" ht="42" customHeight="1">
      <x:c r="A187" s="3" t="str">
        <x:v>S-158</x:v>
      </x:c>
      <x:c r="B187" s="3" t="str">
        <x:v>Source</x:v>
      </x:c>
      <x:c r="C187" s="3" t="str">
        <x:v>config.rs:64</x:v>
      </x:c>
      <x:c r="D187" s="3" t="str">
        <x:v>capsules/model-provider/src/config.rs:64</x:v>
      </x:c>
      <x:c r="E187" s="3" t="str">
        <x:v>Expected behavior only</x:v>
      </x:c>
      <x:c r="F187" s="3" t="str">
        <x:v>Source commit 8e5eb88b; not live execution.</x:v>
      </x:c>
      <x:c r="G187" s="3"/>
      <x:c r="H187" s="3"/>
      <x:c r="I187" s="3"/>
      <x:c r="J187" s="3"/>
      <x:c r="K187" s="3"/>
      <x:c r="L187" s="3"/>
    </x:row>
    <x:row r="188" ht="42" customHeight="1">
      <x:c r="A188" s="3" t="str">
        <x:v>S-159</x:v>
      </x:c>
      <x:c r="B188" s="3" t="str">
        <x:v>Source</x:v>
      </x:c>
      <x:c r="C188" s="3" t="str">
        <x:v>state.md:361</x:v>
      </x:c>
      <x:c r="D188" s="3" t="str">
        <x:v>state.md:361</x:v>
      </x:c>
      <x:c r="E188" s="3" t="str">
        <x:v>Expected behavior only</x:v>
      </x:c>
      <x:c r="F188" s="3" t="str">
        <x:v>Source commit 8e5eb88b; not live execution.</x:v>
      </x:c>
      <x:c r="G188" s="3"/>
      <x:c r="H188" s="3"/>
      <x:c r="I188" s="3"/>
      <x:c r="J188" s="3"/>
      <x:c r="K188" s="3"/>
      <x:c r="L188" s="3"/>
    </x:row>
    <x:row r="189" ht="42" customHeight="1">
      <x:c r="A189" s="3" t="str">
        <x:v>S-160</x:v>
      </x:c>
      <x:c r="B189" s="3" t="str">
        <x:v>Source</x:v>
      </x:c>
      <x:c r="C189" s="3" t="str">
        <x:v>server_infra.rs:162</x:v>
      </x:c>
      <x:c r="D189" s="3" t="str">
        <x:v>elastos/crates/elastos-server/src/server_infra.rs:162</x:v>
      </x:c>
      <x:c r="E189" s="3" t="str">
        <x:v>Expected behavior only</x:v>
      </x:c>
      <x:c r="F189" s="3" t="str">
        <x:v>Source commit 8e5eb88b; not live execution.</x:v>
      </x:c>
      <x:c r="G189" s="3"/>
      <x:c r="H189" s="3"/>
      <x:c r="I189" s="3"/>
      <x:c r="J189" s="3"/>
      <x:c r="K189" s="3"/>
      <x:c r="L189" s="3"/>
    </x:row>
    <x:row r="190" ht="42" customHeight="1">
      <x:c r="A190" s="3" t="str">
        <x:v>S-161</x:v>
      </x:c>
      <x:c r="B190" s="3" t="str">
        <x:v>Source</x:v>
      </x:c>
      <x:c r="C190" s="3" t="str">
        <x:v>PRINCIPLES.md:1</x:v>
      </x:c>
      <x:c r="D190" s="3" t="str">
        <x:v>PRINCIPLES.md:1</x:v>
      </x:c>
      <x:c r="E190" s="3" t="str">
        <x:v>Expected behavior only</x:v>
      </x:c>
      <x:c r="F190" s="3" t="str">
        <x:v>Source commit 8e5eb88b; not live execution.</x:v>
      </x:c>
      <x:c r="G190" s="3"/>
      <x:c r="H190" s="3"/>
      <x:c r="I190" s="3"/>
      <x:c r="J190" s="3"/>
      <x:c r="K190" s="3"/>
      <x:c r="L190" s="3"/>
    </x:row>
    <x:row r="191" ht="42" customHeight="1">
      <x:c r="A191" s="3" t="str">
        <x:v>S-162</x:v>
      </x:c>
      <x:c r="B191" s="3" t="str">
        <x:v>Source</x:v>
      </x:c>
      <x:c r="C191" s="3" t="str">
        <x:v>config.rs:111</x:v>
      </x:c>
      <x:c r="D191" s="3" t="str">
        <x:v>capsules/model-provider/src/config.rs:111</x:v>
      </x:c>
      <x:c r="E191" s="3" t="str">
        <x:v>Expected behavior only</x:v>
      </x:c>
      <x:c r="F191" s="3" t="str">
        <x:v>Source commit 8e5eb88b; not live execution.</x:v>
      </x:c>
      <x:c r="G191" s="3"/>
      <x:c r="H191" s="3"/>
      <x:c r="I191" s="3"/>
      <x:c r="J191" s="3"/>
      <x:c r="K191" s="3"/>
      <x:c r="L191" s="3"/>
    </x:row>
    <x:row r="192" ht="42" customHeight="1">
      <x:c r="A192" s="3" t="str">
        <x:v>S-163</x:v>
      </x:c>
      <x:c r="B192" s="3" t="str">
        <x:v>Source</x:v>
      </x:c>
      <x:c r="C192" s="3" t="str">
        <x:v>browser.js:820</x:v>
      </x:c>
      <x:c r="D192" s="3" t="str">
        <x:v>capsules/browser/browser/browser.js:820</x:v>
      </x:c>
      <x:c r="E192" s="3" t="str">
        <x:v>Expected behavior only</x:v>
      </x:c>
      <x:c r="F192" s="3" t="str">
        <x:v>Source commit 8e5eb88b; not live execution.</x:v>
      </x:c>
      <x:c r="G192" s="3"/>
      <x:c r="H192" s="3"/>
      <x:c r="I192" s="3"/>
      <x:c r="J192" s="3"/>
      <x:c r="K192" s="3"/>
      <x:c r="L192" s="3"/>
    </x:row>
    <x:row r="193" ht="42" customHeight="1">
      <x:c r="A193" s="3" t="str">
        <x:v>S-164</x:v>
      </x:c>
      <x:c r="B193" s="3" t="str">
        <x:v>Source</x:v>
      </x:c>
      <x:c r="C193" s="3" t="str">
        <x:v>browser.js:1255</x:v>
      </x:c>
      <x:c r="D193" s="3" t="str">
        <x:v>capsules/browser/browser/browser.js:1255</x:v>
      </x:c>
      <x:c r="E193" s="3" t="str">
        <x:v>Expected behavior only</x:v>
      </x:c>
      <x:c r="F193" s="3" t="str">
        <x:v>Source commit 8e5eb88b; not live execution.</x:v>
      </x:c>
      <x:c r="G193" s="3"/>
      <x:c r="H193" s="3"/>
      <x:c r="I193" s="3"/>
      <x:c r="J193" s="3"/>
      <x:c r="K193" s="3"/>
      <x:c r="L193" s="3"/>
    </x:row>
    <x:row r="194" ht="42" customHeight="1">
      <x:c r="A194" s="3" t="str">
        <x:v>S-165</x:v>
      </x:c>
      <x:c r="B194" s="3" t="str">
        <x:v>Source</x:v>
      </x:c>
      <x:c r="C194" s="3" t="str">
        <x:v>browser.js:1475</x:v>
      </x:c>
      <x:c r="D194" s="3" t="str">
        <x:v>capsules/browser/browser/browser.js:1475</x:v>
      </x:c>
      <x:c r="E194" s="3" t="str">
        <x:v>Expected behavior only</x:v>
      </x:c>
      <x:c r="F194" s="3" t="str">
        <x:v>Source commit 8e5eb88b; not live execution.</x:v>
      </x:c>
      <x:c r="G194" s="3"/>
      <x:c r="H194" s="3"/>
      <x:c r="I194" s="3"/>
      <x:c r="J194" s="3"/>
      <x:c r="K194" s="3"/>
      <x:c r="L194" s="3"/>
    </x:row>
    <x:row r="195" ht="42" customHeight="1">
      <x:c r="A195" s="3" t="str">
        <x:v>S-166</x:v>
      </x:c>
      <x:c r="B195" s="3" t="str">
        <x:v>Source</x:v>
      </x:c>
      <x:c r="C195" s="3" t="str">
        <x:v>browser.js:1335</x:v>
      </x:c>
      <x:c r="D195" s="3" t="str">
        <x:v>capsules/browser/browser/browser.js:1335</x:v>
      </x:c>
      <x:c r="E195" s="3" t="str">
        <x:v>Expected behavior only</x:v>
      </x:c>
      <x:c r="F195" s="3" t="str">
        <x:v>Source commit 8e5eb88b; not live execution.</x:v>
      </x:c>
      <x:c r="G195" s="3"/>
      <x:c r="H195" s="3"/>
      <x:c r="I195" s="3"/>
      <x:c r="J195" s="3"/>
      <x:c r="K195" s="3"/>
      <x:c r="L195" s="3"/>
    </x:row>
    <x:row r="196" ht="42" customHeight="1">
      <x:c r="A196" s="3" t="str">
        <x:v>S-167</x:v>
      </x:c>
      <x:c r="B196" s="3" t="str">
        <x:v>Source</x:v>
      </x:c>
      <x:c r="C196" s="3" t="str">
        <x:v>browser.js:1467</x:v>
      </x:c>
      <x:c r="D196" s="3" t="str">
        <x:v>capsules/browser/browser/browser.js:1467</x:v>
      </x:c>
      <x:c r="E196" s="3" t="str">
        <x:v>Expected behavior only</x:v>
      </x:c>
      <x:c r="F196" s="3" t="str">
        <x:v>Source commit 8e5eb88b; not live execution.</x:v>
      </x:c>
      <x:c r="G196" s="3"/>
      <x:c r="H196" s="3"/>
      <x:c r="I196" s="3"/>
      <x:c r="J196" s="3"/>
      <x:c r="K196" s="3"/>
      <x:c r="L196" s="3"/>
    </x:row>
    <x:row r="197" ht="42" customHeight="1">
      <x:c r="A197" s="3" t="str">
        <x:v>S-168</x:v>
      </x:c>
      <x:c r="B197" s="3" t="str">
        <x:v>Source</x:v>
      </x:c>
      <x:c r="C197" s="3" t="str">
        <x:v>browser-clipboard.js:1</x:v>
      </x:c>
      <x:c r="D197" s="3" t="str">
        <x:v>capsules/browser/browser/browser-clipboard.js:1</x:v>
      </x:c>
      <x:c r="E197" s="3" t="str">
        <x:v>Expected behavior only</x:v>
      </x:c>
      <x:c r="F197" s="3" t="str">
        <x:v>Source commit 8e5eb88b; not live execution.</x:v>
      </x:c>
      <x:c r="G197" s="3"/>
      <x:c r="H197" s="3"/>
      <x:c r="I197" s="3"/>
      <x:c r="J197" s="3"/>
      <x:c r="K197" s="3"/>
      <x:c r="L197" s="3"/>
    </x:row>
    <x:row r="198" ht="42" customHeight="1">
      <x:c r="A198" s="3" t="str">
        <x:v>S-169</x:v>
      </x:c>
      <x:c r="B198" s="3" t="str">
        <x:v>Source</x:v>
      </x:c>
      <x:c r="C198" s="3" t="str">
        <x:v>browser.js:1065</x:v>
      </x:c>
      <x:c r="D198" s="3" t="str">
        <x:v>capsules/browser/browser/browser.js:1065</x:v>
      </x:c>
      <x:c r="E198" s="3" t="str">
        <x:v>Expected behavior only</x:v>
      </x:c>
      <x:c r="F198" s="3" t="str">
        <x:v>Source commit 8e5eb88b; not live execution.</x:v>
      </x:c>
      <x:c r="G198" s="3"/>
      <x:c r="H198" s="3"/>
      <x:c r="I198" s="3"/>
      <x:c r="J198" s="3"/>
      <x:c r="K198" s="3"/>
      <x:c r="L198" s="3"/>
    </x:row>
    <x:row r="199" ht="42" customHeight="1">
      <x:c r="A199" s="3" t="str">
        <x:v>S-170</x:v>
      </x:c>
      <x:c r="B199" s="3" t="str">
        <x:v>Source</x:v>
      </x:c>
      <x:c r="C199" s="3" t="str">
        <x:v>capsule.json:1</x:v>
      </x:c>
      <x:c r="D199" s="3" t="str">
        <x:v>capsules/browser/capsule.json:1</x:v>
      </x:c>
      <x:c r="E199" s="3" t="str">
        <x:v>Expected behavior only</x:v>
      </x:c>
      <x:c r="F199" s="3" t="str">
        <x:v>Source commit 8e5eb88b; not live execution.</x:v>
      </x:c>
      <x:c r="G199" s="3"/>
      <x:c r="H199" s="3"/>
      <x:c r="I199" s="3"/>
      <x:c r="J199" s="3"/>
      <x:c r="K199" s="3"/>
      <x:c r="L199" s="3"/>
    </x:row>
    <x:row r="200" ht="42" customHeight="1">
      <x:c r="A200" s="3" t="str">
        <x:v>S-171</x:v>
      </x:c>
      <x:c r="B200" s="3" t="str">
        <x:v>Source</x:v>
      </x:c>
      <x:c r="C200" s="3" t="str">
        <x:v>index.html:1</x:v>
      </x:c>
      <x:c r="D200" s="3" t="str">
        <x:v>capsules/browser/browser/index.html:1</x:v>
      </x:c>
      <x:c r="E200" s="3" t="str">
        <x:v>Expected behavior only</x:v>
      </x:c>
      <x:c r="F200" s="3" t="str">
        <x:v>Source commit 8e5eb88b; not live execution.</x:v>
      </x:c>
      <x:c r="G200" s="3"/>
      <x:c r="H200" s="3"/>
      <x:c r="I200" s="3"/>
      <x:c r="J200" s="3"/>
      <x:c r="K200" s="3"/>
      <x:c r="L200" s="3"/>
    </x:row>
    <x:row r="201" ht="42" customHeight="1">
      <x:c r="A201" s="3" t="str">
        <x:v>S-172</x:v>
      </x:c>
      <x:c r="B201" s="3" t="str">
        <x:v>Source</x:v>
      </x:c>
      <x:c r="C201" s="3" t="str">
        <x:v>browser.js:497</x:v>
      </x:c>
      <x:c r="D201" s="3" t="str">
        <x:v>capsules/browser/browser/browser.js:497</x:v>
      </x:c>
      <x:c r="E201" s="3" t="str">
        <x:v>Expected behavior only</x:v>
      </x:c>
      <x:c r="F201" s="3" t="str">
        <x:v>Source commit 8e5eb88b; not live execution.</x:v>
      </x:c>
      <x:c r="G201" s="3"/>
      <x:c r="H201" s="3"/>
      <x:c r="I201" s="3"/>
      <x:c r="J201" s="3"/>
      <x:c r="K201" s="3"/>
      <x:c r="L201" s="3"/>
    </x:row>
    <x:row r="202" ht="42" customHeight="1">
      <x:c r="A202" s="3" t="str">
        <x:v>S-173</x:v>
      </x:c>
      <x:c r="B202" s="3" t="str">
        <x:v>Source</x:v>
      </x:c>
      <x:c r="C202" s="3" t="str">
        <x:v>browser.js:204</x:v>
      </x:c>
      <x:c r="D202" s="3" t="str">
        <x:v>capsules/browser/browser/browser.js:204</x:v>
      </x:c>
      <x:c r="E202" s="3" t="str">
        <x:v>Expected behavior only</x:v>
      </x:c>
      <x:c r="F202" s="3" t="str">
        <x:v>Source commit 8e5eb88b; not live execution.</x:v>
      </x:c>
      <x:c r="G202" s="3"/>
      <x:c r="H202" s="3"/>
      <x:c r="I202" s="3"/>
      <x:c r="J202" s="3"/>
      <x:c r="K202" s="3"/>
      <x:c r="L202" s="3"/>
    </x:row>
    <x:row r="203" ht="42" customHeight="1">
      <x:c r="A203" s="3" t="str">
        <x:v>S-174</x:v>
      </x:c>
      <x:c r="B203" s="3" t="str">
        <x:v>Source</x:v>
      </x:c>
      <x:c r="C203" s="3" t="str">
        <x:v>TASKS.md:1</x:v>
      </x:c>
      <x:c r="D203" s="3" t="str">
        <x:v>TASKS.md:1</x:v>
      </x:c>
      <x:c r="E203" s="3" t="str">
        <x:v>Expected behavior only</x:v>
      </x:c>
      <x:c r="F203" s="3" t="str">
        <x:v>Source commit 8e5eb88b; not live execution.</x:v>
      </x:c>
      <x:c r="G203" s="3"/>
      <x:c r="H203" s="3"/>
      <x:c r="I203" s="3"/>
      <x:c r="J203" s="3"/>
      <x:c r="K203" s="3"/>
      <x:c r="L203" s="3"/>
    </x:row>
    <x:row r="204" ht="42" customHeight="1">
      <x:c r="A204" s="3" t="str">
        <x:v>S-175</x:v>
      </x:c>
      <x:c r="B204" s="3" t="str">
        <x:v>Source</x:v>
      </x:c>
      <x:c r="C204" s="3" t="str">
        <x:v>index.html:1</x:v>
      </x:c>
      <x:c r="D204" s="3" t="str">
        <x:v>capsules/gba-emulator/browser/index.html:1</x:v>
      </x:c>
      <x:c r="E204" s="3" t="str">
        <x:v>Expected behavior only</x:v>
      </x:c>
      <x:c r="F204" s="3" t="str">
        <x:v>Source commit 8e5eb88b; not live execution.</x:v>
      </x:c>
      <x:c r="G204" s="3"/>
      <x:c r="H204" s="3"/>
      <x:c r="I204" s="3"/>
      <x:c r="J204" s="3"/>
      <x:c r="K204" s="3"/>
      <x:c r="L204" s="3"/>
    </x:row>
    <x:row r="205" ht="42" customHeight="1">
      <x:c r="A205" s="3" t="str">
        <x:v>S-176</x:v>
      </x:c>
      <x:c r="B205" s="3" t="str">
        <x:v>Source</x:v>
      </x:c>
      <x:c r="C205" s="3" t="str">
        <x:v>capsule.json:1</x:v>
      </x:c>
      <x:c r="D205" s="3" t="str">
        <x:v>capsules/gba-nonogram/capsule.json:1</x:v>
      </x:c>
      <x:c r="E205" s="3" t="str">
        <x:v>Expected behavior only</x:v>
      </x:c>
      <x:c r="F205" s="3" t="str">
        <x:v>Source commit 8e5eb88b; not live execution.</x:v>
      </x:c>
      <x:c r="G205" s="3"/>
      <x:c r="H205" s="3"/>
      <x:c r="I205" s="3"/>
      <x:c r="J205" s="3"/>
      <x:c r="K205" s="3"/>
      <x:c r="L205" s="3"/>
    </x:row>
    <x:row r="206" ht="42" customHeight="1">
      <x:c r="A206" s="3" t="str">
        <x:v>S-177</x:v>
      </x:c>
      <x:c r="B206" s="3" t="str">
        <x:v>Source</x:v>
      </x:c>
      <x:c r="C206" s="3" t="str">
        <x:v>capsule.json:1</x:v>
      </x:c>
      <x:c r="D206" s="3" t="str">
        <x:v>capsules/gba-ucity/capsule.json:1</x:v>
      </x:c>
      <x:c r="E206" s="3" t="str">
        <x:v>Expected behavior only</x:v>
      </x:c>
      <x:c r="F206" s="3" t="str">
        <x:v>Source commit 8e5eb88b; not live execution.</x:v>
      </x:c>
      <x:c r="G206" s="3"/>
      <x:c r="H206" s="3"/>
      <x:c r="I206" s="3"/>
      <x:c r="J206" s="3"/>
      <x:c r="K206" s="3"/>
      <x:c r="L206" s="3"/>
    </x:row>
    <x:row r="207" ht="42" customHeight="1">
      <x:c r="A207" s="3" t="str">
        <x:v>S-178</x:v>
      </x:c>
      <x:c r="B207" s="3" t="str">
        <x:v>Source</x:v>
      </x:c>
      <x:c r="C207" s="3" t="str">
        <x:v>commands.json:1</x:v>
      </x:c>
      <x:c r="D207" s="3" t="str">
        <x:v>capsules/home-cli/browser/commands.json:1</x:v>
      </x:c>
      <x:c r="E207" s="3" t="str">
        <x:v>Expected behavior only</x:v>
      </x:c>
      <x:c r="F207" s="3" t="str">
        <x:v>Source commit 8e5eb88b; not live execution.</x:v>
      </x:c>
      <x:c r="G207" s="3"/>
      <x:c r="H207" s="3"/>
      <x:c r="I207" s="3"/>
      <x:c r="J207" s="3"/>
      <x:c r="K207" s="3"/>
      <x:c r="L207" s="3"/>
    </x:row>
    <x:row r="208" ht="42" customHeight="1">
      <x:c r="A208" s="3" t="str">
        <x:v>S-179</x:v>
      </x:c>
      <x:c r="B208" s="3" t="str">
        <x:v>Source</x:v>
      </x:c>
      <x:c r="C208" s="3" t="str">
        <x:v>commands.json:14</x:v>
      </x:c>
      <x:c r="D208" s="3" t="str">
        <x:v>capsules/home-cli/browser/commands.json:14</x:v>
      </x:c>
      <x:c r="E208" s="3" t="str">
        <x:v>Expected behavior only</x:v>
      </x:c>
      <x:c r="F208" s="3" t="str">
        <x:v>Source commit 8e5eb88b; not live execution.</x:v>
      </x:c>
      <x:c r="G208" s="3"/>
      <x:c r="H208" s="3"/>
      <x:c r="I208" s="3"/>
      <x:c r="J208" s="3"/>
      <x:c r="K208" s="3"/>
      <x:c r="L208" s="3"/>
    </x:row>
    <x:row r="209" ht="42" customHeight="1">
      <x:c r="A209" s="3" t="str">
        <x:v>S-180</x:v>
      </x:c>
      <x:c r="B209" s="3" t="str">
        <x:v>Source</x:v>
      </x:c>
      <x:c r="C209" s="3" t="str">
        <x:v>commands.json:74</x:v>
      </x:c>
      <x:c r="D209" s="3" t="str">
        <x:v>capsules/home-cli/browser/commands.json:74</x:v>
      </x:c>
      <x:c r="E209" s="3" t="str">
        <x:v>Expected behavior only</x:v>
      </x:c>
      <x:c r="F209" s="3" t="str">
        <x:v>Source commit 8e5eb88b; not live execution.</x:v>
      </x:c>
      <x:c r="G209" s="3"/>
      <x:c r="H209" s="3"/>
      <x:c r="I209" s="3"/>
      <x:c r="J209" s="3"/>
      <x:c r="K209" s="3"/>
      <x:c r="L209" s="3"/>
    </x:row>
    <x:row r="210" ht="42" customHeight="1">
      <x:c r="A210" s="3" t="str">
        <x:v>S-181</x:v>
      </x:c>
      <x:c r="B210" s="3" t="str">
        <x:v>Source</x:v>
      </x:c>
      <x:c r="C210" s="3" t="str">
        <x:v>commands.json:49</x:v>
      </x:c>
      <x:c r="D210" s="3" t="str">
        <x:v>capsules/home-cli/browser/commands.json:49</x:v>
      </x:c>
      <x:c r="E210" s="3" t="str">
        <x:v>Expected behavior only</x:v>
      </x:c>
      <x:c r="F210" s="3" t="str">
        <x:v>Source commit 8e5eb88b; not live execution.</x:v>
      </x:c>
      <x:c r="G210" s="3"/>
      <x:c r="H210" s="3"/>
      <x:c r="I210" s="3"/>
      <x:c r="J210" s="3"/>
      <x:c r="K210" s="3"/>
      <x:c r="L210" s="3"/>
    </x:row>
    <x:row r="211" ht="42" customHeight="1">
      <x:c r="A211" s="3" t="str">
        <x:v>S-182</x:v>
      </x:c>
      <x:c r="B211" s="3" t="str">
        <x:v>Source</x:v>
      </x:c>
      <x:c r="C211" s="3" t="str">
        <x:v>commands.json:119</x:v>
      </x:c>
      <x:c r="D211" s="3" t="str">
        <x:v>capsules/home-cli/browser/commands.json:119</x:v>
      </x:c>
      <x:c r="E211" s="3" t="str">
        <x:v>Expected behavior only</x:v>
      </x:c>
      <x:c r="F211" s="3" t="str">
        <x:v>Source commit 8e5eb88b; not live execution.</x:v>
      </x:c>
      <x:c r="G211" s="3"/>
      <x:c r="H211" s="3"/>
      <x:c r="I211" s="3"/>
      <x:c r="J211" s="3"/>
      <x:c r="K211" s="3"/>
      <x:c r="L211" s="3"/>
    </x:row>
    <x:row r="212" ht="42" customHeight="1">
      <x:c r="A212" s="3" t="str">
        <x:v>S-183</x:v>
      </x:c>
      <x:c r="B212" s="3" t="str">
        <x:v>Source</x:v>
      </x:c>
      <x:c r="C212" s="3" t="str">
        <x:v>components.json:1</x:v>
      </x:c>
      <x:c r="D212" s="3" t="str">
        <x:v>components.json:1</x:v>
      </x:c>
      <x:c r="E212" s="3" t="str">
        <x:v>Expected behavior only</x:v>
      </x:c>
      <x:c r="F212" s="3" t="str">
        <x:v>Source commit 8e5eb88b; not live execution.</x:v>
      </x:c>
      <x:c r="G212" s="3"/>
      <x:c r="H212" s="3"/>
      <x:c r="I212" s="3"/>
      <x:c r="J212" s="3"/>
      <x:c r="K212" s="3"/>
      <x:c r="L212" s="3"/>
    </x:row>
    <x:row r="213" ht="42" customHeight="1">
      <x:c r="A213" s="3" t="str">
        <x:v>S-184</x:v>
      </x:c>
      <x:c r="B213" s="3" t="str">
        <x:v>Source</x:v>
      </x:c>
      <x:c r="C213" s="3" t="str">
        <x:v>content.rs:1</x:v>
      </x:c>
      <x:c r="D213" s="3" t="str">
        <x:v>elastos/crates/elastos-server/src/content.rs:1</x:v>
      </x:c>
      <x:c r="E213" s="3" t="str">
        <x:v>Expected behavior only</x:v>
      </x:c>
      <x:c r="F213" s="3" t="str">
        <x:v>Source commit 8e5eb88b; not live execution.</x:v>
      </x:c>
      <x:c r="G213" s="3"/>
      <x:c r="H213" s="3"/>
      <x:c r="I213" s="3"/>
      <x:c r="J213" s="3"/>
      <x:c r="K213" s="3"/>
      <x:c r="L213" s="3"/>
    </x:row>
    <x:row r="214" ht="42" customHeight="1">
      <x:c r="A214" s="3" t="str">
        <x:v>S-185</x:v>
      </x:c>
      <x:c r="B214" s="3" t="str">
        <x:v>Source</x:v>
      </x:c>
      <x:c r="C214" s="3" t="str">
        <x:v>capsule.json:1</x:v>
      </x:c>
      <x:c r="D214" s="3" t="str">
        <x:v>capsules/webspace-provider/capsule.json:1</x:v>
      </x:c>
      <x:c r="E214" s="3" t="str">
        <x:v>Expected behavior only</x:v>
      </x:c>
      <x:c r="F214" s="3" t="str">
        <x:v>Source commit 8e5eb88b; not live execution.</x:v>
      </x:c>
      <x:c r="G214" s="3"/>
      <x:c r="H214" s="3"/>
      <x:c r="I214" s="3"/>
      <x:c r="J214" s="3"/>
      <x:c r="K214" s="3"/>
      <x:c r="L214" s="3"/>
    </x:row>
    <x:row r="215" ht="42" customHeight="1">
      <x:c r="A215" s="3" t="str">
        <x:v>S-186</x:v>
      </x:c>
      <x:c r="B215" s="3" t="str">
        <x:v>Source</x:v>
      </x:c>
      <x:c r="C215" s="3" t="str">
        <x:v>auth_gateway.rs:1607</x:v>
      </x:c>
      <x:c r="D215" s="3" t="str">
        <x:v>elastos/crates/elastos-server/src/api/auth_gateway.rs:1607</x:v>
      </x:c>
      <x:c r="E215" s="3" t="str">
        <x:v>Expected behavior only</x:v>
      </x:c>
      <x:c r="F215" s="3" t="str">
        <x:v>Source commit 8e5eb88b; not live execution.</x:v>
      </x:c>
      <x:c r="G215" s="3"/>
      <x:c r="H215" s="3"/>
      <x:c r="I215" s="3"/>
      <x:c r="J215" s="3"/>
      <x:c r="K215" s="3"/>
      <x:c r="L215" s="3"/>
    </x:row>
    <x:row r="216" ht="42" customHeight="1">
      <x:c r="A216" s="3" t="str">
        <x:v>S-187</x:v>
      </x:c>
      <x:c r="B216" s="3" t="str">
        <x:v>Source</x:v>
      </x:c>
      <x:c r="C216" s="3" t="str">
        <x:v>collaboration_profile_authority.rs:282</x:v>
      </x:c>
      <x:c r="D216" s="3" t="str">
        <x:v>elastos/crates/elastos-server/src/collaboration_profile_authority.rs:282</x:v>
      </x:c>
      <x:c r="E216" s="3" t="str">
        <x:v>Expected behavior only</x:v>
      </x:c>
      <x:c r="F216" s="3" t="str">
        <x:v>Source commit 8e5eb88b; not live execution.</x:v>
      </x:c>
      <x:c r="G216" s="3"/>
      <x:c r="H216" s="3"/>
      <x:c r="I216" s="3"/>
      <x:c r="J216" s="3"/>
      <x:c r="K216" s="3"/>
      <x:c r="L216" s="3"/>
    </x:row>
    <x:row r="217" ht="42" customHeight="1">
      <x:c r="A217" s="3" t="str">
        <x:v>S-188</x:v>
      </x:c>
      <x:c r="B217" s="3" t="str">
        <x:v>Source</x:v>
      </x:c>
      <x:c r="C217" s="3" t="str">
        <x:v>collaboration_profile_authority.rs:1030</x:v>
      </x:c>
      <x:c r="D217" s="3" t="str">
        <x:v>elastos/crates/elastos-server/src/collaboration_profile_authority.rs:1030</x:v>
      </x:c>
      <x:c r="E217" s="3" t="str">
        <x:v>Expected behavior only</x:v>
      </x:c>
      <x:c r="F217" s="3" t="str">
        <x:v>Source commit 8e5eb88b; not live execution.</x:v>
      </x:c>
      <x:c r="G217" s="3"/>
      <x:c r="H217" s="3"/>
      <x:c r="I217" s="3"/>
      <x:c r="J217" s="3"/>
      <x:c r="K217" s="3"/>
      <x:c r="L217" s="3"/>
    </x:row>
    <x:row r="218" ht="42" customHeight="1">
      <x:c r="A218" s="3" t="str">
        <x:v>S-189</x:v>
      </x:c>
      <x:c r="B218" s="3" t="str">
        <x:v>Source</x:v>
      </x:c>
      <x:c r="C218" s="3" t="str">
        <x:v>system.js:2480</x:v>
      </x:c>
      <x:c r="D218" s="3" t="str">
        <x:v>capsules/system/browser/system.js:2480</x:v>
      </x:c>
      <x:c r="E218" s="3" t="str">
        <x:v>Expected behavior only</x:v>
      </x:c>
      <x:c r="F218" s="3" t="str">
        <x:v>Source commit 8e5eb88b; not live execution.</x:v>
      </x:c>
      <x:c r="G218" s="3"/>
      <x:c r="H218" s="3"/>
      <x:c r="I218" s="3"/>
      <x:c r="J218" s="3"/>
      <x:c r="K218" s="3"/>
      <x:c r="L218" s="3"/>
    </x:row>
    <x:row r="219" ht="42" customHeight="1">
      <x:c r="A219" s="3" t="str">
        <x:v>S-190</x:v>
      </x:c>
      <x:c r="B219" s="3" t="str">
        <x:v>Source</x:v>
      </x:c>
      <x:c r="C219" s="3" t="str">
        <x:v>shell-setup-sheet.js:99</x:v>
      </x:c>
      <x:c r="D219" s="3" t="str">
        <x:v>capsules/home-gui/browser/shell-setup-sheet.js:99</x:v>
      </x:c>
      <x:c r="E219" s="3" t="str">
        <x:v>Expected behavior only</x:v>
      </x:c>
      <x:c r="F219" s="3" t="str">
        <x:v>Source commit 8e5eb88b; not live execution.</x:v>
      </x:c>
      <x:c r="G219" s="3"/>
      <x:c r="H219" s="3"/>
      <x:c r="I219" s="3"/>
      <x:c r="J219" s="3"/>
      <x:c r="K219" s="3"/>
      <x:c r="L219" s="3"/>
    </x:row>
    <x:row r="220" ht="42" customHeight="1">
      <x:c r="A220" s="3" t="str">
        <x:v>S-191</x:v>
      </x:c>
      <x:c r="B220" s="3" t="str">
        <x:v>Source</x:v>
      </x:c>
      <x:c r="C220" s="3" t="str">
        <x:v>bridge.rs:101</x:v>
      </x:c>
      <x:c r="D220" s="3" t="str">
        <x:v>elastos/crates/elastos-runtime/src/provider/bridge.rs:101</x:v>
      </x:c>
      <x:c r="E220" s="3" t="str">
        <x:v>Expected behavior only</x:v>
      </x:c>
      <x:c r="F220" s="3" t="str">
        <x:v>Source commit 8e5eb88b; not live execution.</x:v>
      </x:c>
      <x:c r="G220" s="3"/>
      <x:c r="H220" s="3"/>
      <x:c r="I220" s="3"/>
      <x:c r="J220" s="3"/>
      <x:c r="K220" s="3"/>
      <x:c r="L220" s="3"/>
    </x:row>
    <x:row r="221" ht="42" customHeight="1">
      <x:c r="A221" s="3" t="str">
        <x:v>S-192</x:v>
      </x:c>
      <x:c r="B221" s="3" t="str">
        <x:v>Source</x:v>
      </x:c>
      <x:c r="C221" s="3" t="str">
        <x:v>index.html:35</x:v>
      </x:c>
      <x:c r="D221" s="3" t="str">
        <x:v>capsules/system/browser/index.html:35</x:v>
      </x:c>
      <x:c r="E221" s="3" t="str">
        <x:v>Expected behavior only</x:v>
      </x:c>
      <x:c r="F221" s="3" t="str">
        <x:v>Source commit 8e5eb88b; not live execution.</x:v>
      </x:c>
      <x:c r="G221" s="3"/>
      <x:c r="H221" s="3"/>
      <x:c r="I221" s="3"/>
      <x:c r="J221" s="3"/>
      <x:c r="K221" s="3"/>
      <x:c r="L221" s="3"/>
    </x:row>
    <x:row r="222" ht="42" customHeight="1">
      <x:c r="A222" s="3" t="str">
        <x:v>S-193</x:v>
      </x:c>
      <x:c r="B222" s="3" t="str">
        <x:v>Source</x:v>
      </x:c>
      <x:c r="C222" s="3" t="str">
        <x:v>shell-setup-sheet.js:253</x:v>
      </x:c>
      <x:c r="D222" s="3" t="str">
        <x:v>capsules/home-gui/browser/shell-setup-sheet.js:253</x:v>
      </x:c>
      <x:c r="E222" s="3" t="str">
        <x:v>Expected behavior only</x:v>
      </x:c>
      <x:c r="F222" s="3" t="str">
        <x:v>Source commit 8e5eb88b; not live execution.</x:v>
      </x:c>
      <x:c r="G222" s="3"/>
      <x:c r="H222" s="3"/>
      <x:c r="I222" s="3"/>
      <x:c r="J222" s="3"/>
      <x:c r="K222" s="3"/>
      <x:c r="L222" s="3"/>
    </x:row>
    <x:row r="223" ht="42" customHeight="1">
      <x:c r="A223" s="3" t="str">
        <x:v>S-194</x:v>
      </x:c>
      <x:c r="B223" s="3" t="str">
        <x:v>Source</x:v>
      </x:c>
      <x:c r="C223" s="3" t="str">
        <x:v>index.html:46</x:v>
      </x:c>
      <x:c r="D223" s="3" t="str">
        <x:v>capsules/people/browser/index.html:46</x:v>
      </x:c>
      <x:c r="E223" s="3" t="str">
        <x:v>Expected behavior only</x:v>
      </x:c>
      <x:c r="F223" s="3" t="str">
        <x:v>Source commit 8e5eb88b; not live execution.</x:v>
      </x:c>
      <x:c r="G223" s="3"/>
      <x:c r="H223" s="3"/>
      <x:c r="I223" s="3"/>
      <x:c r="J223" s="3"/>
      <x:c r="K223" s="3"/>
      <x:c r="L223" s="3"/>
    </x:row>
    <x:row r="224" ht="42" customHeight="1">
      <x:c r="A224" s="3" t="str">
        <x:v>S-195</x:v>
      </x:c>
      <x:c r="B224" s="3" t="str">
        <x:v>Source</x:v>
      </x:c>
      <x:c r="C224" s="3" t="str">
        <x:v>gateway_home_runtime.rs:194</x:v>
      </x:c>
      <x:c r="D224" s="3" t="str">
        <x:v>elastos/crates/elastos-server/src/api/gateway_home_runtime.rs:194</x:v>
      </x:c>
      <x:c r="E224" s="3" t="str">
        <x:v>Expected behavior only</x:v>
      </x:c>
      <x:c r="F224" s="3" t="str">
        <x:v>Source commit 8e5eb88b; not live execution.</x:v>
      </x:c>
      <x:c r="G224" s="3"/>
      <x:c r="H224" s="3"/>
      <x:c r="I224" s="3"/>
      <x:c r="J224" s="3"/>
      <x:c r="K224" s="3"/>
      <x:c r="L224" s="3"/>
    </x:row>
    <x:row r="225" ht="42" customHeight="1">
      <x:c r="A225" s="3" t="str">
        <x:v>S-196</x:v>
      </x:c>
      <x:c r="B225" s="3" t="str">
        <x:v>Source</x:v>
      </x:c>
      <x:c r="C225" s="3" t="str">
        <x:v>gateway_home_runtime.rs:315</x:v>
      </x:c>
      <x:c r="D225" s="3" t="str">
        <x:v>elastos/crates/elastos-server/src/api/gateway_home_runtime.rs:315</x:v>
      </x:c>
      <x:c r="E225" s="3" t="str">
        <x:v>Expected behavior only</x:v>
      </x:c>
      <x:c r="F225" s="3" t="str">
        <x:v>Source commit 8e5eb88b; not live execution.</x:v>
      </x:c>
      <x:c r="G225" s="3"/>
      <x:c r="H225" s="3"/>
      <x:c r="I225" s="3"/>
      <x:c r="J225" s="3"/>
      <x:c r="K225" s="3"/>
      <x:c r="L225" s="3"/>
    </x:row>
    <x:row r="226" ht="42" customHeight="1">
      <x:c r="A226" s="3" t="str">
        <x:v>S-197</x:v>
      </x:c>
      <x:c r="B226" s="3" t="str">
        <x:v>Source</x:v>
      </x:c>
      <x:c r="C226" s="3" t="str">
        <x:v>browser_capsules.rs:105</x:v>
      </x:c>
      <x:c r="D226" s="3" t="str">
        <x:v>elastos/crates/elastos-server/src/api/browser_capsules.rs:105</x:v>
      </x:c>
      <x:c r="E226" s="3" t="str">
        <x:v>Expected behavior only</x:v>
      </x:c>
      <x:c r="F226" s="3" t="str">
        <x:v>Source commit 8e5eb88b; not live execution.</x:v>
      </x:c>
      <x:c r="G226" s="3"/>
      <x:c r="H226" s="3"/>
      <x:c r="I226" s="3"/>
      <x:c r="J226" s="3"/>
      <x:c r="K226" s="3"/>
      <x:c r="L226" s="3"/>
    </x:row>
    <x:row r="227" ht="42" customHeight="1">
      <x:c r="A227" s="3" t="str">
        <x:v>S-198</x:v>
      </x:c>
      <x:c r="B227" s="3" t="str">
        <x:v>Source</x:v>
      </x:c>
      <x:c r="C227" s="3" t="str">
        <x:v>browser_capsules.rs:345</x:v>
      </x:c>
      <x:c r="D227" s="3" t="str">
        <x:v>elastos/crates/elastos-server/src/api/browser_capsules.rs:345</x:v>
      </x:c>
      <x:c r="E227" s="3" t="str">
        <x:v>Expected behavior only</x:v>
      </x:c>
      <x:c r="F227" s="3" t="str">
        <x:v>Source commit 8e5eb88b; not live execution.</x:v>
      </x:c>
      <x:c r="G227" s="3"/>
      <x:c r="H227" s="3"/>
      <x:c r="I227" s="3"/>
      <x:c r="J227" s="3"/>
      <x:c r="K227" s="3"/>
      <x:c r="L227" s="3"/>
    </x:row>
    <x:row r="228" ht="42" customHeight="1">
      <x:c r="A228" s="3" t="str">
        <x:v>S-199</x:v>
      </x:c>
      <x:c r="B228" s="3" t="str">
        <x:v>Source</x:v>
      </x:c>
      <x:c r="C228" s="3" t="str">
        <x:v>shell-core.js:343</x:v>
      </x:c>
      <x:c r="D228" s="3" t="str">
        <x:v>capsules/home-gui/browser/shell-core.js:343</x:v>
      </x:c>
      <x:c r="E228" s="3" t="str">
        <x:v>Expected behavior only</x:v>
      </x:c>
      <x:c r="F228" s="3" t="str">
        <x:v>Source commit 8e5eb88b; not live execution.</x:v>
      </x:c>
      <x:c r="G228" s="3"/>
      <x:c r="H228" s="3"/>
      <x:c r="I228" s="3"/>
      <x:c r="J228" s="3"/>
      <x:c r="K228" s="3"/>
      <x:c r="L228" s="3"/>
    </x:row>
    <x:row r="229" ht="42" customHeight="1">
      <x:c r="A229" s="3" t="str">
        <x:v>S-200</x:v>
      </x:c>
      <x:c r="B229" s="3" t="str">
        <x:v>Source</x:v>
      </x:c>
      <x:c r="C229" s="3" t="str">
        <x:v>shell-core.js:520</x:v>
      </x:c>
      <x:c r="D229" s="3" t="str">
        <x:v>capsules/home-gui/browser/shell-core.js:520</x:v>
      </x:c>
      <x:c r="E229" s="3" t="str">
        <x:v>Expected behavior only</x:v>
      </x:c>
      <x:c r="F229" s="3" t="str">
        <x:v>Source commit 8e5eb88b; not live execution.</x:v>
      </x:c>
      <x:c r="G229" s="3"/>
      <x:c r="H229" s="3"/>
      <x:c r="I229" s="3"/>
      <x:c r="J229" s="3"/>
      <x:c r="K229" s="3"/>
      <x:c r="L229" s="3"/>
    </x:row>
    <x:row r="230" ht="42" customHeight="1">
      <x:c r="A230" s="3" t="str">
        <x:v>S-201</x:v>
      </x:c>
      <x:c r="B230" s="3" t="str">
        <x:v>Source</x:v>
      </x:c>
      <x:c r="C230" s="3" t="str">
        <x:v>shell-core.js:724</x:v>
      </x:c>
      <x:c r="D230" s="3" t="str">
        <x:v>capsules/home-gui/browser/shell-core.js:724</x:v>
      </x:c>
      <x:c r="E230" s="3" t="str">
        <x:v>Expected behavior only</x:v>
      </x:c>
      <x:c r="F230" s="3" t="str">
        <x:v>Source commit 8e5eb88b; not live execution.</x:v>
      </x:c>
      <x:c r="G230" s="3"/>
      <x:c r="H230" s="3"/>
      <x:c r="I230" s="3"/>
      <x:c r="J230" s="3"/>
      <x:c r="K230" s="3"/>
      <x:c r="L230" s="3"/>
    </x:row>
    <x:row r="231" ht="42" customHeight="1">
      <x:c r="A231" s="3" t="str">
        <x:v>S-202</x:v>
      </x:c>
      <x:c r="B231" s="3" t="str">
        <x:v>Source</x:v>
      </x:c>
      <x:c r="C231" s="3" t="str">
        <x:v>capsule.json:1</x:v>
      </x:c>
      <x:c r="D231" s="3" t="str">
        <x:v>capsules/marketplace/capsule.json:1</x:v>
      </x:c>
      <x:c r="E231" s="3" t="str">
        <x:v>Expected behavior only</x:v>
      </x:c>
      <x:c r="F231" s="3" t="str">
        <x:v>Source commit 8e5eb88b; not live execution.</x:v>
      </x:c>
      <x:c r="G231" s="3"/>
      <x:c r="H231" s="3"/>
      <x:c r="I231" s="3"/>
      <x:c r="J231" s="3"/>
      <x:c r="K231" s="3"/>
      <x:c r="L231" s="3"/>
    </x:row>
    <x:row r="232" ht="42" customHeight="1">
      <x:c r="A232" s="3" t="str">
        <x:v>S-203</x:v>
      </x:c>
      <x:c r="B232" s="3" t="str">
        <x:v>Source</x:v>
      </x:c>
      <x:c r="C232" s="3" t="str">
        <x:v>setup-source-home.sh:1689</x:v>
      </x:c>
      <x:c r="D232" s="3" t="str">
        <x:v>scripts/setup-source-home.sh:1689</x:v>
      </x:c>
      <x:c r="E232" s="3" t="str">
        <x:v>Expected behavior only</x:v>
      </x:c>
      <x:c r="F232" s="3" t="str">
        <x:v>Source commit 8e5eb88b; not live execution.</x:v>
      </x:c>
      <x:c r="G232" s="3"/>
      <x:c r="H232" s="3"/>
      <x:c r="I232" s="3"/>
      <x:c r="J232" s="3"/>
      <x:c r="K232" s="3"/>
      <x:c r="L232" s="3"/>
    </x:row>
    <x:row r="233" ht="42" customHeight="1">
      <x:c r="A233" s="3" t="str">
        <x:v>S-204</x:v>
      </x:c>
      <x:c r="B233" s="3" t="str">
        <x:v>Source</x:v>
      </x:c>
      <x:c r="C233" s="3" t="str">
        <x:v>setup-source-home.sh:1751</x:v>
      </x:c>
      <x:c r="D233" s="3" t="str">
        <x:v>scripts/setup-source-home.sh:1751</x:v>
      </x:c>
      <x:c r="E233" s="3" t="str">
        <x:v>Expected behavior only</x:v>
      </x:c>
      <x:c r="F233" s="3" t="str">
        <x:v>Source commit 8e5eb88b; not live execution.</x:v>
      </x:c>
      <x:c r="G233" s="3"/>
      <x:c r="H233" s="3"/>
      <x:c r="I233" s="3"/>
      <x:c r="J233" s="3"/>
      <x:c r="K233" s="3"/>
      <x:c r="L233" s="3"/>
    </x:row>
    <x:row r="234" ht="42" customHeight="1">
      <x:c r="A234" s="3" t="str">
        <x:v>S-205</x:v>
      </x:c>
      <x:c r="B234" s="3" t="str">
        <x:v>Source</x:v>
      </x:c>
      <x:c r="C234" s="3" t="str">
        <x:v>setup-source-home.sh:1837</x:v>
      </x:c>
      <x:c r="D234" s="3" t="str">
        <x:v>scripts/setup-source-home.sh:1837</x:v>
      </x:c>
      <x:c r="E234" s="3" t="str">
        <x:v>Expected behavior only</x:v>
      </x:c>
      <x:c r="F234" s="3" t="str">
        <x:v>Source commit 8e5eb88b; not live execution.</x:v>
      </x:c>
      <x:c r="G234" s="3"/>
      <x:c r="H234" s="3"/>
      <x:c r="I234" s="3"/>
      <x:c r="J234" s="3"/>
      <x:c r="K234" s="3"/>
      <x:c r="L234" s="3"/>
    </x:row>
    <x:row r="235" ht="42" customHeight="1">
      <x:c r="A235" s="3" t="str">
        <x:v>S-206</x:v>
      </x:c>
      <x:c r="B235" s="3" t="str">
        <x:v>Source</x:v>
      </x:c>
      <x:c r="C235" s="3" t="str">
        <x:v>dialog.js:837</x:v>
      </x:c>
      <x:c r="D235" s="3" t="str">
        <x:v>capsules/library/browser/src/dialog.js:837</x:v>
      </x:c>
      <x:c r="E235" s="3" t="str">
        <x:v>Expected behavior only</x:v>
      </x:c>
      <x:c r="F235" s="3" t="str">
        <x:v>Source commit 8e5eb88b; not live execution.</x:v>
      </x:c>
      <x:c r="G235" s="3"/>
      <x:c r="H235" s="3"/>
      <x:c r="I235" s="3"/>
      <x:c r="J235" s="3"/>
      <x:c r="K235" s="3"/>
      <x:c r="L235" s="3"/>
    </x:row>
    <x:row r="236" ht="42" customHeight="1">
      <x:c r="A236" s="3" t="str">
        <x:v>PRIOR-AUTH-01</x:v>
      </x:c>
      <x:c r="B236" s="3" t="str">
        <x:v>Prior report</x:v>
      </x:c>
      <x:c r="C236" s="3" t="str">
        <x:v>First account</x:v>
      </x:c>
      <x:c r="D236" s="3" t="str">
        <x:v>User report: real localhost:61380 window and screenshot reviewed. No account record inspected by inventory author.</x:v>
      </x:c>
      <x:c r="E236" s="3" t="str">
        <x:v>Narrow prior observation</x:v>
      </x:c>
      <x:c r="F236" s="3" t="str">
        <x:v>User independently viewed the new Home setup and passkey screen in Brave.</x:v>
      </x:c>
      <x:c r="G236" s="3"/>
      <x:c r="H236" s="3"/>
      <x:c r="I236" s="3"/>
      <x:c r="J236" s="3"/>
      <x:c r="K236" s="3"/>
      <x:c r="L236" s="3"/>
    </x:row>
    <x:row r="237" ht="42" customHeight="1">
      <x:c r="A237" s="3" t="str">
        <x:v>PRIOR-GUI-02</x:v>
      </x:c>
      <x:c r="B237" s="3" t="str">
        <x:v>Prior report</x:v>
      </x:c>
      <x:c r="C237" s="3" t="str">
        <x:v>Desktop first layout</x:v>
      </x:c>
      <x:c r="D237" s="3" t="str">
        <x:v>User report; source roots F-06/F-07.</x:v>
      </x:c>
      <x:c r="E237" s="3" t="str">
        <x:v>Narrow prior observation</x:v>
      </x:c>
      <x:c r="F237" s="3" t="str">
        <x:v>User reports broken game icons and scattered first-run placement.</x:v>
      </x:c>
      <x:c r="G237" s="3"/>
      <x:c r="H237" s="3"/>
      <x:c r="I237" s="3"/>
      <x:c r="J237" s="3"/>
      <x:c r="K237" s="3"/>
      <x:c r="L237" s="3"/>
    </x:row>
    <x:row r="238" ht="42" customHeight="1">
      <x:c r="A238" s="3" t="str">
        <x:v>PRIOR-SYS-02</x:v>
      </x:c>
      <x:c r="B238" s="3" t="str">
        <x:v>Prior report</x:v>
      </x:c>
      <x:c r="C238" s="3" t="str">
        <x:v>Security deep link</x:v>
      </x:c>
      <x:c r="D238" s="3" t="str">
        <x:v>User-reported screenshot/flow; matching source deep-link gap F-03.</x:v>
      </x:c>
      <x:c r="E238" s="3" t="str">
        <x:v>Narrow prior observation</x:v>
      </x:c>
      <x:c r="F238" s="3" t="str">
        <x:v>User reports Save kit opened Accounts rather than Security.</x:v>
      </x:c>
      <x:c r="G238" s="3"/>
      <x:c r="H238" s="3"/>
      <x:c r="I238" s="3"/>
      <x:c r="J238" s="3"/>
      <x:c r="K238" s="3"/>
      <x:c r="L238" s="3"/>
    </x:row>
    <x:row r="239" ht="42" customHeight="1">
      <x:c r="A239" s="3" t="str">
        <x:v>PRIOR-SYS-07</x:v>
      </x:c>
      <x:c r="B239" s="3" t="str">
        <x:v>Prior report</x:v>
      </x:c>
      <x:c r="C239" s="3" t="str">
        <x:v>Recovery UI readiness</x:v>
      </x:c>
      <x:c r="D239" s="3" t="str">
        <x:v>User-reported delay; matching source refresh gap F-04.</x:v>
      </x:c>
      <x:c r="E239" s="3" t="str">
        <x:v>Narrow prior observation</x:v>
      </x:c>
      <x:c r="F239" s="3" t="str">
        <x:v>User reports waiting for Create Profile after saving kit.</x:v>
      </x:c>
      <x:c r="G239" s="3"/>
      <x:c r="H239" s="3"/>
      <x:c r="I239" s="3"/>
      <x:c r="J239" s="3"/>
      <x:c r="K239" s="3"/>
      <x:c r="L239" s="3"/>
    </x:row>
    <x:row r="240" ht="42" customHeight="1">
      <x:c r="A240" s="3" t="str">
        <x:v>PRIOR-PEOPLE-01</x:v>
      </x:c>
      <x:c r="B240" s="3" t="str">
        <x:v>Prior report</x:v>
      </x:c>
      <x:c r="C240" s="3" t="str">
        <x:v>Create public Profile</x:v>
      </x:c>
      <x:c r="D240" s="3" t="str">
        <x:v>User-reported flow; matching source input/submit behavior F-05.</x:v>
      </x:c>
      <x:c r="E240" s="3" t="str">
        <x:v>Narrow prior observation</x:v>
      </x:c>
      <x:c r="F240" s="3" t="str">
        <x:v>User reports suggested public name was placeholder only and empty submit errored.</x:v>
      </x:c>
      <x:c r="G240" s="3"/>
      <x:c r="H240" s="3"/>
      <x:c r="I240" s="3"/>
      <x:c r="J240" s="3"/>
      <x:c r="K240" s="3"/>
      <x:c r="L240" s="3"/>
    </x:row>
    <x:row r="241" ht="42" customHeight="1">
      <x:c r="A241" s="3" t="str">
        <x:v>PRIOR-MODEL-01</x:v>
      </x:c>
      <x:c r="B241" s="3" t="str">
        <x:v>Prior report</x:v>
      </x:c>
      <x:c r="C241" s="3" t="str">
        <x:v>Native startup contract</x:v>
      </x:c>
      <x:c r="D241" s="3" t="str">
        <x:v>Prior bounded startup finding; no new provider execution/test in this audit.</x:v>
      </x:c>
      <x:c r="E241" s="3" t="str">
        <x:v>Narrow prior observation</x:v>
      </x:c>
      <x:c r="F241" s="3" t="str">
        <x:v>Prior startup log reported model-provider startup failed; source shows incompatible normal Init envelope.</x:v>
      </x:c>
      <x:c r="G241" s="3"/>
      <x:c r="H241" s="3"/>
      <x:c r="I241" s="3"/>
      <x:c r="J241" s="3"/>
      <x:c r="K241" s="3"/>
      <x:c r="L241" s="3"/>
    </x:row>
    <x:row r="242" ht="42" customHeight="1">
      <x:c r="A242" s="3" t="str">
        <x:v>PRIOR-NONOGRAM-01</x:v>
      </x:c>
      <x:c r="B242" s="3" t="str">
        <x:v>Prior report</x:v>
      </x:c>
      <x:c r="C242" s="3" t="str">
        <x:v>Launch, icon and attribution</x:v>
      </x:c>
      <x:c r="D242" s="3" t="str">
        <x:v>Prior read-only public HTTP check and source asset resolution trace.</x:v>
      </x:c>
      <x:c r="E242" s="3" t="str">
        <x:v>Narrow prior observation</x:v>
      </x:c>
      <x:c r="F242" s="3" t="str">
        <x:v>Prior public static request for /apps/gba-nonogram/icons/icon-128.png returned HTTP 404. Gameplay not tested.</x:v>
      </x:c>
      <x:c r="G242" s="3"/>
      <x:c r="H242" s="3"/>
      <x:c r="I242" s="3"/>
      <x:c r="J242" s="3"/>
      <x:c r="K242" s="3"/>
      <x:c r="L242" s="3"/>
    </x:row>
    <x:row r="243" ht="42" customHeight="1">
      <x:c r="A243" s="3" t="str">
        <x:v>PRIOR-UCITY-01</x:v>
      </x:c>
      <x:c r="B243" s="3" t="str">
        <x:v>Prior report</x:v>
      </x:c>
      <x:c r="C243" s="3" t="str">
        <x:v>Launch, icon and attribution</x:v>
      </x:c>
      <x:c r="D243" s="3" t="str">
        <x:v>Prior read-only public HTTP check and source asset resolution trace.</x:v>
      </x:c>
      <x:c r="E243" s="3" t="str">
        <x:v>Narrow prior observation</x:v>
      </x:c>
      <x:c r="F243" s="3" t="str">
        <x:v>Prior public static request for /apps/gba-ucity/icons/icon-128.png returned HTTP 404. Gameplay not tested.</x:v>
      </x:c>
      <x:c r="G243" s="3"/>
      <x:c r="H243" s="3"/>
      <x:c r="I243" s="3"/>
      <x:c r="J243" s="3"/>
      <x:c r="K243" s="3"/>
      <x:c r="L243" s="3"/>
    </x:row>
    <x:row r="244" ht="46.5" customHeight="1">
      <x:c r="A244" s="3" t="str">
        <x:v>E-032</x:v>
      </x:c>
      <x:c r="B244" s="3" t="str">
        <x:v>Independent installed artifact and HTTP proof</x:v>
      </x:c>
      <x:c r="C244" s="3" t="str">
        <x:v>Strict restart; source/installed/served hashes; all game icon sizes; model registration</x:v>
      </x:c>
      <x:c r="D244" s="3" t="str">
        <x:v>evidence/032-installed-repair-verification.md</x:v>
      </x:c>
      <x:c r="E244" s="3" t="str">
        <x:v>Installed bd61484c on localhost:61380; full GUI journeys remain unverified</x:v>
      </x:c>
      <x:c r="F244" s="3" t="str">
        <x:v>Runtime/model/components hashes match; 12 served-file checks pass. Custody and model-offer prerequisites remain.</x:v>
      </x:c>
      <x:c r="G244" s="3"/>
      <x:c r="H244" s="3"/>
      <x:c r="I244" s="3"/>
      <x:c r="J244" s="3"/>
      <x:c r="K244" s="3"/>
      <x:c r="L244" s="3"/>
    </x:row>
    <x:row r="245" ht="46.5" customHeight="1">
      <x:c r="A245" s="3" t="str">
        <x:v>E-031</x:v>
      </x:c>
      <x:c r="B245" s="3" t="str">
        <x:v>Reviewed source repairs and restart evidence</x:v>
      </x:c>
      <x:c r="C245" s="3" t="str">
        <x:v>Five local source commits; icon/model/onboarding checks; restored gateway and planned isolated update</x:v>
      </x:c>
      <x:c r="D245" s="3" t="str">
        <x:v>evidence/031-repair-batch.md</x:v>
      </x:c>
      <x:c r="E245" s="3" t="str">
        <x:v>Source bd61484c; restored baseline 8e5eb88b; full GUI journeys remain unverified</x:v>
      </x:c>
      <x:c r="F245" s="3" t="str">
        <x:v>154 model tests and three icon checks passed. Recovery coverage and browser fixtures remain open.</x:v>
      </x:c>
      <x:c r="G245" s="3"/>
      <x:c r="H245" s="3"/>
      <x:c r="I245" s="3"/>
      <x:c r="J245" s="3"/>
      <x:c r="K245" s="3"/>
      <x:c r="L245" s="3"/>
    </x:row>
    <x:row r="246" ht="46.5" customHeight="1">
      <x:c r="A246" s="3" t="str">
        <x:v>E-030</x:v>
      </x:c>
      <x:c r="B246" s="3" t="str">
        <x:v>Source tests and tool diagnostics</x:v>
      </x:c>
      <x:c r="C246" s="3" t="str">
        <x:v>Irzhy updates reconciled; eight app checks and restart smoke passed; native mouse-control crash confirmed</x:v>
      </x:c>
      <x:c r="D246" s="3" t="str">
        <x:v>evidence/030-source-and-control-check.md</x:v>
      </x:c>
      <x:c r="E246" s="3" t="str">
        <x:v>Source checkpoint 796828d0; installed baseline remains 8e5eb88b; GUI journey counts unchanged</x:v>
      </x:c>
      <x:c r="F246" s="3" t="str">
        <x:v>Brave Home tab preserved; temporary blank window closed. Page inspection remains blocked.</x:v>
      </x:c>
      <x:c r="G246" s="3"/>
      <x:c r="H246" s="3"/>
      <x:c r="I246" s="3"/>
      <x:c r="J246" s="3"/>
      <x:c r="K246" s="3"/>
      <x:c r="L246" s="3"/>
    </x:row>
    <x:row r="247" ht="42" customHeight="1">
      <x:c r="A247" s="3" t="str">
        <x:v>E-014</x:v>
      </x:c>
      <x:c r="B247" s="3" t="str">
        <x:v>Auditor AX</x:v>
      </x:c>
      <x:c r="C247" s="3" t="str">
        <x:v>Launcher targets and controls</x:v>
      </x:c>
      <x:c r="D247" s="3" t="str">
        <x:v>evidence/014-launcher-open.txt</x:v>
      </x:c>
      <x:c r="E247" s="3" t="str">
        <x:v>Presence only; actions/search not verified</x:v>
      </x:c>
      <x:c r="F247" s="3" t="str"/>
      <x:c r="G247" s="3"/>
      <x:c r="H247" s="3"/>
      <x:c r="I247" s="3"/>
      <x:c r="J247" s="3"/>
      <x:c r="K247" s="3"/>
      <x:c r="L247" s="3"/>
    </x:row>
    <x:row r="248" ht="42" customHeight="1">
      <x:c r="A248" s="3" t="str">
        <x:v>E-005</x:v>
      </x:c>
      <x:c r="B248" s="3" t="str">
        <x:v>Auditor visual/AX</x:v>
      </x:c>
      <x:c r="C248" s="3" t="str">
        <x:v>Home menu visible entries</x:v>
      </x:c>
      <x:c r="D248" s="3" t="str">
        <x:v>evidence/005-home-menu-visual.png; evidence/005-home-menu-visual.txt</x:v>
      </x:c>
      <x:c r="E248" s="3" t="str">
        <x:v>Menu presence only; commands not verified</x:v>
      </x:c>
      <x:c r="F248" s="3" t="str"/>
      <x:c r="G248" s="3"/>
      <x:c r="H248" s="3"/>
      <x:c r="I248" s="3"/>
      <x:c r="J248" s="3"/>
      <x:c r="K248" s="3"/>
      <x:c r="L248" s="3"/>
    </x:row>
    <x:row r="249" ht="42" customHeight="1">
      <x:c r="A249" s="3" t="str">
        <x:v>E-001</x:v>
      </x:c>
      <x:c r="B249" s="3" t="str">
        <x:v>Auditor AX</x:v>
      </x:c>
      <x:c r="C249" s="3" t="str">
        <x:v>Existing Library view</x:v>
      </x:c>
      <x:c r="D249" s="3" t="str">
        <x:v>evidence/001-library-existing.txt</x:v>
      </x:c>
      <x:c r="E249" s="3" t="str">
        <x:v>Root/item presence only; no file content audit</x:v>
      </x:c>
      <x:c r="F249" s="3" t="str"/>
      <x:c r="G249" s="3"/>
      <x:c r="H249" s="3"/>
      <x:c r="I249" s="3"/>
      <x:c r="J249" s="3"/>
      <x:c r="K249" s="3"/>
      <x:c r="L249" s="3"/>
    </x:row>
    <x:row r="250" ht="42" customHeight="1">
      <x:c r="A250" s="3" t="str">
        <x:v>E-022</x:v>
      </x:c>
      <x:c r="B250" s="3" t="str">
        <x:v>Auditor AX</x:v>
      </x:c>
      <x:c r="C250" s="3" t="str">
        <x:v>Library controls and selected Details mode</x:v>
      </x:c>
      <x:c r="D250" s="3" t="str">
        <x:v>evidence/022-library-ready.txt</x:v>
      </x:c>
      <x:c r="E250" s="3" t="str">
        <x:v>Presence/selected state; mode change not verified</x:v>
      </x:c>
      <x:c r="F250" s="3" t="str"/>
      <x:c r="G250" s="3"/>
      <x:c r="H250" s="3"/>
      <x:c r="I250" s="3"/>
      <x:c r="J250" s="3"/>
      <x:c r="K250" s="3"/>
      <x:c r="L250" s="3"/>
    </x:row>
    <x:row r="251" ht="42" customHeight="1">
      <x:c r="A251" s="3" t="str">
        <x:v>E-021</x:v>
      </x:c>
      <x:c r="B251" s="3" t="str">
        <x:v>Auditor console</x:v>
      </x:c>
      <x:c r="C251" s="3" t="str">
        <x:v>Game icon 404 and COEP messages</x:v>
      </x:c>
      <x:c r="D251" s="3" t="str">
        <x:v>evidence/021-home-console.txt</x:v>
      </x:c>
      <x:c r="E251" s="3" t="str">
        <x:v>Specific load failures; no whole-journey failure inference</x:v>
      </x:c>
      <x:c r="F251" s="3" t="str"/>
      <x:c r="G251" s="3"/>
      <x:c r="H251" s="3"/>
      <x:c r="I251" s="3"/>
      <x:c r="J251" s="3"/>
      <x:c r="K251" s="3"/>
      <x:c r="L251" s="3"/>
    </x:row>
    <x:row r="252" ht="42" customHeight="1">
      <x:c r="A252" s="3" t="str">
        <x:v>E-020</x:v>
      </x:c>
      <x:c r="B252" s="3" t="str">
        <x:v>Ambiguous tool capture</x:v>
      </x:c>
      <x:c r="C252" s="3" t="str">
        <x:v>Window/capture geometry needs retest</x:v>
      </x:c>
      <x:c r="D252" s="3" t="str">
        <x:v>evidence/020-selected-home-window.png; evidence/020-selected-home-window.txt</x:v>
      </x:c>
      <x:c r="E252" s="3" t="str">
        <x:v>Not proof of a layout regression</x:v>
      </x:c>
      <x:c r="F252" s="3" t="str"/>
      <x:c r="G252" s="3"/>
      <x:c r="H252" s="3"/>
      <x:c r="I252" s="3"/>
      <x:c r="J252" s="3"/>
      <x:c r="K252" s="3"/>
      <x:c r="L252" s="3"/>
    </x:row>
    <x:row r="253" ht="58.5" customHeight="1">
      <x:c r="A253" s="3" t="str">
        <x:v>B-01</x:v>
      </x:c>
      <x:c r="B253" s="3" t="str">
        <x:v>Audit-tool blocker</x:v>
      </x:c>
      <x:c r="C253" s="3" t="str">
        <x:v>Sky control/capture failures continued after correct window selected</x:v>
      </x:c>
      <x:c r="D253" s="3" t="str">
        <x:v>Auditor-supplied compact record</x:v>
      </x:c>
      <x:c r="E253" s="3" t="str">
        <x:v>Live test interruption, not product defect</x:v>
      </x:c>
      <x:c r="F253" s="3" t="str">
        <x:v>Native helper crash confirmed in system reports; Brave page inspection still times out. Temporary blank window closed and Home tab preserved. See evidence/030-source-and-control-check.md.</x:v>
      </x:c>
      <x:c r="G253" s="3"/>
      <x:c r="H253" s="3"/>
      <x:c r="I253" s="3"/>
      <x:c r="J253" s="3"/>
      <x:c r="K253" s="3"/>
      <x:c r="L253" s="3"/>
    </x:row>
    <x:row r="254" ht="42" customHeight="1">
      <x:c r="A254" s="3" t="str">
        <x:v>E-MINT-PARITY</x:v>
      </x:c>
      <x:c r="B254" s="3" t="str">
        <x:v>Read-only source/artifact</x:v>
      </x:c>
      <x:c r="C254" s="3" t="str">
        <x:v>Library source/installed hashes match; eligibility and error text inspected</x:v>
      </x:c>
      <x:c r="D254" s="3" t="str">
        <x:v>mint-readiness-evidence.md</x:v>
      </x:c>
      <x:c r="E254" s="3" t="str">
        <x:v>Code parity only; mint menu/dialog not demonstrated</x:v>
      </x:c>
      <x:c r="F254" s="3" t="str">
        <x:v>app.js/actions.js hashes and browser/src references recorded.</x:v>
      </x:c>
      <x:c r="G254" s="3"/>
      <x:c r="H254" s="3"/>
      <x:c r="I254" s="3"/>
      <x:c r="J254" s="3"/>
      <x:c r="K254" s="3"/>
      <x:c r="L254" s="3"/>
    </x:row>
    <x:row r="255" ht="42" customHeight="1">
      <x:c r="A255" s="3" t="str">
        <x:v>E-MINT-SETUP</x:v>
      </x:c>
      <x:c r="B255" s="3" t="str">
        <x:v>Installed stat + auditor log</x:v>
      </x:c>
      <x:c r="C255" s="3" t="str">
        <x:v>Required protected-content setup absent</x:v>
      </x:c>
      <x:c r="D255" s="3" t="str">
        <x:v>mint-readiness-evidence.md; gateway-20260830T032427Z-19977.log:62,64,65,67,69</x:v>
      </x:c>
      <x:c r="E255" s="3" t="str">
        <x:v>Mint blocked in actual install</x:v>
      </x:c>
      <x:c r="F255" s="3" t="str">
        <x:v>Path absence rechecked; log evidence supplied by auditor. No config contents or auth records read.</x:v>
      </x:c>
      <x:c r="G255" s="3"/>
      <x:c r="H255" s="3"/>
      <x:c r="I255" s="3"/>
      <x:c r="J255" s="3"/>
      <x:c r="K255" s="3"/>
      <x:c r="L255" s="3"/>
    </x:row>
    <x:row r="256" ht="42" customHeight="1">
      <x:c r="A256" s="3" t="str">
        <x:v>B-02</x:v>
      </x:c>
      <x:c r="B256" s="3" t="str">
        <x:v>User-reported blocker</x:v>
      </x:c>
      <x:c r="C256" s="3" t="str">
        <x:v>In-app passkey not offered; QR scan found none</x:v>
      </x:c>
      <x:c r="D256" s="3" t="str">
        <x:v>mint-readiness-evidence.md</x:v>
      </x:c>
      <x:c r="E256" s="3" t="str">
        <x:v>Root cause unconfirmed; no captured warning/error</x:v>
      </x:c>
      <x:c r="F256" s="3" t="str">
        <x:v>Returned to sign-in, then Brave. No auth changes.</x:v>
      </x:c>
      <x:c r="G256" s="3"/>
      <x:c r="H256" s="3"/>
      <x:c r="I256" s="3"/>
      <x:c r="J256" s="3"/>
      <x:c r="K256" s="3"/>
      <x:c r="L256" s="3"/>
    </x:row>
    <x:row r="257" ht="42" customHeight="1">
      <x:c r="A257" s="3" t="str">
        <x:v>B-03</x:v>
      </x:c>
      <x:c r="B257" s="3" t="str">
        <x:v>Setup blocker</x:v>
      </x:c>
      <x:c r="C257" s="3" t="str">
        <x:v>Custody composition/Chain config/inactive custody root absent</x:v>
      </x:c>
      <x:c r="D257" s="3" t="str">
        <x:v>mint-readiness-evidence.md</x:v>
      </x:c>
      <x:c r="E257" s="3" t="str">
        <x:v>Funds alone cannot make mint ready</x:v>
      </x:c>
      <x:c r="F257" s="3" t="str">
        <x:v>Protect/decrypt registration does not establish custody readiness.</x:v>
      </x:c>
      <x:c r="G257" s="3"/>
      <x:c r="H257" s="3"/>
      <x:c r="I257" s="3"/>
      <x:c r="J257" s="3"/>
      <x:c r="K257" s="3"/>
      <x:c r="L257" s="3"/>
    </x:row>
    <x:row r="258" ht="112.5" customHeight="1">
      <x:c r="A258" s="3" t="str">
        <x:v>E-033</x:v>
      </x:c>
      <x:c r="B258" s="3" t="str">
        <x:v>Independent restart and Brave GUI proof</x:v>
      </x:c>
      <x:c r="C258" s="3" t="str">
        <x:v>Existing Runtime start; Home parity; icons; launcher; Search defect</x:v>
      </x:c>
      <x:c r="D258" s="3" t="str">
        <x:v>Local evidence (held privately): 033-home-search-before.txt</x:v>
      </x:c>
      <x:c r="E258" s="3" t="str">
        <x:v>Installed bd61484c/tree93dd0baf; Brave on localhost:61380</x:v>
      </x:c>
      <x:c r="F258" s="3" t="str">
        <x:v>Restart PID3788 existing/HTTP200. Home SHA256 541631d3e4f67efae7da19251e4408f285f45b22b37ef41f06fb7b473caa6e55. Browser config unchanged. Screenshots and actions in current audit task. User state preserved.</x:v>
      </x:c>
      <x:c r="G258" s="3"/>
      <x:c r="H258" s="3"/>
      <x:c r="I258" s="3"/>
      <x:c r="J258" s="3"/>
      <x:c r="K258" s="3"/>
      <x:c r="L258" s="3"/>
    </x:row>
    <x:row r="259" ht="112.5" customHeight="1">
      <x:c r="A259" s="3" t="str">
        <x:v>E-034</x:v>
      </x:c>
      <x:c r="B259" s="3" t="str">
        <x:v>Independent Assistant GUI failure</x:v>
      </x:c>
      <x:c r="C259" s="3" t="str">
        <x:v>Assistant loading remains stuck; mode result excluded after targeting-tool correction</x:v>
      </x:c>
      <x:c r="D259" s="3" t="str">
        <x:v>Local evidence (held privately): 034-assistant-before.txt</x:v>
      </x:c>
      <x:c r="E259" s="3" t="str">
        <x:v>Brave; installed bd61484c; localhost:61380</x:v>
      </x:c>
      <x:c r="F259" s="3" t="str">
        <x:v>postMessage invalid target origin null aborts Clipboard startup before offers/workspace load. Prompt, sessions and user Clipboard remain unchanged.</x:v>
      </x:c>
      <x:c r="G259" s="3"/>
      <x:c r="H259" s="3"/>
      <x:c r="I259" s="3"/>
      <x:c r="J259" s="3"/>
      <x:c r="K259" s="3"/>
      <x:c r="L259" s="3"/>
    </x:row>
    <x:row r="260" ht="112.5" customHeight="1">
      <x:c r="A260" s="3" t="str">
        <x:v>E-035</x:v>
      </x:c>
      <x:c r="B260" s="3" t="str">
        <x:v>People read-only and unverified text-entry test</x:v>
      </x:c>
      <x:c r="C260" s="3" t="str">
        <x:v>Existing Profile and empty contacts; original name preserved</x:v>
      </x:c>
      <x:c r="D260" s="3" t="str">
        <x:v>Local evidence (held privately): 035-people-draft.txt</x:v>
      </x:c>
      <x:c r="E260" s="3" t="str">
        <x:v>Brave; installed bd61484c; existing Profile</x:v>
      </x:c>
      <x:c r="F260" s="3" t="str">
        <x:v>Field enabled/readOnly=false. Two fill attempts returned unchanged DOM value; this is not a confirmed product failure. Save was never submitted. First-Profile prefill remains untested.</x:v>
      </x:c>
      <x:c r="G260" s="3"/>
      <x:c r="H260" s="3"/>
      <x:c r="I260" s="3"/>
      <x:c r="J260" s="3"/>
      <x:c r="K260" s="3"/>
      <x:c r="L260" s="3"/>
    </x:row>
    <x:row r="261" ht="112.5" customHeight="1">
      <x:c r="A261" s="3" t="str">
        <x:v>E-036</x:v>
      </x:c>
      <x:c r="B261" s="3" t="str">
        <x:v>Independent installed artifact verification</x:v>
      </x:c>
      <x:c r="C261" s="3" t="str">
        <x:v>Reviewed 2e9644d2 source, built Runtime, installation and served UI match</x:v>
      </x:c>
      <x:c r="D261" s="3" t="str">
        <x:v>Local evidence (held privately): 036-independent-installed-proof.json</x:v>
      </x:c>
      <x:c r="E261" s="3" t="str">
        <x:v>Clean source 2e9644d2/tree25b772bc; localhost:61380</x:v>
      </x:c>
      <x:c r="F261" s="3" t="str">
        <x:v>verify-install.mjs exits 0. Runtime 8ad0360f4b85da8a721cdbaa0f173c18fddc4502b61a499193eff403803c3f06; exact Browser config preserved; strict init restart PID62684, HTTP200; remote 0 behind/10 ahead.</x:v>
      </x:c>
      <x:c r="G261" s="3"/>
      <x:c r="H261" s="3"/>
      <x:c r="I261" s="3"/>
      <x:c r="J261" s="3"/>
      <x:c r="K261" s="3"/>
      <x:c r="L261" s="3"/>
    </x:row>
    <x:row r="262" ht="112.5" customHeight="1">
      <x:c r="A262" s="3" t="str">
        <x:v>E-037</x:v>
      </x:c>
      <x:c r="B262" s="3" t="str">
        <x:v>Independent Brave repair verification</x:v>
      </x:c>
      <x:c r="C262" s="3" t="str">
        <x:v>Search and Assistant startup pass; separate workspace-write failure found</x:v>
      </x:c>
      <x:c r="D262" s="3" t="str">
        <x:v>Local evidence (held privately): 037-brave-repair-verification.md</x:v>
      </x:c>
      <x:c r="E262" s="3" t="str">
        <x:v>Brave audit tab937255047; installed2e9644d2; original Home tab remains open</x:v>
      </x:c>
      <x:c r="F262" s="3" t="str">
        <x:v>F-15/F-16 verified. Chat/Build/Studio and correct disabled zero-offer controls observed. F-17 POST/PUT mismatch sent to Builder. No prompt/generation/Clipboard action submitted.</x:v>
      </x:c>
      <x:c r="G262" s="3"/>
      <x:c r="H262" s="3"/>
      <x:c r="I262" s="3"/>
      <x:c r="J262" s="3"/>
      <x:c r="K262" s="3"/>
      <x:c r="L262" s="3"/>
    </x:row>
    <x:row r="263" ht="112.5" customHeight="1">
      <x:c r="A263" s="36" t="str">
        <x:v>E-038</x:v>
      </x:c>
      <x:c r="B263" s="36" t="str">
        <x:v>Final independent installed parity</x:v>
      </x:c>
      <x:c r="C263" s="36" t="str">
        <x:v>Final03757c2b source, built Runtime, installed and served files match</x:v>
      </x:c>
      <x:c r="D263" s="36" t="str">
        <x:v>Local evidence (held privately): 038-independent-installed-proof.json</x:v>
      </x:c>
      <x:c r="E263" s="36" t="str">
        <x:v>Clean03757c2b/treee3200084; localhost61380; PID65350</x:v>
      </x:c>
      <x:c r="F263" s="36" t="str">
        <x:v>verify-install.mjs exit0. Runtime8ad0360f...; Assistantb8dc64b0...; Browser config exact79b62de6...; strict restart/HTTP200; source11ahead/0behind.</x:v>
      </x:c>
    </x:row>
    <x:row r="264" ht="112.5" customHeight="1">
      <x:c r="A264" s="36" t="str">
        <x:v>E-039</x:v>
      </x:c>
      <x:c r="B264" s="36" t="str">
        <x:v>Final independent Brave proof</x:v>
      </x:c>
      <x:c r="C264" s="36" t="str">
        <x:v>Workspace save/reopen passes; Chat restored; user tabs retained</x:v>
      </x:c>
      <x:c r="D264" s="36" t="str">
        <x:v>Local evidence (held privately): 039-final-brave-verification.md</x:v>
      </x:c>
      <x:c r="E264" s="36" t="str">
        <x:v>Final03757c2b; audit tab937255047; original tab937255045 remains</x:v>
      </x:c>
      <x:c r="F264" s="36" t="str">
        <x:v>F-17 verified by persisted Build mode after close/reopen. F-15/F-16 rechecked. All modes retain correct disabled zero-offer controls. 24tabs remain; zero audit app windows. Source gates and fresh divergence included.</x:v>
      </x:c>
    </x:row>
    <x:row r="265" ht="112.5" customHeight="1">
      <x:c r="A265" s="36" t="str">
        <x:v>E-040</x:v>
      </x:c>
      <x:c r="B265" s="36" t="str">
        <x:v>Read-only installed prerequisites</x:v>
      </x:c>
      <x:c r="C265" s="36" t="str">
        <x:v>Chain/custody readiness still gated; static proof limitations separated</x:v>
      </x:c>
      <x:c r="D265" s="36" t="str">
        <x:v>Local evidence (held privately): 040-installed-prerequisites.md</x:v>
      </x:c>
      <x:c r="E265" s="36" t="str">
        <x:v>Final03757c2b source-home/darwin-arm64/Home role</x:v>
      </x:c>
      <x:c r="F265" s="36" t="str">
        <x:v>Static audit exit1, active proof=false, chain_config=false, custody_composition=false. Source artifact lookup misses shared target; Kubo helper skips binary verification because manifest uses archive checksum. No live financial actions.</x:v>
      </x:c>
    </x:row>
    <x:row r="266" ht="112.5" customHeight="1">
      <x:c r="A266" s="36" t="str">
        <x:v>E-041</x:v>
      </x:c>
      <x:c r="B266" s="36" t="str">
        <x:v>Fresh remote author review</x:v>
      </x:c>
      <x:c r="C266" s="36" t="str">
        <x:v>Fresh remote and closed-PR checks; applicable historical omissions adapted</x:v>
      </x:c>
      <x:c r="D266" s="36" t="str">
        <x:v>Local evidence (held privately): 041-irzhy-remote-review.md</x:v>
      </x:c>
      <x:c r="E266" s="36" t="str">
        <x:v>Candidate dc0f5e46 vs origin9b82e5f0;23ahead/0behind; installed03757c2b</x:v>
      </x:c>
      <x:c r="F266" s="36" t="str">
        <x:v>Remote and closed PR8 source checks complete. F-20 socket safety/F-21 deterministic tests adapted with independent passing tests. All four current host-platform verification tests also pass. Separate legacy feature/migration work remains classified.</x:v>
      </x:c>
    </x:row>
    <x:row r="267" ht="112.5" customHeight="1">
      <x:c r="A267" s="36" t="str">
        <x:v>E-042</x:v>
      </x:c>
      <x:c r="B267" s="36" t="str">
        <x:v>Installed Home menu failure</x:v>
      </x:c>
      <x:c r="C267" s="36" t="str">
        <x:v>About and Shortcuts handlers have no matching panels</x:v>
      </x:c>
      <x:c r="D267" s="36" t="str">
        <x:v>Local evidence (held privately): 042-home-menu.md</x:v>
      </x:c>
      <x:c r="E267" s="36" t="str">
        <x:v>Brave audit tab937255047; installed03757c2b</x:v>
      </x:c>
      <x:c r="F267" s="36" t="str">
        <x:v>Settled DOM/screenshot after each menu click has no named dialog; source template lacks both IDs. System Settings opens correctly.</x:v>
      </x:c>
    </x:row>
    <x:row r="268" ht="112.5" customHeight="1">
      <x:c r="A268" s="36" t="str">
        <x:v>E-043</x:v>
      </x:c>
      <x:c r="B268" s="36" t="str">
        <x:v>System section audit</x:v>
      </x:c>
      <x:c r="C268" s="36" t="str">
        <x:v>All sections and current policy/appearance/catalog/version facts inspected</x:v>
      </x:c>
      <x:c r="D268" s="36" t="str">
        <x:v>Local evidence (held privately): 043-system.md</x:v>
      </x:c>
      <x:c r="E268" s="36" t="str">
        <x:v>Brave installed03757c2b; existing account</x:v>
      </x:c>
      <x:c r="F268" s="36" t="str">
        <x:v>Current policy/identity/appearance unchanged; nested text input remained empty. Recovery and account mutations require separate controlled fixtures.</x:v>
      </x:c>
    </x:row>
    <x:row r="269" ht="112.5" customHeight="1">
      <x:c r="A269" s="36" t="str">
        <x:v>E-044</x:v>
      </x:c>
      <x:c r="B269" s="36" t="str">
        <x:v>Library roots and view audit</x:v>
      </x:c>
      <x:c r="C269" s="36" t="str">
        <x:v>All roots inspected; Home-owned view commands work</x:v>
      </x:c>
      <x:c r="D269" s="36" t="str">
        <x:v>Local evidence (held privately): 044-library.md</x:v>
      </x:c>
      <x:c r="E269" s="36" t="str">
        <x:v>Brave installed03757c2b; existing private files untouched</x:v>
      </x:c>
      <x:c r="F269" s="36" t="str">
        <x:v>Nine roots, empty states, icon/details switch and menu inspection. Fixture-dependent operations tracked separately.</x:v>
      </x:c>
    </x:row>
    <x:row r="270" ht="112.5" customHeight="1">
      <x:c r="A270" s="36" t="str">
        <x:v>E-045</x:v>
      </x:c>
      <x:c r="B270" s="36" t="str">
        <x:v>Documents incremental-input failure</x:v>
      </x:c>
      <x:c r="C270" s="36" t="str">
        <x:v>Typing an incomplete heading stalls rendering</x:v>
      </x:c>
      <x:c r="D270" s="36" t="str">
        <x:v>Local evidence (held privately): 045-documents.md</x:v>
      </x:c>
      <x:c r="E270" s="36" t="str">
        <x:v>Brave installed03757c2b; disposable Audit20260830 draft</x:v>
      </x:c>
      <x:c r="F270" s="36" t="str">
        <x:v>Incomplete-heading stall reproduced in Brave and bounded source proof. Plain-text recovery, autosave, search, view modes, Find, Save as and Delete cancellation verified.</x:v>
      </x:c>
    </x:row>
    <x:row r="271" ht="112.5" customHeight="1">
      <x:c r="A271" s="36" t="str">
        <x:v>E-046</x:v>
      </x:c>
      <x:c r="B271" s="36" t="str">
        <x:v>People, Chat and Inbox journey audit</x:v>
      </x:c>
      <x:c r="C271" s="36" t="str">
        <x:v>Read-only identity, communication and request-state checks</x:v>
      </x:c>
      <x:c r="D271" s="36" t="str">
        <x:v>Local evidence (held privately): 046-people-chat-inbox.md</x:v>
      </x:c>
      <x:c r="E271" s="36" t="str">
        <x:v>Brave installed03757c2b; existing Profile preserved</x:v>
      </x:c>
      <x:c r="F271" s="36" t="str">
        <x:v>No public Profile edit, message, invitation, contact approval or financial request dispatch.</x:v>
      </x:c>
    </x:row>
    <x:row r="272" ht="112.5" customHeight="1">
      <x:c r="A272" s="36" t="str">
        <x:v>E-047</x:v>
      </x:c>
      <x:c r="B272" s="36" t="str">
        <x:v>Wallet and connector preview audit</x:v>
      </x:c>
      <x:c r="C272" s="36" t="str">
        <x:v>Zero-account overview, privacy, currency, create/import cancellation and connector previews</x:v>
      </x:c>
      <x:c r="D272" s="36" t="str">
        <x:v>Local evidence (held privately): 047-wallet.md</x:v>
      </x:c>
      <x:c r="E272" s="36" t="str">
        <x:v>Brave installed03757c2b; zero accounts preserved</x:v>
      </x:c>
      <x:c r="F272" s="36" t="str">
        <x:v>No key, account creation, extension permission, signature or financial action. BTC currency and visible balances restored.</x:v>
      </x:c>
    </x:row>
    <x:row r="273" ht="112.5" customHeight="1">
      <x:c r="A273" s="36" t="str">
        <x:v>E-048</x:v>
      </x:c>
      <x:c r="B273" s="36" t="str">
        <x:v>Services inventory and restoration record</x:v>
      </x:c>
      <x:c r="C273" s="36" t="str">
        <x:v>Local/remote empty state; immediate sharing behavior and verified restoration</x:v>
      </x:c>
      <x:c r="D273" s="36" t="str">
        <x:v>Local evidence (held privately): 048-services.md</x:v>
      </x:c>
      <x:c r="E273" s="36" t="str">
        <x:v>Brave installed03757c2b; final zero shared/subscribed</x:v>
      </x:c>
      <x:c r="F273" s="36" t="str">
        <x:v>Browser Engine briefly enabled by preview-intended click, then restored through Stop sharing confirmation. No peer grant approved; Exit remained private.</x:v>
      </x:c>
    </x:row>
    <x:row r="274" ht="112.5" customHeight="1">
      <x:c r="A274" s="36" t="str">
        <x:v>E-049</x:v>
      </x:c>
      <x:c r="B274" s="36" t="str">
        <x:v>Marketplace catalog audit</x:v>
      </x:c>
      <x:c r="C274" s="36" t="str">
        <x:v>Category, search, details and Media empty-state checks</x:v>
      </x:c>
      <x:c r="D274" s="36" t="str">
        <x:v>Local evidence (held privately): 049-marketplace.md</x:v>
      </x:c>
      <x:c r="E274" s="36" t="str">
        <x:v>Brave installed03757c2b; no purchases or content publication</x:v>
      </x:c>
      <x:c r="F274" s="36" t="str">
        <x:v>F-31 unnamed search; F-32 undeclared capabilities rendered as supported. Media empty state remains separate from app catalog.</x:v>
      </x:c>
    </x:row>
    <x:row r="275" ht="112.5" customHeight="1">
      <x:c r="A275" s="36" t="str">
        <x:v>E-050</x:v>
      </x:c>
      <x:c r="B275" s="36" t="str">
        <x:v>Player and Archive journey audit</x:v>
      </x:c>
      <x:c r="C275" s="36" t="str">
        <x:v>Viewer empty state and bounded archive controls</x:v>
      </x:c>
      <x:c r="D275" s="36" t="str">
        <x:v>Local evidence (held privately): 050-viewers.md</x:v>
      </x:c>
      <x:c r="E275" s="36" t="str">
        <x:v>Brave installed03757c2b; controlled fixtures only</x:v>
      </x:c>
      <x:c r="F275" s="36" t="str">
        <x:v>Player launch has no content selection; real protected playback prerequisites remain unmet.</x:v>
      </x:c>
    </x:row>
    <x:row r="276" ht="112.5" customHeight="1">
      <x:c r="A276" s="36" t="str">
        <x:v>E-051</x:v>
      </x:c>
      <x:c r="B276" s="36" t="str">
        <x:v>Manual Brave + source</x:v>
      </x:c>
      <x:c r="C276" s="36" t="str">
        <x:v>Library audit-only rename, recoverable Trash, cancel final deletion, restore, and copy/paste. Desktop file/shortcut rename previews cancelled; existing layout unchanged.</x:v>
      </x:c>
      <x:c r="D276" s="36" t="str">
        <x:v>Local evidence (held privately): 051-library-lifecycle.md</x:v>
      </x:c>
      <x:c r="E276" s="36" t="str">
        <x:v>LIB-09/LIB-22/F-22/F-38</x:v>
      </x:c>
      <x:c r="F276" s="36" t="str">
        <x:v>User content preserved; only disposable copy moved and restored.</x:v>
      </x:c>
    </x:row>
    <x:row r="277" ht="112.5" customHeight="1">
      <x:c r="A277" s="36" t="str">
        <x:v>E-052</x:v>
      </x:c>
      <x:c r="B277" s="36" t="str">
        <x:v>Manual Brave + source</x:v>
      </x:c>
      <x:c r="C277" s="36" t="str">
        <x:v>Nonogram launch, emulator control focus, state-slot and lifecycle proof.</x:v>
      </x:c>
      <x:c r="D277" s="36" t="str">
        <x:v>Local evidence (held privately): 052-games.md</x:v>
      </x:c>
      <x:c r="E277" s="36" t="str">
        <x:v>GBA/NONOGRAM/UCITY</x:v>
      </x:c>
      <x:c r="F277" s="36" t="str">
        <x:v>Only initially empty Slot3 selected for audit; Slots1/2 preserved.</x:v>
      </x:c>
    </x:row>
    <x:row r="278" ht="112.5" customHeight="1">
      <x:c r="A278" s="36" t="str">
        <x:v>E-053</x:v>
      </x:c>
      <x:c r="B278" s="36" t="str">
        <x:v>Manual Brave + source</x:v>
      </x:c>
      <x:c r="C278" s="36" t="str">
        <x:v>Browser live MicroVM page-open, settings and cancelled native reset-preview recovery.</x:v>
      </x:c>
      <x:c r="D278" s="36" t="str">
        <x:v>Local evidence (held privately): 053-browser.md</x:v>
      </x:c>
      <x:c r="E278" s="36" t="str">
        <x:v>BROWSER-01/03/09/10</x:v>
      </x:c>
      <x:c r="F278" s="36" t="str">
        <x:v>Original23tabs preserved; no profile-reset accept action.</x:v>
      </x:c>
    </x:row>
    <x:row r="279" ht="112.5" customHeight="1">
      <x:c r="A279" s="36" t="str">
        <x:v>E-054</x:v>
      </x:c>
      <x:c r="B279" s="36" t="str">
        <x:v>Manual Brave + installed/source proof</x:v>
      </x:c>
      <x:c r="C279" s="36" t="str">
        <x:v>Assistant starter/search, System search/shell and provider-manifest checks.</x:v>
      </x:c>
      <x:c r="D279" s="36" t="str">
        <x:v>Local evidence (held privately): 054-final-safe-journeys.md</x:v>
      </x:c>
      <x:c r="E279" s="36" t="str">
        <x:v>AI-01/12; SYS-01; CLI; MODEL/DEP</x:v>
      </x:c>
      <x:c r="F279" s="36" t="str">
        <x:v>Draft starter cleared, Chat restored. Identity and provider configs preserved.</x:v>
      </x:c>
    </x:row>
    <x:row r="280" ht="112.5" customHeight="1">
      <x:c r="A280" s="36" t="str">
        <x:v>E-055</x:v>
      </x:c>
      <x:c r="B280" s="36" t="str">
        <x:v>Independent installed artifact proof</x:v>
      </x:c>
      <x:c r="C280" s="36" t="str">
        <x:v>dc0f5e46 Runtime and ten served UI files match reviewed source</x:v>
      </x:c>
      <x:c r="D280" s="36" t="str">
        <x:v>Local evidence (held privately): 055-independent-installed-proof.json</x:v>
      </x:c>
      <x:c r="E280" s="36" t="str">
        <x:v>localhost61380 PID99337; source tree0db3deff; Runtime8808fd63</x:v>
      </x:c>
      <x:c r="F280" s="36" t="str">
        <x:v>Strict init receipt, components/capsule receipt binding, Browser configuration preserved. Product GUI acceptance recorded separately.</x:v>
      </x:c>
    </x:row>
    <x:row r="281" ht="112.5" customHeight="1">
      <x:c r="A281" s="36" t="str">
        <x:v>E-056</x:v>
      </x:c>
      <x:c r="B281" s="36" t="str">
        <x:v>Installed Brave repair retest</x:v>
      </x:c>
      <x:c r="C281" s="36" t="str">
        <x:v>F-18 panels verified; F-44 recovery partly works but startup still fails</x:v>
      </x:c>
      <x:c r="D281" s="36" t="str">
        <x:v>Local evidence (held privately): 056-installed-repair-retest.md</x:v>
      </x:c>
      <x:c r="E281" s="36" t="str">
        <x:v>Installed dc0f5e46; audit049 only</x:v>
      </x:c>
      <x:c r="F281" s="36" t="str">
        <x:v>Desktop restored with one reload. Shell manifest fixture mismatch sent to Builder. Other repair retests continuing.</x:v>
      </x:c>
    </x:row>
    <x:row r="282" ht="112.5" customHeight="1">
      <x:c r="A282" s="36" t="str">
        <x:v>E-057</x:v>
      </x:c>
      <x:c r="B282" s="36" t="str">
        <x:v>Independent Runtime follow-up proof</x:v>
      </x:c>
      <x:c r="C282" s="36" t="str">
        <x:v>6edc667b installed and serving with matched Runtime and unchanged UI assets</x:v>
      </x:c>
      <x:c r="D282" s="36" t="str">
        <x:v>Local evidence (held privately): 057-independent-installed-proof.json</x:v>
      </x:c>
      <x:c r="E282" s="36" t="str">
        <x:v>localhost61380 PID1000; Runtime9904c73b</x:v>
      </x:c>
      <x:c r="F282" s="36" t="str">
        <x:v>Checks restart Runtime hash and actual listener PID as well as source/build/install/served parity.</x:v>
      </x:c>
    </x:row>
    <x:row r="283" ht="112.5" customHeight="1">
      <x:c r="A283" s="36" t="str">
        <x:v>E-058</x:v>
      </x:c>
      <x:c r="B283" s="36" t="str">
        <x:v>Terminal live follow-up</x:v>
      </x:c>
      <x:c r="C283" s="36" t="str">
        <x:v>Child bootstrap works; direct switch and session facts still fail</x:v>
      </x:c>
      <x:c r="D283" s="36" t="str">
        <x:v>Local evidence (held privately): 058-terminal-follow-up.md</x:v>
      </x:c>
      <x:c r="E283" s="36" t="str">
        <x:v>Installed6edc667b, audit049</x:v>
      </x:c>
      <x:c r="F283" s="36" t="str">
        <x:v>F44 common switch blank persists. F47 context mismatch found in read-only Terminal navigation.</x:v>
      </x:c>
    </x:row>
    <x:row r="284" ht="112.5" customHeight="1">
      <x:c r="A284" s="36" t="str">
        <x:v>E-059</x:v>
      </x:c>
      <x:c r="B284" s="36" t="str">
        <x:v>Library installed safety retest</x:v>
      </x:c>
      <x:c r="C284" s="36" t="str">
        <x:v>Toolbar keyboard, corrected-name retry and collision preservation checks</x:v>
      </x:c>
      <x:c r="D284" s="36" t="str">
        <x:v>Local evidence (held privately): 059-library-safety-retest.md</x:v>
      </x:c>
      <x:c r="E284" s="36" t="str">
        <x:v>Installed6edc667b, audit049, named audit fixtures only</x:v>
      </x:c>
      <x:c r="F284" s="36" t="str">
        <x:v>F24 native toolbar ownership passes. F25 retry/feedback and F26 collision results recorded individually; F48 unnamed input fields logged.</x:v>
      </x:c>
    </x:row>
    <x:row r="285" ht="112.5" customHeight="1">
      <x:c r="A285" s="36" t="str">
        <x:v>E-060</x:v>
      </x:c>
      <x:c r="B285" s="36" t="str">
        <x:v>Browser live navigation and reopen</x:v>
      </x:c>
      <x:c r="C285" s="36" t="str">
        <x:v>Page frames arrive but navigation health fails and next app reopen fails</x:v>
      </x:c>
      <x:c r="D285" s="36" t="str">
        <x:v>Local evidence (held privately): 060-browser-reopen.md</x:v>
      </x:c>
      <x:c r="E285" s="36" t="str">
        <x:v>Installed6edc667b, audit049 only</x:v>
      </x:c>
      <x:c r="F285" s="36" t="str">
        <x:v>F43 remains open; Browser profile and original tabs preserved. F20 private-root checks pass.</x:v>
      </x:c>
    </x:row>
    <x:row r="286" ht="112.5" customHeight="1">
      <x:c r="A286" s="36" t="str">
        <x:v>E-061</x:v>
      </x:c>
      <x:c r="B286" s="36" t="str">
        <x:v>Home and System safe-path completion</x:v>
      </x:c>
      <x:c r="C286" s="36" t="str">
        <x:v>Home menu, catalog launch, and absent document-search integration</x:v>
      </x:c>
      <x:c r="D286" s="36" t="str">
        <x:v>Local evidence (held privately): 061-home-safe-paths.md</x:v>
      </x:c>
      <x:c r="E286" s="36" t="str">
        <x:v>Installed6edc667b, Brave audit049, no account changes</x:v>
      </x:c>
      <x:c r="F286" s="36" t="str">
        <x:v>GUI08/SYS11 safe paths complete; F49 document Search gap logged separately.</x:v>
      </x:c>
    </x:row>
    <x:row r="287" ht="112.5" customHeight="1">
      <x:c r="A287" s="36" t="str">
        <x:v>E-062</x:v>
      </x:c>
      <x:c r="B287" s="36" t="str">
        <x:v>Documents context-menu safety test</x:v>
      </x:c>
      <x:c r="C287" s="36" t="str">
        <x:v>Duplicate silently loses the selected document target</x:v>
      </x:c>
      <x:c r="D287" s="36" t="str">
        <x:v>Local evidence (held privately): 062-documents-context.md</x:v>
      </x:c>
      <x:c r="E287" s="36" t="str">
        <x:v>Installed6edc667b, audit au.md only</x:v>
      </x:c>
      <x:c r="F287" s="36" t="str">
        <x:v>F50 reproduced without publication or deletion; no duplicate created.</x:v>
      </x:c>
    </x:row>
    <x:row r="288" ht="112.5" customHeight="1">
      <x:c r="A288" s="36" t="str">
        <x:v>E-063</x:v>
      </x:c>
      <x:c r="B288" s="36" t="str">
        <x:v>Documents dirty close/reopen</x:v>
      </x:c>
      <x:c r="C288" s="36" t="str">
        <x:v>Unsaved audit-copy edit lost on normal Home Close</x:v>
      </x:c>
      <x:c r="D288" s="36" t="str">
        <x:v>Local evidence (held privately): 063-documents-dirty-close.md</x:v>
      </x:c>
      <x:c r="E288" s="36" t="str">
        <x:v>Installed6edc667b, audit copy au-2.md only</x:v>
      </x:c>
      <x:c r="F288" s="36" t="str">
        <x:v>Only intentionally disposable X was lost; saved originals preserved. F51 sent to Builder.</x:v>
      </x:c>
    </x:row>
    <x:row r="289" ht="112.5" customHeight="1">
      <x:c r="A289" s="36" t="str">
        <x:v>E-064</x:v>
      </x:c>
      <x:c r="B289" s="36" t="str">
        <x:v>Foreground timing-control retests</x:v>
      </x:c>
      <x:c r="C289" s="36" t="str">
        <x:v>Both shell transition directions remain blank with audit tab selected</x:v>
      </x:c>
      <x:c r="D289" s="36" t="str">
        <x:v>Local evidence (held privately): 064-foreground-retest.md</x:v>
      </x:c>
      <x:c r="E289" s="36" t="str">
        <x:v>Installed6edc667b, audit049 foreground via native Brave UI</x:v>
      </x:c>
      <x:c r="F289" s="36" t="str">
        <x:v>Background throttling ruled out for F44; Browser and dirty-close retests continue.</x:v>
      </x:c>
    </x:row>
    <x:row r="290" ht="112.5" customHeight="1">
      <x:c r="A290" s="36" t="str">
        <x:v>E-065</x:v>
      </x:c>
      <x:c r="B290" s="36" t="str">
        <x:v>Independent F47 source proof</x:v>
      </x:c>
      <x:c r="C290" s="36" t="str">
        <x:v>Seven focused authority/snapshot/native-route tests pass on clean480810fe</x:v>
      </x:c>
      <x:c r="D290" s="36" t="str">
        <x:v>Local evidence (held privately): 065-f47-independent-source-proof.md</x:v>
      </x:c>
      <x:c r="E290" s="36" t="str">
        <x:v>Source480810fe/tree f3d75edf, existinginstallation still6edc667b</x:v>
      </x:c>
      <x:c r="F290" s="36" t="str">
        <x:v>Temporary testRuntime exited; alluserstate preserved. Runtime/object-provider build and liveproof pending.</x:v>
      </x:c>
    </x:row>
    <x:row r="291" ht="112.5" customHeight="1">
      <x:c r="A291" s="36" t="str">
        <x:v>E-066</x:v>
      </x:c>
      <x:c r="B291" s="36" t="str">
        <x:v>Independent installed binary and served-asset parity</x:v>
      </x:c>
      <x:c r="C291" s="36" t="str">
        <x:v>480810fe Runtime and separate object-provider installed with strict restart, hashes and manifests verified</x:v>
      </x:c>
      <x:c r="D291" s="36" t="str">
        <x:v>Local evidence (held privately): 066-independent-installed-proof.json</x:v>
      </x:c>
      <x:c r="E291" s="36" t="str">
        <x:v>Existingstable61380installation, RuntimePID6252, object-providerPID6279</x:v>
      </x:c>
      <x:c r="F291" s="36" t="str">
        <x:v>OldPID1000/1031exited. Runtime/object binaries and one manifest entry changed; receipt minted by audited installer. FourBrowserconfig/helper hashes preserved. Originalrollbackextendedcoherently.</x:v>
      </x:c>
    </x:row>
    <x:row r="292" ht="112.5" customHeight="1">
      <x:c r="A292" s="36" t="str">
        <x:v>E-067</x:v>
      </x:c>
      <x:c r="B292" s="36" t="str">
        <x:v>Installed F26/F47 Brave verification</x:v>
      </x:c>
      <x:c r="C292" s="36" t="str">
        <x:v>Create-only collision and successful retry preserve original audit bytes; Terminal context retest</x:v>
      </x:c>
      <x:c r="D292" s="36" t="str">
        <x:v>Local evidence (held privately): 067-installed-f26-f47-retest.md</x:v>
      </x:c>
      <x:c r="E292" s="36" t="str">
        <x:v>Installed480810fe, foregroundaudittab049</x:v>
      </x:c>
      <x:c r="F292" s="36" t="str">
        <x:v>F26verified. F47liveTerminalstopsafteroneretry, sofixnotaccepted. Desktoprestored; onlynewempty audit-f26-verified.md created.</x:v>
      </x:c>
    </x:row>
    <x:row r="293" ht="112.5" customHeight="1">
      <x:c r="A293" s="36" t="str">
        <x:v>E-068</x:v>
      </x:c>
      <x:c r="B293" s="36" t="str">
        <x:v>Terminal startup diagnostic ownership</x:v>
      </x:c>
      <x:c r="C293" s="36" t="str">
        <x:v>Early PTY output lacks first-attach replay; generic recovery can hide the cause</x:v>
      </x:c>
      <x:c r="D293" s="36" t="str">
        <x:v>Local evidence (held privately): 068-terminal-startup-output.md</x:v>
      </x:c>
      <x:c r="E293" s="36" t="str">
        <x:v>Installed480810fe and corresponding source</x:v>
      </x:c>
      <x:c r="F293" s="36" t="str">
        <x:v>F-53 is separate from the F-47 cause. Builder's isolated fixture is not live failure proof.</x:v>
      </x:c>
    </x:row>
    <x:row r="294" ht="112.5" customHeight="1">
      <x:c r="A294" s="36" t="str">
        <x:v>E-069</x:v>
      </x:c>
      <x:c r="B294" s="36" t="str">
        <x:v>Independent source verification</x:v>
      </x:c>
      <x:c r="C294" s="36" t="str">
        <x:v>Real Home-owned issuer grant tests and existing authority guards</x:v>
      </x:c>
      <x:c r="D294" s="36" t="str">
        <x:v>Local evidence (held privately): 069-home-cli-issuer-source-proof.md</x:v>
      </x:c>
      <x:c r="E294" s="36" t="str">
        <x:v>961bc323, tree 1fab165a; ten focused tests and four hygiene gates</x:v>
      </x:c>
      <x:c r="F294" s="36" t="str">
        <x:v>Source proof is separate from live acceptance.</x:v>
      </x:c>
    </x:row>
    <x:row r="295" ht="112.5" customHeight="1">
      <x:c r="A295" s="36" t="str">
        <x:v>E-070</x:v>
      </x:c>
      <x:c r="B295" s="36" t="str">
        <x:v>Independent installed artifact proof</x:v>
      </x:c>
      <x:c r="C295" s="36" t="str">
        <x:v>Runtime-only install with exact receipts and unchanged object-provider/UI/configuration</x:v>
      </x:c>
      <x:c r="D295" s="36" t="str">
        <x:v>Local evidence (held privately): 070-independent-installed-proof.json</x:v>
      </x:c>
      <x:c r="E295" s="36" t="str">
        <x:v>localhost:61380, PID 9144, Runtime 64615999, source 961bc323</x:v>
      </x:c>
      <x:c r="F295" s="36" t="str">
        <x:v>Old gateway 6252 and object-provider 6279 exited; owned Runtime child 6588 was separately terminated and verified gone. Original coherent rollback retained.</x:v>
      </x:c>
    </x:row>
    <x:row r="296" ht="112.5" customHeight="1">
      <x:c r="A296" s="36" t="str">
        <x:v>E-071</x:v>
      </x:c>
      <x:c r="B296" s="36" t="str">
        <x:v>Independent Brave live verification</x:v>
      </x:c>
      <x:c r="C296" s="36" t="str">
        <x:v>Terminal Profile, Inbox and System context now matches Desktop</x:v>
      </x:c>
      <x:c r="D296" s="36" t="str">
        <x:v>Local evidence (held privately): 071-terminal-context-live-proof.md</x:v>
      </x:c>
      <x:c r="E296" s="36" t="str">
        <x:v>Installed 961bc323, foreground audit tab 937255049</x:v>
      </x:c>
      <x:c r="F296" s="36" t="str">
        <x:v>F-47 verified; F-44 direct transitions still need one audit-tab reload. All 23 original tabs and account data are preserved.</x:v>
      </x:c>
    </x:row>
    <x:row r="297" ht="112.5" customHeight="1">
      <x:c r="A297" s="36" t="str">
        <x:v>E-072</x:v>
      </x:c>
      <x:c r="B297" s="36" t="str">
        <x:v>Isolated source fixtures</x:v>
      </x:c>
      <x:c r="C297" s="36" t="str">
        <x:v>Advanced help, website intent and privileged invocation boundaries</x:v>
      </x:c>
      <x:c r="D297" s="36" t="str">
        <x:v>Local evidence (held privately): 072-terminal-help-fixtures.md</x:v>
      </x:c>
      <x:c r="E297" s="36" t="str">
        <x:v>Unchanged home-cli source at 961bc323; 14 passing tests</x:v>
      </x:c>
      <x:c r="F297" s="36" t="str">
        <x:v>Live advanced-command prerequisites remain explicit; no external action was dispatched.</x:v>
      </x:c>
    </x:row>
    <x:row r="298" ht="112.5" customHeight="1">
      <x:c r="A298" s="36" t="str">
        <x:v>E-073</x:v>
      </x:c>
      <x:c r="B298" s="36" t="str">
        <x:v>Foreground Browser input proof</x:v>
      </x:c>
      <x:c r="C298" s="36" t="str">
        <x:v>Single-line input and fullscreen pass; multiline ordering and editing modifiers fail</x:v>
      </x:c>
      <x:c r="D298" s="36" t="str">
        <x:v>Local evidence (held privately): 073-browser-input-proof.md</x:v>
      </x:c>
      <x:c r="E298" s="36" t="str">
        <x:v>Installed 961bc323, Selenium public test form, audit tab 937255049</x:v>
      </x:c>
      <x:c r="F298" s="36" t="str">
        <x:v>F-54 and F-55 logged. No Submit, upload, password, Wallet or host Clipboard action.</x:v>
      </x:c>
    </x:row>
    <x:row r="299" ht="112.5" customHeight="1">
      <x:c r="A299" s="36" t="str">
        <x:v>E-074</x:v>
      </x:c>
      <x:c r="B299" s="36" t="str">
        <x:v>Independent source verification</x:v>
      </x:c>
      <x:c r="C299" s="36" t="str">
        <x:v>Shell-switch stale summary, recovery and authority reset checks</x:v>
      </x:c>
      <x:c r="D299" s="36" t="str">
        <x:v>Local evidence (held privately): 074-shell-switch-source-proof.md</x:v>
      </x:c>
      <x:c r="E299" s="36" t="str">
        <x:v>0fe96d8c, tree 2fb3bb00; nine focused smokes and basic gates</x:v>
      </x:c>
      <x:c r="F299" s="36" t="str">
        <x:v>Exact clean-prefix build retains Runtime 64615999; source review and rollback extension recorded.</x:v>
      </x:c>
    </x:row>
    <x:row r="300" ht="112.5" customHeight="1">
      <x:c r="A300" s="36" t="str">
        <x:v>E-075</x:v>
      </x:c>
      <x:c r="B300" s="36" t="str">
        <x:v>Independent installed artifact verification</x:v>
      </x:c>
      <x:c r="C300" s="36" t="str">
        <x:v>Home host/core update with eighteen served asset comparisons</x:v>
      </x:c>
      <x:c r="D300" s="36" t="str">
        <x:v>Local evidence (held privately): 075-independent-installed-proof.json</x:v>
      </x:c>
      <x:c r="E300" s="36" t="str">
        <x:v>localhost:61380, PID 11728, source 0fe96d8c</x:v>
      </x:c>
      <x:c r="F300" s="36" t="str">
        <x:v>Old gateway 9144 and object-provider 9171 exited; owned Runtime child 9475 was terminated and verified gone. User state and Browser configuration remain intact.</x:v>
      </x:c>
    </x:row>
    <x:row r="301" ht="112.5" customHeight="1">
      <x:c r="A301" s="36" t="str">
        <x:v>E-076</x:v>
      </x:c>
      <x:c r="B301" s="36" t="str">
        <x:v>Independent installed Brave retest</x:v>
      </x:c>
      <x:c r="C301" s="36" t="str">
        <x:v>Direct shell transitions still fail after verified host update</x:v>
      </x:c>
      <x:c r="D301" s="36" t="str">
        <x:v>Local evidence (held privately): 076-shell-switch-live-retest.md</x:v>
      </x:c>
      <x:c r="E301" s="36" t="str">
        <x:v>Installed 0fe96d8c; visible selected audit tab; listener 11728</x:v>
      </x:c>
      <x:c r="F301" s="36" t="str">
        <x:v>Correct visible frame path and dimensions, empty child, hidden recovery; audit reload restores each shell.</x:v>
      </x:c>
    </x:row>
    <x:row r="302" ht="112.5" customHeight="1">
      <x:c r="A302" s="36" t="str">
        <x:v>E-077</x:v>
      </x:c>
      <x:c r="B302" s="36" t="str">
        <x:v>Foreground Browser cancellation proof</x:v>
      </x:c>
      <x:c r="C302" s="36" t="str">
        <x:v>Library file picker opens, cancels and reopens without transferring data</x:v>
      </x:c>
      <x:c r="D302" s="36" t="str">
        <x:v>Local evidence (held privately): 077-browser-file-picker-cancel.md</x:v>
      </x:c>
      <x:c r="E302" s="36" t="str">
        <x:v>Installed 0fe96d8c; Selenium public test form</x:v>
      </x:c>
      <x:c r="F302" s="36" t="str">
        <x:v>Positive file transfer remains unverified; original user state is preserved.</x:v>
      </x:c>
    </x:row>
    <x:row r="303" ht="112.5" customHeight="1">
      <x:c r="A303" s="36" t="str">
        <x:v>E-078</x:v>
      </x:c>
      <x:c r="B303" s="36" t="str">
        <x:v>Live prerequisite recheck</x:v>
      </x:c>
      <x:c r="C303" s="36" t="str">
        <x:v>Library text viewer precedence and usable recovered Desktop</x:v>
      </x:c>
      <x:c r="D303" s="36" t="str">
        <x:v>Local evidence (held privately): 078-library-preview-prerequisite-check.md</x:v>
      </x:c>
      <x:c r="E303" s="36" t="str">
        <x:v>Installed 0fe96d8c; audit files only</x:v>
      </x:c>
      <x:c r="F303" s="36" t="str">
        <x:v>No separate preview action for the available text fixtures. Preview and native transfer prerequisites remain explicit; stale shell-wide blockers corrected.</x:v>
      </x:c>
    </x:row>
    <x:row r="304" ht="112.5" customHeight="1">
      <x:c r="A304" s="36" t="str">
        <x:v>E-079</x:v>
      </x:c>
      <x:c r="B304" s="36" t="str">
        <x:v>Independent source verification</x:v>
      </x:c>
      <x:c r="C304" s="36" t="str">
        <x:v>Documents close handshake, autosave suspension and stale-context guards</x:v>
      </x:c>
      <x:c r="D304" s="36" t="str">
        <x:v>Local evidence (held privately): 079-documents-close-source-verification.md</x:v>
      </x:c>
      <x:c r="E304" s="36" t="str">
        <x:v>Clean c8f244cc; 35 tests plus behavior/regression/basic gates</x:v>
      </x:c>
      <x:c r="F304" s="36" t="str">
        <x:v>Optional layout script stopped before launch due to missing local dependency. Installed Brave modal verification remains required.</x:v>
      </x:c>
    </x:row>
    <x:row r="305" ht="112.5" customHeight="1">
      <x:c r="A305" s="36" t="str">
        <x:v>E-080</x:v>
      </x:c>
      <x:c r="B305" s="36" t="str">
        <x:v>Independent installed artifact verification</x:v>
      </x:c>
      <x:c r="C305" s="36" t="str">
        <x:v>Documents close update with eighteen served asset comparisons</x:v>
      </x:c>
      <x:c r="D305" s="36" t="str">
        <x:v>Local evidence (held privately): 080-independent-installed-proof.json</x:v>
      </x:c>
      <x:c r="E305" s="36" t="str">
        <x:v>localhost:61380, PID 14242, clean c8f244cc</x:v>
      </x:c>
      <x:c r="F305" s="36" t="str">
        <x:v>Old gateway 11728, object-provider 11755 and owned Runtime child 12123 exited before replacement. Receipt 4f80b2d7 binds the new UI prefix; user state and Browser configuration remain intact.</x:v>
      </x:c>
    </x:row>
    <x:row r="306" ht="112.5" customHeight="1">
      <x:c r="A306" s="36" t="str">
        <x:v>E-081</x:v>
      </x:c>
      <x:c r="B306" s="36" t="str">
        <x:v>Independent installed Brave regression</x:v>
      </x:c>
      <x:c r="C306" s="36" t="str">
        <x:v>Documents Save/Discard/Cancel pass; keyboard-focus defect recorded separately</x:v>
      </x:c>
      <x:c r="D306" s="36" t="str">
        <x:v>Local evidence (held privately): 081-documents-close-live-retest.md</x:v>
      </x:c>
      <x:c r="E306" s="36" t="str">
        <x:v>Installed c8f244cc; audit copy au-2.md only</x:v>
      </x:c>
      <x:c r="F306" s="36" t="str">
        <x:v>Discard held 21.456 seconds; Cancel resumes autosave; Save closes and persists the restored body. All original tabs preserved.</x:v>
      </x:c>
    </x:row>
    <x:row r="307" ht="112.5" customHeight="1">
      <x:c r="A307" s="36" t="str">
        <x:v>E-082</x:v>
      </x:c>
      <x:c r="B307" s="36" t="str">
        <x:v>Individual control reconciliation</x:v>
      </x:c>
      <x:c r="C307" s="36" t="str">
        <x:v>This Device and Library Up pass; prior proven control fixes applied</x:v>
      </x:c>
      <x:c r="D307" s="36" t="str">
        <x:v>Local evidence (held privately): 082-control-result-reconciliation.md</x:v>
      </x:c>
      <x:c r="E307" s="36" t="str">
        <x:v>Installed c8f244cc and retained E-056/E-059/E-062/E-081</x:v>
      </x:c>
      <x:c r="F307" s="36" t="str">
        <x:v>Historical observations remain cited; only directly supported outcomes replace stale statuses.</x:v>
      </x:c>
    </x:row>
    <x:row r="308" ht="112.5" customHeight="1">
      <x:c r="A308" s="36" t="str">
        <x:v>E-083</x:v>
      </x:c>
      <x:c r="B308" s="36" t="str">
        <x:v>Installed responsive-layout audit</x:v>
      </x:c>
      <x:c r="C308" s="36" t="str">
        <x:v>Home window move/resize works; compact Library metadata-header mismatch logged</x:v>
      </x:c>
      <x:c r="D308" s="36" t="str">
        <x:v>Local evidence (held privately): 083-library-narrow-layout.md</x:v>
      </x:c>
      <x:c r="E308" s="36" t="str">
        <x:v>Installed c8f244cc; one audit Library window</x:v>
      </x:c>
      <x:c r="F308" s="36" t="str">
        <x:v>Original window bounds and Details view restored, then app closed. Original browser tabs and files preserved.</x:v>
      </x:c>
    </x:row>
    <x:row r="309" ht="112.5" customHeight="1">
      <x:c r="A309" s="36" t="str">
        <x:v>E-084</x:v>
      </x:c>
      <x:c r="B309" s="36" t="str">
        <x:v>Installed foreground Browser navigation audit</x:v>
      </x:c>
      <x:c r="C309" s="36" t="str">
        <x:v>Official popup fixture navigation stalls before the popup link can be tested</x:v>
      </x:c>
      <x:c r="D309" s="36" t="str">
        <x:v>Local evidence (held privately): 084-browser-foreground-navigation.md</x:v>
      </x:c>
      <x:c r="E309" s="36" t="str">
        <x:v>Installed c8f244cc; selected visible Brave audit tab only</x:v>
      </x:c>
      <x:c r="F309" s="36" t="str">
        <x:v>Cold launch reached ela.city; next desired URL retained old frame and Opening for &gt;60 seconds. Normal Close worked. No popup, authorization or user state change.</x:v>
      </x:c>
    </x:row>
    <x:row r="310" ht="112.5" customHeight="1">
      <x:c r="A310" s="36" t="str">
        <x:v>E-085</x:v>
      </x:c>
      <x:c r="B310" s="36" t="str">
        <x:v>Independent source verification</x:v>
      </x:c>
      <x:c r="C310" s="36" t="str">
        <x:v>Terminal replay, ordered reconnect and retained fallback output pass isolated tests</x:v>
      </x:c>
      <x:c r="D310" s="36" t="str">
        <x:v>Local evidence (held privately): 085-terminal-replay-source.md</x:v>
      </x:c>
      <x:c r="E310" s="36" t="str">
        <x:v>Clean 56ae1aedd0157e70b7f578347e40b4507a07712b</x:v>
      </x:c>
      <x:c r="F310" s="36" t="str">
        <x:v>Six filtered Rust tests, two JavaScript smokes, all basic gates and actual release build pass. Negative fixture remains separate from live failure cause.</x:v>
      </x:c>
    </x:row>
    <x:row r="311" ht="112.5" customHeight="1">
      <x:c r="A311" s="36" t="str">
        <x:v>E-086</x:v>
      </x:c>
      <x:c r="B311" s="36" t="str">
        <x:v>Independent installed artifact proof</x:v>
      </x:c>
      <x:c r="C311" s="36" t="str">
        <x:v>Reviewed F53 Runtime and CLI renderer match source, installation and served UI</x:v>
      </x:c>
      <x:c r="D311" s="36" t="str">
        <x:v>Local evidence (held privately): 086-independent-installed-proof.json</x:v>
      </x:c>
      <x:c r="E311" s="36" t="str">
        <x:v>Clean 56ae1aed, tree e9cdb2e0; localhost:61380 PID16627</x:v>
      </x:c>
      <x:c r="F311" s="36" t="str">
        <x:v>Strict dry-run/init pass. Old gateway14242/object14269 stopped; exact managed child14647 was terminated and verified gone. HTTP200, Runtime/object and eighteen assets match. Browser/config/identity state preserved.</x:v>
      </x:c>
    </x:row>
    <x:row r="312" ht="112.5" customHeight="1">
      <x:c r="A312" s="36" t="str">
        <x:v>E-087</x:v>
      </x:c>
      <x:c r="B312" s="36" t="str">
        <x:v>Installed Brave retest</x:v>
      </x:c>
      <x:c r="C312" s="36" t="str">
        <x:v>Terminal positive context passes after reload; direct shell transitions still fail</x:v>
      </x:c>
      <x:c r="D312" s="36" t="str">
        <x:v>Local evidence (held privately): 087-terminal-installed-retest.md</x:v>
      </x:c>
      <x:c r="E312" s="36" t="str">
        <x:v>Installed 56ae1aed; audit Brave tab937255049</x:v>
      </x:c>
      <x:c r="F312" s="36" t="str">
        <x:v>Home/Inbox/People/help/refresh pass. Direct /home-cli/ and /home-gui/ remain blank; reload recovers. All original tabs and credentials preserved.</x:v>
      </x:c>
    </x:row>
    <x:row r="313" ht="112.5" customHeight="1">
      <x:c r="A313" s="36" t="str">
        <x:v>E-088</x:v>
      </x:c>
      <x:c r="B313" s="36" t="str">
        <x:v>Installed cross-surface read-only audit</x:v>
      </x:c>
      <x:c r="C313" s="36" t="str">
        <x:v>Terminal unavailable action disagrees with the same Desktop pending request</x:v>
      </x:c>
      <x:c r="D313" s="36" t="str">
        <x:v>Local evidence (held privately): 088-inbox-action-comparison.md</x:v>
      </x:c>
      <x:c r="E313" s="36" t="str">
        <x:v>Installed56ae1aed; same unchanged Wallet market-price request</x:v>
      </x:c>
      <x:c r="F313" s="36" t="str">
        <x:v>GUI Open/Approve/Reject only inspected; no action taken. Existing F29 missing rail also reproduces.</x:v>
      </x:c>
    </x:row>
    <x:row r="314" ht="112.5" customHeight="1">
      <x:c r="A314" s="36" t="str">
        <x:v>E-089</x:v>
      </x:c>
      <x:c r="B314" s="36" t="str">
        <x:v>Native Brave Network timing</x:v>
      </x:c>
      <x:c r="C314" s="36" t="str">
        <x:v>Direct shell transition document remains stalled before HTML transfer</x:v>
      </x:c>
      <x:c r="D314" s="36" t="str">
        <x:v>Local evidence (held privately): 089-shell-navigation-timing.md</x:v>
      </x:c>
      <x:c r="E314" s="36" t="str">
        <x:v>Installed56ae1aed, native Network UI in audit tab only</x:v>
      </x:c>
      <x:c r="F314" s="36" t="str">
        <x:v>Pending/zero bytes beyond144.627s; Timing Connection Start→Stalled. Root cause remains unconfirmed; cache/profile/throttling preserved.</x:v>
      </x:c>
    </x:row>
    <x:row r="315" ht="112.5" customHeight="1">
      <x:c r="A315" s="36" t="str">
        <x:v>E-090</x:v>
      </x:c>
      <x:c r="B315" s="36" t="str">
        <x:v>Independent source gate held</x:v>
      </x:c>
      <x:c r="C315" s="36" t="str">
        <x:v>F44 source checks expose a fallback smoke assertion that needs correction</x:v>
      </x:c>
      <x:c r="D315" s="36" t="str">
        <x:v>Local evidence (held privately): 090-shell-recovery-source.md</x:v>
      </x:c>
      <x:c r="E315" s="36" t="str">
        <x:v>Initial F44 a473bc0a slice; not installed</x:v>
      </x:c>
      <x:c r="F315" s="36" t="str">
        <x:v>Five smokes/basic gates/build pass; fallback smoke fails after new ready message. Builder must amend before installation. Existing56ae artifacts preserved.</x:v>
      </x:c>
    </x:row>
    <x:row r="316" ht="112.5" customHeight="1">
      <x:c r="A316" s="36" t="str">
        <x:v>E-091</x:v>
      </x:c>
      <x:c r="B316" s="36" t="str">
        <x:v>Independent amended source gate</x:v>
      </x:c>
      <x:c r="C316" s="36" t="str">
        <x:v>Amended F44 fallback assertion and all scoped checks pass</x:v>
      </x:c>
      <x:c r="D316" s="36" t="str">
        <x:v>Local evidence (held privately): 091-shell-recovery-amended-source.md</x:v>
      </x:c>
      <x:c r="E316" s="36" t="str">
        <x:v>Clean867bff6f, treec7fcad6d</x:v>
      </x:c>
      <x:c r="F316" s="36" t="str">
        <x:v>Six smokes/basic gates/actual release build pass. Source tests do not establish real connection disposal. Strict installation follows.</x:v>
      </x:c>
    </x:row>
    <x:row r="317" ht="112.5" customHeight="1">
      <x:c r="A317" s="36" t="str">
        <x:v>E-092</x:v>
      </x:c>
      <x:c r="B317" s="36" t="str">
        <x:v>Independent installed artifact proof</x:v>
      </x:c>
      <x:c r="C317" s="36" t="str">
        <x:v>Amended F44 shell files match source, installation and served UI</x:v>
      </x:c>
      <x:c r="D317" s="36" t="str">
        <x:v>Local evidence (held privately): 092-independent-installed-proof.json</x:v>
      </x:c>
      <x:c r="E317" s="36" t="str">
        <x:v>Clean867bff6f/c7fcad6d; localhost61380 PID20356</x:v>
      </x:c>
      <x:c r="F317" s="36" t="str">
        <x:v>Strict dry-run/init, HTTP200, Runtime/object and eighteen assets pass. Old gateway19662/object19689 and exact managed child17029 exited. No identity/config/profile changes.</x:v>
      </x:c>
    </x:row>
    <x:row r="318" ht="112.5" customHeight="1">
      <x:c r="A318" s="36" t="str">
        <x:v>E-093</x:v>
      </x:c>
      <x:c r="B318" s="36" t="str">
        <x:v>Installed Brave recovery retest</x:v>
      </x:c>
      <x:c r="C318" s="36" t="str">
        <x:v>Persistent recovery and Reload work; Desktop action fails exact origin validation</x:v>
      </x:c>
      <x:c r="D318" s="36" t="str">
        <x:v>Local evidence (held privately): 093-shell-installed-recovery.md</x:v>
      </x:c>
      <x:c r="E318" s="36" t="str">
        <x:v>Installed867bff6f; both direct shell transitions</x:v>
      </x:c>
      <x:c r="F318" s="36" t="str">
        <x:v>Normal switches still fail. Desktop recovery403 requires opaque capsule origin; actual Reload works without sign-out.</x:v>
      </x:c>
    </x:row>
    <x:row r="319" ht="112.5" customHeight="1">
      <x:c r="A319" s="36" t="str">
        <x:v>E-094</x:v>
      </x:c>
      <x:c r="B319" s="36" t="str">
        <x:v>Independent amended source gate</x:v>
      </x:c>
      <x:c r="C319" s="36" t="str">
        <x:v>Host-authority repair passes all seven smokes after fixture correction</x:v>
      </x:c>
      <x:c r="D319" s="36" t="str">
        <x:v>Local evidence (held privately): 094-host-authority-source.md</x:v>
      </x:c>
      <x:c r="E319" s="36" t="str">
        <x:v>Amended clean0018ef0d / 2a690b25;31 ahead/0 behind</x:v>
      </x:c>
      <x:c r="F319" s="36" t="str">
        <x:v>Initialc937 post-attach failure preserved. Corrected fixture refreshes host authority and asserts its exact use. Seven smokes, entropy, diff/fmt and actual release build pass.</x:v>
      </x:c>
    </x:row>
    <x:row r="320" ht="112.5" customHeight="1">
      <x:c r="A320" s="36" t="str">
        <x:v>E-095</x:v>
      </x:c>
      <x:c r="B320" s="36" t="str">
        <x:v>Independent installed artifact proof</x:v>
      </x:c>
      <x:c r="C320" s="36" t="str">
        <x:v>Home-host authority repair matches source, installed and served artifacts</x:v>
      </x:c>
      <x:c r="D320" s="36" t="str">
        <x:v>Local evidence (held privately): 095-independent-installed-proof.json</x:v>
      </x:c>
      <x:c r="E320" s="36" t="str">
        <x:v>Clean0018ef0d /2a690b25; localhost61380 PID22779</x:v>
      </x:c>
      <x:c r="F320" s="36" t="str">
        <x:v>Strict dry-run/init, Runtime/object verification,18UI assets and HTTP200 pass; old gateway20356/object20383/managedchild20705 exited. Identity/config/profile preserved.</x:v>
      </x:c>
    </x:row>
    <x:row r="321" ht="112.5" customHeight="1">
      <x:c r="A321" s="36" t="str">
        <x:v>E-096</x:v>
      </x:c>
      <x:c r="B321" s="36" t="str">
        <x:v>Installed Brave Home-host recovery</x:v>
      </x:c>
      <x:c r="C321" s="36" t="str">
        <x:v>Desktop recovery passes; direct transition and debugger-independent diagnostic remain open</x:v>
      </x:c>
      <x:c r="D321" s="36" t="str">
        <x:v>Local evidence (held privately): 096-shell-host-authority-live.md</x:v>
      </x:c>
      <x:c r="E321" s="36" t="str">
        <x:v>Installed0018ef0d; foreground audit tab</x:v>
      </x:c>
      <x:c r="F321" s="36" t="str">
        <x:v>ActualDesktop action restores signed-in GUI without403. DirectTerminal remains stalled. Native safe-detach path unavailable; debugger cause unproven. User settings preserved.</x:v>
      </x:c>
    </x:row>
    <x:row r="322" ht="112.5" customHeight="1">
      <x:c r="A322" s="36" t="str">
        <x:v>E-097</x:v>
      </x:c>
      <x:c r="B322" s="36" t="str">
        <x:v>Brave appearance controls</x:v>
      </x:c>
      <x:c r="C322" s="36" t="str">
        <x:v>Remaining accents, invalid color, Dock and contrast keyboard checks</x:v>
      </x:c>
      <x:c r="D322" s="36" t="str">
        <x:v>Local evidence (held privately): 097-appearance-controls.md</x:v>
      </x:c>
      <x:c r="E322" s="36" t="str">
        <x:v>Installed0018ef0d; existing Dark/Blue restored</x:v>
      </x:c>
      <x:c r="F322" s="36" t="str">
        <x:v>Eight named choices select; Custom invalid input silently reverts(F59). Auto-hide on/off and overlay55→60→55/off pass. No background/identity changes.</x:v>
      </x:c>
    </x:row>
    <x:row r="323" ht="112.5" customHeight="1">
      <x:c r="A323" s="36" t="str">
        <x:v>E-098</x:v>
      </x:c>
      <x:c r="B323" s="36" t="str">
        <x:v>Independent panel source gate</x:v>
      </x:c>
      <x:c r="C323" s="36" t="str">
        <x:v>Wallet and Inbox template restoration passes source checks</x:v>
      </x:c>
      <x:c r="D323" s="36" t="str">
        <x:v>Local evidence (held privately): 098-wallet-inbox-source.md</x:v>
      </x:c>
      <x:c r="E323" s="36" t="str">
        <x:v>Clean26388f8d/dfd25185;32ahead/0behind</x:v>
      </x:c>
      <x:c r="F323" s="36" t="str">
        <x:v>Existing modules/CSS/authority reused; hidden/inert panels and exactIDs guarded. Four smokes, entropy, diff/fmt and actualbuild pass.</x:v>
      </x:c>
    </x:row>
    <x:row r="324" ht="112.5" customHeight="1">
      <x:c r="A324" s="36" t="str">
        <x:v>E-099</x:v>
      </x:c>
      <x:c r="B324" s="36" t="str">
        <x:v>Independent installed artifact proof</x:v>
      </x:c>
      <x:c r="C324" s="36" t="str">
        <x:v>Restored panels match reviewed, installed and served template</x:v>
      </x:c>
      <x:c r="D324" s="36" t="str">
        <x:v>Local evidence (held privately): 099-independent-installed-proof.json</x:v>
      </x:c>
      <x:c r="E324" s="36" t="str">
        <x:v>Clean26388f8d/dfd25185;port61380 PID23918</x:v>
      </x:c>
      <x:c r="F324" s="36" t="str">
        <x:v>Strictdryrun/init and18assets pass. Runtime/object unchanged; exactoldgateway22779/object22806/child23180 exited. Userstate preserved.</x:v>
      </x:c>
    </x:row>
    <x:row r="325" ht="112.5" customHeight="1">
      <x:c r="A325" s="36" t="str">
        <x:v>E-100</x:v>
      </x:c>
      <x:c r="B325" s="36" t="str">
        <x:v>Installed Brave panel retest</x:v>
      </x:c>
      <x:c r="C325" s="36" t="str">
        <x:v>Wallet/Inbox panels, close/focus, window handoff and request navigation pass</x:v>
      </x:c>
      <x:c r="D325" s="36" t="str">
        <x:v>Local evidence (held privately): 100-wallet-inbox-live.md</x:v>
      </x:c>
      <x:c r="E325" s="36" t="str">
        <x:v>Installed26388f8d;foregroundBrave;existing1pendingitem</x:v>
      </x:c>
      <x:c r="F325" s="36" t="str">
        <x:v>Bothpanels/layout,refresh,handoff,Settings,Activity,privacyrestore,history andStatusreview pass. Accounts andpendingrequest unchanged;retry/fundedmasking unforced.</x:v>
      </x:c>
    </x:row>
    <x:row r="326" ht="112.5" customHeight="1">
      <x:c r="A326" s="36" t="str">
        <x:v>E-101</x:v>
      </x:c>
      <x:c r="B326" s="36" t="str">
        <x:v>Installed Terminal action probe</x:v>
      </x:c>
      <x:c r="C326" s="36" t="str">
        <x:v>Library descriptor stays read-only; ready Chat action has no visible result</x:v>
      </x:c>
      <x:c r="D326" s="36" t="str">
        <x:v>Local evidence (held privately): 101-terminal-action-probe.md</x:v>
      </x:c>
      <x:c r="E326" s="36" t="str">
        <x:v>Installed26388f8d; native renderer58e3c972</x:v>
      </x:c>
      <x:c r="F326" s="36" t="str">
        <x:v>Library read-only label is accurate. Ready Chat gives no result beyond30s; later the managed Runtime/renderer exit and retained-output fallback appears. F60 logged; no message sent.</x:v>
      </x:c>
    </x:row>
    <x:row r="327" ht="112.5" customHeight="1">
      <x:c r="A327" s="36" t="str">
        <x:v>E-102</x:v>
      </x:c>
      <x:c r="B327" s="36" t="str">
        <x:v>Independent in-progress source review</x:v>
      </x:c>
      <x:c r="C327" s="36" t="str">
        <x:v>Inbox handoff requires end-to-end intent and exact stale-selection gates</x:v>
      </x:c>
      <x:c r="D327" s="36" t="str">
        <x:v>Local evidence (held privately): 102-inbox-handoff-source-review.md</x:v>
      </x:c>
      <x:c r="E327" s="36" t="str">
        <x:v>Uncommitted F58 candidate; installed26388f8d preserved</x:v>
      </x:c>
      <x:c r="F327" s="36" t="str">
        <x:v>Review caught missing native dispatch, producer-query/authorizer mismatch, and wrong-request fallback for stale explicit selection. Builder is correcting all before install.</x:v>
      </x:c>
    </x:row>
    <x:row r="328" ht="112.5" customHeight="1">
      <x:c r="A328" s="36" t="str">
        <x:v>E-103</x:v>
      </x:c>
      <x:c r="B328" s="36" t="str">
        <x:v>Installed Brave System refresh</x:v>
      </x:c>
      <x:c r="C328" s="36" t="str">
        <x:v>Catalog and technical details refresh retain exact counts</x:v>
      </x:c>
      <x:c r="D328" s="36" t="str">
        <x:v>Local evidence (held privately): 103-system-refresh-live.md</x:v>
      </x:c>
      <x:c r="E328" s="36" t="str">
        <x:v>Installed 26388f8d; System audit window</x:v>
      </x:c>
      <x:c r="F328" s="36" t="str">
        <x:v>33 available items and 49 objects after Refresh. Technical disclosure toggles. Audit System closed; existing Browser preserved.</x:v>
      </x:c>
    </x:row>
    <x:row r="329" ht="112.5" customHeight="1">
      <x:c r="A329" s="36" t="str">
        <x:v>E-104</x:v>
      </x:c>
      <x:c r="B329" s="36" t="str">
        <x:v>Independent source verification</x:v>
      </x:c>
      <x:c r="C329" s="36" t="str">
        <x:v>Native Inbox handoff and exact request selection gates pass</x:v>
      </x:c>
      <x:c r="D329" s="36" t="str">
        <x:v>Local evidence (held privately): 104-inbox-handoff-source.md</x:v>
      </x:c>
      <x:c r="E329" s="36" t="str">
        <x:v>Clean b233d832 / 3f073277</x:v>
      </x:c>
      <x:c r="F329" s="36" t="str">
        <x:v>68 native CLI tests; one Runtime producer and three gateway intent tests; Inbox/CLI smokes, entropy and formatting pass.</x:v>
      </x:c>
    </x:row>
    <x:row r="330" ht="112.5" customHeight="1">
      <x:c r="A330" s="36" t="str">
        <x:v>E-105</x:v>
      </x:c>
      <x:c r="B330" s="36" t="str">
        <x:v>Independent installed parity</x:v>
      </x:c>
      <x:c r="C330" s="36" t="str">
        <x:v>Runtime, native renderer and 19 UI source/installed/served/manifest hashes pass</x:v>
      </x:c>
      <x:c r="D330" s="36" t="str">
        <x:v>Local evidence (held privately): 105-independent-installed-proof.json</x:v>
      </x:c>
      <x:c r="E330" s="36" t="str">
        <x:v>Gateway 28172; clean b233d832; localhost:61380</x:v>
      </x:c>
      <x:c r="F330" s="36" t="str">
        <x:v>105-install-notes.md records the scoped restart and correction of six stale manifest entries (F61). Config, rootfs and Browser service preserved.</x:v>
      </x:c>
    </x:row>
    <x:row r="331" ht="112.5" customHeight="1">
      <x:c r="A331" s="36" t="str">
        <x:v>E-106</x:v>
      </x:c>
      <x:c r="B331" s="36" t="str">
        <x:v>Installed Brave Inbox handoff</x:v>
      </x:c>
      <x:c r="C331" s="36" t="str">
        <x:v>Honest Terminal label verified; Desktop delivery stalls</x:v>
      </x:c>
      <x:c r="D331" s="36" t="str">
        <x:v>Local evidence (held privately): 106-inbox-handoff-live.md</x:v>
      </x:c>
      <x:c r="E331" s="36" t="str">
        <x:v>Native 237b8b94; installed b233d832; gateway28172</x:v>
      </x:c>
      <x:c r="F331" s="36" t="str">
        <x:v>Same pending request. Enter exits native child and starts Desktop transition, blank over30s. Reload restores signed-in Desktop; manual Inbox review retains item. F58 partial, F44 open.</x:v>
      </x:c>
    </x:row>
    <x:row r="332" ht="127.5" customHeight="1">
      <x:c r="A332" s="36" t="str">
        <x:v>E-107</x:v>
      </x:c>
      <x:c r="B332" s="36" t="str">
        <x:v>Independent principles and source review</x:v>
      </x:c>
      <x:c r="C332" s="36" t="str">
        <x:v>All 61 findings reviewed individually using first principles, entropy, Karpathy, ponytail and ElastOS ownership. Fresh remote check found incoming Irzhy 7e4b0dd4; full diff reviewed, not integrated.</x:v>
      </x:c>
      <x:c r="D332" s="36" t="str">
        <x:v>Local evidence (held privately): 107-first-principles-review.md</x:v>
      </x:c>
      <x:c r="E332" s="36" t="str">
        <x:v>Held b233d832 source and existing E-105/E-106 proof; workbook review only.</x:v>
      </x:c>
      <x:c r="F332" s="36" t="str">
        <x:v>Original results preserved. New review tab separates 18 retained fixes, 4 verification gates, 32 active issues and 7 setup/scope/release gates. Incoming stage cleanup issue recorded; no live retest or user-state mutation.</x:v>
      </x:c>
    </x:row>
    <x:row r="333">
      <x:c r="A333" t="str">
        <x:v>E-108</x:v>
      </x:c>
      <x:c r="B333" t="str">
        <x:v>Current candidate installed acceptance</x:v>
      </x:c>
      <x:c r="C333" t="str">
        <x:v>Managed provider resolution, launcher coverage, model readiness, Library visibility, and Browser close cleanup</x:v>
      </x:c>
      <x:c r="D333" t="str">
        <x:v>Direct source, installed hashes, Runtime logs, Brave accessibility state, and process inspection</x:v>
      </x:c>
      <x:c r="E333" t="str">
        <x:v>Clean 37b4195a / tree 36871424; localhost:61380; gateway 97275; managed Runtime 97650</x:v>
      </x:c>
      <x:c r="F333" t="str">
        <x:v>Runtime and Home hashes match the isolated install. All 16 launcher targets open. Browser reached Ready in 38.5 seconds and left zero VM, VZ, TURN, or QEMU process residue after Home Close. Existing account and user data were preserved.</x:v>
      </x:c>
    </x:row>
  </x:sheetData>
  <x:mergeCells>
    <x:mergeCell ref="A1:F1"/>
    <x:mergeCell ref="A2:F3"/>
    <x:mergeCell ref="A5:B5"/>
    <x:mergeCell ref="C5:F5"/>
    <x:mergeCell ref="A6:B6"/>
    <x:mergeCell ref="C6:F6"/>
    <x:mergeCell ref="A7:B7"/>
    <x:mergeCell ref="C7:F7"/>
    <x:mergeCell ref="A8:B8"/>
    <x:mergeCell ref="C8:F8"/>
    <x:mergeCell ref="A9:B9"/>
    <x:mergeCell ref="C9:F9"/>
    <x:mergeCell ref="A10:B10"/>
    <x:mergeCell ref="C10:F10"/>
    <x:mergeCell ref="A11:B11"/>
    <x:mergeCell ref="C11:F11"/>
    <x:mergeCell ref="A12:B12"/>
    <x:mergeCell ref="C12:F12"/>
    <x:mergeCell ref="A13:B13"/>
    <x:mergeCell ref="C13:F13"/>
    <x:mergeCell ref="A14:B14"/>
    <x:mergeCell ref="C14:F14"/>
    <x:mergeCell ref="A15:B15"/>
    <x:mergeCell ref="C15:F15"/>
    <x:mergeCell ref="A16:B16"/>
    <x:mergeCell ref="C16:F16"/>
    <x:mergeCell ref="A17:B17"/>
    <x:mergeCell ref="C17:F17"/>
    <x:mergeCell ref="A18:B18"/>
    <x:mergeCell ref="C18:F18"/>
    <x:mergeCell ref="A19:B19"/>
    <x:mergeCell ref="C19:F19"/>
    <x:mergeCell ref="A20:B20"/>
    <x:mergeCell ref="C20:F20"/>
    <x:mergeCell ref="A21:B21"/>
    <x:mergeCell ref="C21:F21"/>
    <x:mergeCell ref="A22:B22"/>
    <x:mergeCell ref="C22:F22"/>
    <x:mergeCell ref="A23:B23"/>
    <x:mergeCell ref="C23:F23"/>
    <x:mergeCell ref="A24:B24"/>
    <x:mergeCell ref="C24:F24"/>
    <x:mergeCell ref="A27:F27"/>
  </x:mergeCells>
  <x:pageMargins left="0.7" right="0.7" top="0.75" bottom="0.75" header="0.3" footer="0.3"/>
  <x:tableParts count="1">
    <x:tablePart xmlns:r="http://schemas.openxmlformats.org/officeDocument/2006/relationships" r:id="Recef94be20804f9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b72d2226f11342bb"/>
  </x:tableParts>
</x:worksheet>
</file>