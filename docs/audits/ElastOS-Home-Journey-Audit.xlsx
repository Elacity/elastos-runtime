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810b33f85149aa" /></Relationships>
</file>

<file path=xl/workbook.xml><?xml version="1.0" encoding="utf-8"?>
<x:workbook xmlns:x="http://schemas.openxmlformats.org/spreadsheetml/2006/main">
  <x:sheets>
    <x:sheet xmlns:r="http://schemas.openxmlformats.org/officeDocument/2006/relationships" name="Coverage" sheetId="1" r:id="Rd303ead8adae4b83"/>
    <x:sheet xmlns:r="http://schemas.openxmlformats.org/officeDocument/2006/relationships" name="Journey Matrix" sheetId="2" r:id="R25604c9bb2da4545"/>
    <x:sheet xmlns:r="http://schemas.openxmlformats.org/officeDocument/2006/relationships" name="Control Index" sheetId="3" r:id="Rebc861f5a6f54b3b"/>
    <x:sheet xmlns:r="http://schemas.openxmlformats.org/officeDocument/2006/relationships" name="Findings" sheetId="4" r:id="R252f8b61e61d4b01"/>
    <x:sheet xmlns:r="http://schemas.openxmlformats.org/officeDocument/2006/relationships" name="Prioritized Plan" sheetId="5" r:id="Rbbda67d1d6704f8f"/>
    <x:sheet xmlns:r="http://schemas.openxmlformats.org/officeDocument/2006/relationships" name="Read Me + Evidence" sheetId="6" r:id="Rdccc12ef3f274e1b"/>
    <x:sheet xmlns:r="http://schemas.openxmlformats.org/officeDocument/2006/relationships" name="Principles Review" sheetId="7" r:id="R43547c75b7dc4fb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2b71afd5fb4eb7" /><Relationship Type="http://schemas.openxmlformats.org/officeDocument/2006/relationships/theme" Target="/xl/theme/theme1.xml" Id="R1951d6e525d14dbd" /><Relationship Type="http://schemas.openxmlformats.org/officeDocument/2006/relationships/sharedStrings" Target="/xl/sharedStrings.xml" Id="R5d409f0b727d4eb6" /><Relationship Type="http://schemas.openxmlformats.org/officeDocument/2006/relationships/worksheet" Target="/xl/worksheets/sheet1.xml" Id="Rd303ead8adae4b83" /><Relationship Type="http://schemas.openxmlformats.org/officeDocument/2006/relationships/worksheet" Target="/xl/worksheets/sheet2.xml" Id="R25604c9bb2da4545" /><Relationship Type="http://schemas.openxmlformats.org/officeDocument/2006/relationships/worksheet" Target="/xl/worksheets/sheet3.xml" Id="Rebc861f5a6f54b3b" /><Relationship Type="http://schemas.openxmlformats.org/officeDocument/2006/relationships/worksheet" Target="/xl/worksheets/sheet4.xml" Id="R252f8b61e61d4b01" /><Relationship Type="http://schemas.openxmlformats.org/officeDocument/2006/relationships/worksheet" Target="/xl/worksheets/sheet5.xml" Id="Rbbda67d1d6704f8f" /><Relationship Type="http://schemas.openxmlformats.org/officeDocument/2006/relationships/worksheet" Target="/xl/worksheets/sheet6.xml" Id="Rdccc12ef3f274e1b" /><Relationship Type="http://schemas.openxmlformats.org/officeDocument/2006/relationships/worksheet" Target="/xl/worksheets/sheet7.xml" Id="R43547c75b7dc4fb6"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cf337f3dcdb4cf4" /></Relationships>
</file>

<file path=xl/worksheets/_rels/sheet2.xml.rels>&#65279;<?xml version="1.0" encoding="utf-8"?><Relationships xmlns="http://schemas.openxmlformats.org/package/2006/relationships"><Relationship Type="http://schemas.openxmlformats.org/officeDocument/2006/relationships/table" Target="/xl/tables/table2.xml" Id="Rdd865d76e59b475f" /></Relationships>
</file>

<file path=xl/worksheets/_rels/sheet3.xml.rels>&#65279;<?xml version="1.0" encoding="utf-8"?><Relationships xmlns="http://schemas.openxmlformats.org/package/2006/relationships"><Relationship Type="http://schemas.openxmlformats.org/officeDocument/2006/relationships/table" Target="/xl/tables/table3.xml" Id="R9b679907aa1449cf" /><Relationship Type="http://schemas.openxmlformats.org/officeDocument/2006/relationships/table" Target="/xl/tables/table4.xml" Id="R3cd76a6c559e4ca3" /></Relationships>
</file>

<file path=xl/worksheets/_rels/sheet4.xml.rels>&#65279;<?xml version="1.0" encoding="utf-8"?><Relationships xmlns="http://schemas.openxmlformats.org/package/2006/relationships"><Relationship Type="http://schemas.openxmlformats.org/officeDocument/2006/relationships/table" Target="/xl/tables/table5.xml" Id="Rfd547cfe09454ea0" /></Relationships>
</file>

<file path=xl/worksheets/_rels/sheet5.xml.rels>&#65279;<?xml version="1.0" encoding="utf-8"?><Relationships xmlns="http://schemas.openxmlformats.org/package/2006/relationships"><Relationship Type="http://schemas.openxmlformats.org/officeDocument/2006/relationships/table" Target="/xl/tables/table6.xml" Id="Rc292c811d2b14791" /></Relationships>
</file>

<file path=xl/worksheets/_rels/sheet6.xml.rels>&#65279;<?xml version="1.0" encoding="utf-8"?><Relationships xmlns="http://schemas.openxmlformats.org/package/2006/relationships"><Relationship Type="http://schemas.openxmlformats.org/officeDocument/2006/relationships/table" Target="/xl/tables/table7.xml" Id="Re601c2bd9c3344a1" /></Relationships>
</file>

<file path=xl/worksheets/_rels/sheet7.xml.rels>&#65279;<?xml version="1.0" encoding="utf-8"?><Relationships xmlns="http://schemas.openxmlformats.org/package/2006/relationships"><Relationship Type="http://schemas.openxmlformats.org/officeDocument/2006/relationships/table" Target="/xl/tables/table8.xml" Id="R485b724059314d7e"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79</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10</x:v>
      </x:c>
      <x:c r="C36" s="14" t="n">
        <x:f>SUMIFS('Journey Matrix'!$T$7:$T$204,'Journey Matrix'!$P$7:$P$204,A36)</x:f>
        <x:v>10</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9</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2cf337f3dcdb4cf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v>Source 145fec2b, eb25f747, 43b8f830: exact RP/origin ceremony; secure credential persistence; one durable owner operation. Gateway 60, direct handlers 10, owner 7 and identity 48 tests pass. Installed first-owner proof remains open.</x:v>
      </x:c>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v>Source 43b8f830: sign-in resolves an existing active proof binding; orphan credentials cannot create authority. Expired terminal enrollment grants require normal sign-in. Installed verdict unchanged.</x:v>
      </x:c>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v>Source 43b8f830: both registration routes require enabled guest policy and a live Admin before credential effects. Revocation after begin is denied with unchanged stored credentials. Installed policy proof remains open.</x:v>
      </x:c>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v>Source 43b8f830: typed 403 denials; exact claimant recovery after response loss; expiry, revoked binding, concurrent claimant and restart fixtures pass. Installed cancellation/recovery proof remains open.</x:v>
      </x:c>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Source c95cf4c9 and 7c4fc929: verified bootstrap artifacts and bounded local engine lifecycle. Combined model provider tests pass (182 unit, 5 process; one existing ignored case). Existing installed verdict is unchanged.</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Source c95cf4c9/7c4fc929 verifies local engine/model bytes and child lifecycle; fcb8fc5e/0d768415 has hosted/Responses fixtures. Home Agent Stop can persist Stopped before Runtime settles failed/unknown cancellation. UI proof must retain providerRunId and reconcile Runtime state. CID Get remains planned in ed275ba0. Installed first-offer and cancellation proof remain open.</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Combined source model tests preserve missing-config zero offers and invalid-config refusal. Hosted terminal evidence and honest unknown cancellation settlement have fixture coverage; installed negative configuration proof remains open.</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220" customHeight="1">
      <x:c r="A202" s="36" t="str">
        <x:v>AUTH-08</x:v>
      </x:c>
      <x:c r="B202" s="36" t="str">
        <x:v>Home / sign-in</x:v>
      </x:c>
      <x:c r="C202" s="36" t="str">
        <x:v>Operator-admitted HTTPS first owner</x:v>
      </x:c>
      <x:c r="D202" s="36" t="str">
        <x:v>Blocked prerequisite</x:v>
      </x:c>
      <x:c r="E202" s="36" t="str">
        <x:v>Runtime admits one first owner after operator authorization bound to the exact HTTPS origin and RP, followed by user passkey consent.</x:v>
      </x:c>
      <x:c r="F202" s="36" t="str">
        <x:v>Source fixtures only; installed public-origin enrollment remains open.</x:v>
      </x:c>
      <x:c r="G202" s="36" t="str">
        <x:v>controlled-identity</x:v>
      </x:c>
      <x:c r="H202" s="36" t="str">
        <x:v>implemented-source</x:v>
      </x:c>
      <x:c r="I202" s="36" t="str">
        <x:v>Operator enrollment token; Name; Use passkey</x:v>
      </x:c>
      <x:c r="J202" s="36" t="str">
        <x:v>1. Arm one disposable HTTPS Home
2. Enroll with the approved token and a user-operated passkey
3. Confirm one Admin account</x:v>
      </x:c>
      <x:c r="K202" s="36" t="str">
        <x:v>Fresh disposable Home; supported secure host; explicit operator and user consent</x:v>
      </x:c>
      <x:c r="L202" s="36"/>
      <x:c r="M202" s="36"/>
      <x:c r="N202" s="36"/>
      <x:c r="O202" s="36" t="str">
        <x:v>43b8f830; elastos/crates/elastos-server/src/auth.rs; api/auth_gateway.rs; api/handlers/identity.rs; scripts/home-owner-enrollment-smoke.mjs</x:v>
      </x:c>
      <x:c r="P202" s="36" t="str">
        <x:v>home</x:v>
      </x:c>
      <x:c r="Q202" s="36" t="str">
        <x:v>GUI</x:v>
      </x:c>
      <x:c r="R202" s="36" t="n">
        <x:f>IF(AND(Q202='Read Me + Evidence'!$K$11,OR(D202='Read Me + Evidence'!$H$202,D202='Read Me + Evidence'!$H$8,D202='Read Me + Evidence'!$H$9)),1,0)</x:f>
        <x:v>0</x:v>
      </x:c>
      <x:c r="S202" s="36" t="n">
        <x:f>IF(AND(Q202='Read Me + Evidence'!$K$11,D202='Read Me + Evidence'!$H$202),1,0)</x:f>
        <x:v>0</x:v>
      </x:c>
      <x:c r="T202" s="36" t="n">
        <x:f>IF(AND(Q202='Read Me + Evidence'!$K$11,D202&lt;&gt;'Read Me + Evidence'!$H$12),1,0)</x:f>
        <x:v>1</x:v>
      </x:c>
      <x:c r="U202" s="36" t="str">
        <x:v>Both actual route families pass exact binding, denial and concurrent-owner fixtures. Existing user accounts remain outside this test scope.</x:v>
      </x:c>
    </x:row>
    <x:row r="203" ht="220" customHeight="1">
      <x:c r="A203" s="36" t="str">
        <x:v>AUTH-09</x:v>
      </x:c>
      <x:c r="B203" s="36" t="str">
        <x:v>Home / sign-in</x:v>
      </x:c>
      <x:c r="C203" s="36" t="str">
        <x:v>Reload after owner completion response loss</x:v>
      </x:c>
      <x:c r="D203" s="36" t="str">
        <x:v>Blocked prerequisite</x:v>
      </x:c>
      <x:c r="E203" s="36" t="str">
        <x:v>The original claimant resumes the same verified owner operation after reload, with the saved name and one terminal grant.</x:v>
      </x:c>
      <x:c r="F203" s="36" t="str">
        <x:v>Source controller and persisted-route fixtures only; installed reload proof remains open.</x:v>
      </x:c>
      <x:c r="G203" s="36" t="str">
        <x:v>controlled-identity</x:v>
      </x:c>
      <x:c r="H203" s="36" t="str">
        <x:v>implemented-source</x:v>
      </x:c>
      <x:c r="I203" s="36" t="str">
        <x:v>Resume Home setup; claimant cookie</x:v>
      </x:c>
      <x:c r="J203" s="36" t="str">
        <x:v>1. Verify a disposable enrollment
2. Lose its completion response
3. Reload and resume
4. Confirm one account, name and grant</x:v>
      </x:c>
      <x:c r="K203" s="36" t="str">
        <x:v>Disposable authorized enrollment; controlled response interruption</x:v>
      </x:c>
      <x:c r="L203" s="36"/>
      <x:c r="M203" s="36"/>
      <x:c r="N203" s="36"/>
      <x:c r="O203" s="36" t="str">
        <x:v>43b8f830; elastos/crates/elastos-server/src/auth.rs; api/auth_gateway.rs; api/handlers/identity.rs; scripts/home-owner-enrollment-smoke.mjs</x:v>
      </x:c>
      <x:c r="P203" s="36" t="str">
        <x:v>home</x:v>
      </x:c>
      <x:c r="Q203" s="36" t="str">
        <x:v>GUI</x:v>
      </x:c>
      <x:c r="R203" s="36" t="n">
        <x:f>IF(AND(Q203='Read Me + Evidence'!$K$11,OR(D203='Read Me + Evidence'!$H$203,D203='Read Me + Evidence'!$H$8,D203='Read Me + Evidence'!$H$9)),1,0)</x:f>
        <x:v>0</x:v>
      </x:c>
      <x:c r="S203" s="36" t="n">
        <x:f>IF(AND(Q203='Read Me + Evidence'!$K$11,D203='Read Me + Evidence'!$H$203),1,0)</x:f>
        <x:v>0</x:v>
      </x:c>
      <x:c r="T203" s="36" t="n">
        <x:f>IF(AND(Q203='Read Me + Evidence'!$K$11,D203&lt;&gt;'Read Me + Evidence'!$H$12),1,0)</x:f>
        <x:v>1</x:v>
      </x:c>
      <x:c r="U203" s="36" t="str">
        <x:v>Home reload smoke and four persistence-boundary restart fixtures pass. Resume needs no second attestation; an expired terminal grant uses normal sign-in.</x:v>
      </x:c>
    </x:row>
    <x:row r="204" ht="220" customHeight="1">
      <x:c r="A204" s="36" t="str">
        <x:v>AUTH-10</x:v>
      </x:c>
      <x:c r="B204" s="36" t="str">
        <x:v>Home / sign-in</x:v>
      </x:c>
      <x:c r="C204" s="36" t="str">
        <x:v>Denied and competing owner enrollment</x:v>
      </x:c>
      <x:c r="D204" s="36" t="str">
        <x:v>Blocked prerequisite</x:v>
      </x:c>
      <x:c r="E204" s="36" t="str">
        <x:v>Wrong claimant, origin, RP, expiry or revoked proof fails closed; concurrent attempts establish at most one owner.</x:v>
      </x:c>
      <x:c r="F204" s="36" t="str">
        <x:v>Source negative fixtures only; installed controlled-denial proof remains open.</x:v>
      </x:c>
      <x:c r="G204" s="36" t="str">
        <x:v>controlled-identity</x:v>
      </x:c>
      <x:c r="H204" s="36" t="str">
        <x:v>implemented-source</x:v>
      </x:c>
      <x:c r="I204" s="36" t="str">
        <x:v>Enrollment refusal; retry</x:v>
      </x:c>
      <x:c r="J204" s="36" t="str">
        <x:v>1. Use invalid or expired disposable admission
2. Try competing claimants
3. Restart at persistence boundaries
4. Confirm exact state and one winner</x:v>
      </x:c>
      <x:c r="K204" s="36" t="str">
        <x:v>Fresh disposable Home; controlled failures; preserve all existing accounts</x:v>
      </x:c>
      <x:c r="L204" s="36"/>
      <x:c r="M204" s="36"/>
      <x:c r="N204" s="36"/>
      <x:c r="O204" s="36" t="str">
        <x:v>43b8f830; elastos/crates/elastos-server/src/auth.rs; api/auth_gateway.rs; api/handlers/identity.rs; scripts/home-owner-enrollment-smoke.mjs</x:v>
      </x:c>
      <x:c r="P204" s="36" t="str">
        <x:v>home</x:v>
      </x:c>
      <x:c r="Q204" s="36" t="str">
        <x:v>GUI</x:v>
      </x:c>
      <x:c r="R204" s="36" t="n">
        <x:f>IF(AND(Q204='Read Me + Evidence'!$K$11,OR(D204='Read Me + Evidence'!$H$204,D204='Read Me + Evidence'!$H$8,D204='Read Me + Evidence'!$H$9)),1,0)</x:f>
        <x:v>0</x:v>
      </x:c>
      <x:c r="S204" s="36" t="n">
        <x:f>IF(AND(Q204='Read Me + Evidence'!$K$11,D204='Read Me + Evidence'!$H$204),1,0)</x:f>
        <x:v>0</x:v>
      </x:c>
      <x:c r="T204" s="36" t="n">
        <x:f>IF(AND(Q204='Read Me + Evidence'!$K$11,D204&lt;&gt;'Read Me + Evidence'!$H$12),1,0)</x:f>
        <x:v>1</x:v>
      </x:c>
      <x:c r="U204" s="36" t="str">
        <x:v>Typed 403 and no-effect route tests pass; concurrent claim/completion and credential-counter/revocation recovery preserve exact ownership.</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dd865d76e59b475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9b679907aa1449cf"/>
    <x:tablePart xmlns:r="http://schemas.openxmlformats.org/officeDocument/2006/relationships" r:id="R3cd76a6c559e4ca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fd547cfe09454ea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292c811d2b147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601c2bd9c3344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485b724059314d7e"/>
  </x:tableParts>
</x:worksheet>
</file>