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d810b33f85149aa" /></Relationships>
</file>

<file path=xl/workbook.xml><?xml version="1.0" encoding="utf-8"?>
<x:workbook xmlns:x="http://schemas.openxmlformats.org/spreadsheetml/2006/main">
  <x:sheets>
    <x:sheet xmlns:r="http://schemas.openxmlformats.org/officeDocument/2006/relationships" name="Coverage" sheetId="1" r:id="Rd303ead8adae4b83"/>
    <x:sheet xmlns:r="http://schemas.openxmlformats.org/officeDocument/2006/relationships" name="Journey Matrix" sheetId="2" r:id="R25604c9bb2da4545"/>
    <x:sheet xmlns:r="http://schemas.openxmlformats.org/officeDocument/2006/relationships" name="Control Index" sheetId="3" r:id="Rebc861f5a6f54b3b"/>
    <x:sheet xmlns:r="http://schemas.openxmlformats.org/officeDocument/2006/relationships" name="Findings" sheetId="4" r:id="R252f8b61e61d4b01"/>
    <x:sheet xmlns:r="http://schemas.openxmlformats.org/officeDocument/2006/relationships" name="Prioritized Plan" sheetId="5" r:id="Rbbda67d1d6704f8f"/>
    <x:sheet xmlns:r="http://schemas.openxmlformats.org/officeDocument/2006/relationships" name="Read Me + Evidence" sheetId="6" r:id="Rdccc12ef3f274e1b"/>
    <x:sheet xmlns:r="http://schemas.openxmlformats.org/officeDocument/2006/relationships" name="Principles Review" sheetId="7" r:id="R43547c75b7dc4fb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20">
    <x:font>
      <x:sz val="11"/>
      <x:name val="Carlito"/>
    </x:font>
    <x:font>
      <x:sz val="11"/>
      <x:color rgb="FF202B30"/>
      <x:name val="Aptos"/>
    </x:font>
    <x:font>
      <x:b/>
      <x:sz val="20"/>
      <x:color rgb="FFFFFFFF"/>
      <x:name val="Aptos"/>
    </x:font>
    <x:font>
      <x:b/>
      <x:sz val="11"/>
      <x:color rgb="FF202B30"/>
      <x:name val="Aptos"/>
    </x:font>
    <x:font>
      <x:b/>
      <x:sz val="11"/>
      <x:color rgb="FFFFFFFF"/>
      <x:name val="Aptos"/>
    </x:font>
    <x:font>
      <x:sz val="11"/>
      <x:color rgb="FF24567D"/>
      <x:name val="Aptos"/>
    </x:font>
    <x:font>
      <x:b/>
      <x:sz val="12"/>
      <x:color rgb="FFFFFFFF"/>
      <x:name val="Aptos"/>
    </x:font>
    <x:font>
      <x:sz val="11"/>
      <x:color rgb="FF202B30"/>
      <x:name val="Aptos"/>
    </x:font>
    <x:font>
      <x:b/>
      <x:sz val="16"/>
      <x:color rgb="FF086F73"/>
      <x:name val="Aptos"/>
    </x:font>
    <x:font>
      <x:b/>
      <x:sz val="11"/>
      <x:color rgb="FF55666A"/>
      <x:name val="Aptos"/>
    </x:font>
    <x:font>
      <x:sz val="11"/>
      <x:color rgb="FF55666A"/>
      <x:name val="Aptos"/>
    </x:font>
    <x:font>
      <x:b/>
      <x:sz val="11"/>
      <x:color rgb="FF865A12"/>
      <x:name val="Aptos"/>
    </x:font>
    <x:font>
      <x:sz val="11"/>
      <x:color rgb="FF24383B"/>
      <x:name val="Aptos"/>
    </x:font>
    <x:font>
      <x:b/>
      <x:sz val="22"/>
      <x:color rgb="FFFFFFFF"/>
      <x:name val="Aptos"/>
    </x:font>
    <x:font>
      <x:b/>
      <x:sz val="11"/>
      <x:color rgb="FF294347"/>
      <x:name val="Aptos"/>
    </x:font>
    <x:font>
      <x:b/>
      <x:sz val="14"/>
      <x:color rgb="FF08787D"/>
      <x:name val="Aptos"/>
    </x:font>
    <x:font>
      <x:b/>
      <x:sz val="11"/>
      <x:color rgb="FF885D13"/>
      <x:name val="Aptos"/>
    </x:font>
    <x:font>
      <x:b/>
      <x:sz val="11"/>
      <x:color rgb="FF24383B"/>
      <x:name val="Aptos"/>
    </x:font>
    <x:font>
      <x:b/>
      <x:sz val="16"/>
      <x:color rgb="FF08787D"/>
      <x:name val="Aptos"/>
    </x:font>
    <x:font>
      <x:b/>
      <x:sz val="11"/>
      <x:color rgb="FF08787D"/>
      <x:name val="Aptos"/>
    </x:font>
  </x:fonts>
  <x:fills count="12">
    <x:fill>
      <x:patternFill patternType="none"/>
    </x:fill>
    <x:fill>
      <x:patternFill patternType="gray125"/>
    </x:fill>
    <x:fill>
      <x:patternFill patternType="solid">
        <x:fgColor rgb="FF086F73"/>
      </x:patternFill>
    </x:fill>
    <x:fill>
      <x:patternFill patternType="solid">
        <x:fgColor rgb="FFE8F4F3"/>
      </x:patternFill>
    </x:fill>
    <x:fill>
      <x:patternFill patternType="solid">
        <x:fgColor rgb="FFF2F8FE"/>
      </x:patternFill>
    </x:fill>
    <x:fill>
      <x:patternFill patternType="solid">
        <x:fgColor rgb="FFF3F5F6"/>
      </x:patternFill>
    </x:fill>
    <x:fill>
      <x:patternFill patternType="solid">
        <x:fgColor rgb="FFFFFFFF"/>
      </x:patternFill>
    </x:fill>
    <x:fill>
      <x:patternFill patternType="solid">
        <x:fgColor rgb="FFFFF3D9"/>
      </x:patternFill>
    </x:fill>
    <x:fill>
      <x:patternFill patternType="solid">
        <x:fgColor rgb="FF08787D"/>
      </x:patternFill>
    </x:fill>
    <x:fill>
      <x:patternFill patternType="solid">
        <x:fgColor rgb="FFE7F4F4"/>
      </x:patternFill>
    </x:fill>
    <x:fill>
      <x:patternFill patternType="solid">
        <x:fgColor rgb="FFF4F7F7"/>
      </x:patternFill>
    </x:fill>
    <x:fill>
      <x:patternFill patternType="solid">
        <x:fgColor rgb="FFFFF4DC"/>
      </x:patternFill>
    </x:fill>
  </x:fills>
  <x:borders count="1">
    <x:border/>
  </x:borders>
  <x:cellStyleXfs count="1">
    <x:xf numFmtId="0" fontId="0" fillId="0" borderId="0"/>
  </x:cellStyleXfs>
  <x:cellXfs count="5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6" fillId="2"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3" fillId="5" borderId="0" xfId="0" applyNumberFormat="1" applyFont="1" applyFill="1" applyBorder="1" applyAlignment="1">
      <x:alignment vertical="center" wrapText="1"/>
    </x:xf>
    <x:xf numFmtId="0" fontId="1" fillId="6"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3" fillId="6" borderId="0" xfId="0" applyNumberFormat="1" applyFont="1" applyFill="1" applyBorder="1" applyAlignment="1">
      <x:alignment vertical="center" wrapText="1"/>
    </x:xf>
    <x:xf numFmtId="0" fontId="7" fillId="6" borderId="0" xfId="0" applyNumberFormat="1" applyFont="1" applyFill="1" applyBorder="1" applyAlignment="1">
      <x:alignment vertical="center" wrapText="1"/>
    </x:xf>
    <x:xf numFmtId="0" fontId="8" fillId="3" borderId="0" xfId="0" applyNumberFormat="1" applyFont="1" applyFill="1" applyBorder="1" applyAlignment="1">
      <x:alignment vertical="top" wrapText="1"/>
    </x:xf>
    <x:xf numFmtId="0" fontId="8" fillId="3" borderId="0" xfId="0" applyNumberFormat="1" applyFont="1" applyFill="1" applyBorder="1" applyAlignment="1">
      <x:alignment horizontal="right" vertical="top" wrapText="1"/>
    </x:xf>
    <x:xf numFmtId="0" fontId="8" fillId="3" borderId="0" xfId="0" applyNumberFormat="1" applyFont="1" applyFill="1" applyBorder="1" applyAlignment="1">
      <x:alignment horizontal="right" vertical="center" wrapText="1"/>
    </x:xf>
    <x:xf numFmtId="0" fontId="9" fillId="6" borderId="0" xfId="0" applyNumberFormat="1" applyFont="1" applyFill="1" applyBorder="1" applyAlignment="1">
      <x:alignment vertical="top" wrapText="1"/>
    </x:xf>
    <x:xf numFmtId="0" fontId="9" fillId="6" borderId="0" xfId="0" applyNumberFormat="1" applyFont="1" applyFill="1" applyBorder="1" applyAlignment="1">
      <x:alignment vertical="center" wrapText="1"/>
    </x:xf>
    <x:xf numFmtId="0" fontId="10" fillId="6" borderId="0" xfId="0" applyNumberFormat="1" applyFont="1" applyFill="1" applyBorder="1" applyAlignment="1">
      <x:alignment vertical="center" wrapText="1"/>
    </x:xf>
    <x:xf numFmtId="200" fontId="8" fillId="3" borderId="0" xfId="0" applyNumberFormat="1" applyFont="1" applyFill="1" applyBorder="1" applyAlignment="1">
      <x:alignment horizontal="right" vertical="center" wrapText="1"/>
    </x:xf>
    <x:xf numFmtId="201" fontId="8" fillId="3" borderId="0" xfId="0" applyNumberFormat="1" applyFont="1" applyFill="1" applyBorder="1" applyAlignment="1">
      <x:alignment horizontal="right" vertical="center" wrapText="1"/>
    </x:xf>
    <x:xf numFmtId="0" fontId="1" fillId="7" borderId="0" xfId="0" applyNumberFormat="1" applyFont="1" applyFill="1" applyBorder="1" applyAlignment="1">
      <x:alignment vertical="top" wrapText="1"/>
    </x:xf>
    <x:xf numFmtId="0" fontId="11" fillId="7" borderId="0" xfId="0" applyNumberFormat="1" applyFont="1" applyFill="1" applyBorder="1" applyAlignment="1">
      <x:alignment vertical="top" wrapText="1"/>
    </x:xf>
    <x:xf numFmtId="0" fontId="11" fillId="7"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2" fillId="0" borderId="0" xfId="0" applyNumberFormat="1" applyFont="1" applyFill="1" applyBorder="1"/>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0" fontId="12" fillId="8" borderId="0" xfId="0" applyNumberFormat="1" applyFont="1" applyFill="1" applyBorder="1" applyAlignment="1">
      <x:alignment vertical="top" wrapText="1"/>
    </x:xf>
    <x:xf numFmtId="0" fontId="13" fillId="8" borderId="0" xfId="0" applyNumberFormat="1" applyFont="1" applyFill="1" applyBorder="1" applyAlignment="1">
      <x:alignment vertical="top" wrapText="1"/>
    </x:xf>
    <x:xf numFmtId="0" fontId="13" fillId="8" borderId="0" xfId="0" applyNumberFormat="1" applyFont="1" applyFill="1" applyBorder="1" applyAlignment="1">
      <x:alignment vertical="center" wrapText="1"/>
    </x:xf>
    <x:xf numFmtId="0" fontId="6" fillId="8" borderId="0" xfId="0" applyNumberFormat="1" applyFont="1" applyFill="1" applyBorder="1" applyAlignment="1">
      <x:alignment vertical="top" wrapText="1"/>
    </x:xf>
    <x:xf numFmtId="0" fontId="6" fillId="8" borderId="0" xfId="0" applyNumberFormat="1" applyFont="1" applyFill="1" applyBorder="1" applyAlignment="1">
      <x:alignment vertical="center" wrapText="1"/>
    </x:xf>
    <x:xf numFmtId="0" fontId="12" fillId="9" borderId="0" xfId="0" applyNumberFormat="1" applyFont="1" applyFill="1" applyBorder="1" applyAlignment="1">
      <x:alignment vertical="top" wrapText="1"/>
    </x:xf>
    <x:xf numFmtId="0" fontId="14" fillId="9" borderId="0" xfId="0" applyNumberFormat="1" applyFont="1" applyFill="1" applyBorder="1" applyAlignment="1">
      <x:alignment vertical="top" wrapText="1"/>
    </x:xf>
    <x:xf numFmtId="0" fontId="15" fillId="9" borderId="0" xfId="0" applyNumberFormat="1" applyFont="1" applyFill="1" applyBorder="1" applyAlignment="1">
      <x:alignment vertical="top" wrapText="1"/>
    </x:xf>
    <x:xf numFmtId="200" fontId="15" fillId="9" borderId="0" xfId="0" applyNumberFormat="1" applyFont="1" applyFill="1" applyBorder="1" applyAlignment="1">
      <x:alignment vertical="top" wrapText="1"/>
    </x:xf>
    <x:xf numFmtId="200" fontId="15" fillId="9" borderId="0" xfId="0" applyNumberFormat="1" applyFont="1" applyFill="1" applyBorder="1" applyAlignment="1">
      <x:alignment horizontal="right" vertical="top" wrapText="1"/>
    </x:xf>
    <x:xf numFmtId="0" fontId="12" fillId="10" borderId="0" xfId="0" applyNumberFormat="1" applyFont="1" applyFill="1" applyBorder="1" applyAlignment="1">
      <x:alignment vertical="top" wrapText="1"/>
    </x:xf>
    <x:xf numFmtId="0" fontId="12" fillId="11" borderId="0" xfId="0" applyNumberFormat="1" applyFont="1" applyFill="1" applyBorder="1" applyAlignment="1">
      <x:alignment vertical="top" wrapText="1"/>
    </x:xf>
    <x:xf numFmtId="0" fontId="16" fillId="11" borderId="0" xfId="0" applyNumberFormat="1" applyFont="1" applyFill="1" applyBorder="1" applyAlignment="1">
      <x:alignment vertical="top" wrapText="1"/>
    </x:xf>
    <x:xf numFmtId="0" fontId="17" fillId="9" borderId="0" xfId="0" applyNumberFormat="1" applyFont="1" applyFill="1" applyBorder="1" applyAlignment="1">
      <x:alignment vertical="top" wrapText="1"/>
    </x:xf>
    <x:xf numFmtId="0" fontId="18" fillId="9" borderId="0" xfId="0" applyNumberFormat="1" applyFont="1" applyFill="1" applyBorder="1" applyAlignment="1">
      <x:alignment vertical="top" wrapText="1"/>
    </x:xf>
    <x:xf numFmtId="200" fontId="18" fillId="9" borderId="0" xfId="0" applyNumberFormat="1" applyFont="1" applyFill="1" applyBorder="1" applyAlignment="1">
      <x:alignment vertical="top" wrapText="1"/>
    </x:xf>
    <x:xf numFmtId="200" fontId="18" fillId="9" borderId="0" xfId="0" applyNumberFormat="1" applyFont="1" applyFill="1" applyBorder="1" applyAlignment="1">
      <x:alignment horizontal="right" vertical="top" wrapText="1"/>
    </x:xf>
    <x:xf numFmtId="0" fontId="19" fillId="0" borderId="0" xfId="0" applyNumberFormat="1" applyFont="1" applyFill="1" applyBorder="1" applyAlignment="1">
      <x:alignment vertical="top" wrapText="1"/>
    </x:xf>
  </x:cellXfs>
  <x:cellStyles count="1">
    <x:cellStyle name="Normal" xfId="0"/>
  </x:cellStyles>
  <x:dxfs count="37">
    <x:dxf>
      <x:font>
        <x:color rgb="FF256545"/>
      </x:font>
      <x:fill>
        <x:patternFill>
          <x:bgColor rgb="FFE8F4EC"/>
        </x:patternFill>
      </x:fill>
    </x:dxf>
    <x:dxf>
      <x:font>
        <x:color rgb="FFA4262C"/>
      </x:font>
      <x:fill>
        <x:patternFill>
          <x:bgColor rgb="FFFCEBED"/>
        </x:patternFill>
      </x:fill>
    </x:dxf>
    <x:dxf>
      <x:font>
        <x:color rgb="FF865A12"/>
      </x:font>
      <x:fill>
        <x:patternFill>
          <x:bgColor rgb="FFFFF3D9"/>
        </x:patternFill>
      </x:fill>
    </x:dxf>
    <x:dxf>
      <x:font>
        <x:color rgb="FF865A12"/>
      </x:font>
      <x:fill>
        <x:patternFill>
          <x:bgColor rgb="FFFFF3D9"/>
        </x:patternFill>
      </x:fill>
    </x:dxf>
    <x:dxf>
      <x:font>
        <x:color rgb="FF65477E"/>
      </x:font>
      <x:fill>
        <x:patternFill>
          <x:bgColor rgb="FFF0EAF7"/>
        </x:patternFill>
      </x:fill>
    </x:dxf>
    <x:dxf>
      <x:font>
        <x:color rgb="FF55666A"/>
      </x:font>
      <x:fill>
        <x:patternFill>
          <x:bgColor rgb="FFF3F5F6"/>
        </x:patternFill>
      </x:fill>
    </x:dxf>
    <x:dxf>
      <x:font>
        <x:color rgb="FF256545"/>
      </x:font>
      <x:fill>
        <x:patternFill>
          <x:bgColor rgb="FFE8F4EC"/>
        </x:patternFill>
      </x:fill>
    </x:dxf>
    <x:dxf>
      <x:font>
        <x:color rgb="FFA4262C"/>
      </x:font>
      <x:fill>
        <x:patternFill>
          <x:bgColor rgb="FFFCEBED"/>
        </x:patternFill>
      </x:fill>
    </x:dxf>
    <x:dxf>
      <x:font>
        <x:color rgb="FF865A12"/>
      </x:font>
      <x:fill>
        <x:patternFill>
          <x:bgColor rgb="FFFFF3D9"/>
        </x:patternFill>
      </x:fill>
    </x:dxf>
    <x:dxf>
      <x:font>
        <x:color rgb="FF865A12"/>
      </x:font>
      <x:fill>
        <x:patternFill>
          <x:bgColor rgb="FFFFF3D9"/>
        </x:patternFill>
      </x:fill>
    </x:dxf>
    <x:dxf>
      <x:font>
        <x:color rgb="FF65477E"/>
      </x:font>
      <x:fill>
        <x:patternFill>
          <x:bgColor rgb="FFF0EAF7"/>
        </x:patternFill>
      </x:fill>
    </x:dxf>
    <x:dxf>
      <x:font>
        <x:color rgb="FF55666A"/>
      </x:font>
      <x:fill>
        <x:patternFill>
          <x:bgColor rgb="FFF3F5F6"/>
        </x:patternFill>
      </x:fill>
    </x:dxf>
    <x:dxf>
      <x:font>
        <x:color rgb="FF256545"/>
      </x:font>
      <x:fill>
        <x:patternFill>
          <x:bgColor rgb="FFE8F4EC"/>
        </x:patternFill>
      </x:fill>
    </x:dxf>
    <x:dxf>
      <x:font>
        <x:color rgb="FFA4262C"/>
      </x:font>
      <x:fill>
        <x:patternFill>
          <x:bgColor rgb="FFFCEBED"/>
        </x:patternFill>
      </x:fill>
    </x:dxf>
    <x:dxf>
      <x:font>
        <x:color rgb="FF865A12"/>
      </x:font>
      <x:fill>
        <x:patternFill>
          <x:bgColor rgb="FFFFF3D9"/>
        </x:patternFill>
      </x:fill>
    </x:dxf>
    <x:dxf>
      <x:font>
        <x:color rgb="FF865A12"/>
      </x:font>
      <x:fill>
        <x:patternFill>
          <x:bgColor rgb="FFFFF3D9"/>
        </x:patternFill>
      </x:fill>
    </x:dxf>
    <x:dxf>
      <x:font>
        <x:color rgb="FF65477E"/>
      </x:font>
      <x:fill>
        <x:patternFill>
          <x:bgColor rgb="FFF0EAF7"/>
        </x:patternFill>
      </x:fill>
    </x:dxf>
    <x:dxf>
      <x:font>
        <x:color rgb="FF55666A"/>
      </x:font>
      <x:fill>
        <x:patternFill>
          <x:bgColor rgb="FFF3F5F6"/>
        </x:patternFill>
      </x:fill>
    </x:dxf>
    <x:dxf>
      <x:font>
        <x:b/>
        <x:color rgb="FFA4262C"/>
      </x:font>
      <x:fill>
        <x:patternFill>
          <x:bgColor rgb="FFFCEBED"/>
        </x:patternFill>
      </x:fill>
    </x:dxf>
    <x:dxf>
      <x:font>
        <x:b/>
        <x:color rgb="FF865A12"/>
      </x:font>
      <x:fill>
        <x:patternFill>
          <x:bgColor rgb="FFFFF3D9"/>
        </x:patternFill>
      </x:fill>
    </x:dxf>
    <x:dxf>
      <x:font>
        <x:b/>
        <x:color rgb="FF55666A"/>
      </x:font>
      <x:fill>
        <x:patternFill>
          <x:bgColor rgb="FFF3F5F6"/>
        </x:patternFill>
      </x:fill>
    </x:dxf>
    <x:dxf>
      <x:font>
        <x:b/>
        <x:color rgb="FF226443"/>
      </x:font>
      <x:fill>
        <x:patternFill>
          <x:bgColor rgb="FFE2F1E8"/>
        </x:patternFill>
      </x:fill>
    </x:dxf>
    <x:dxf>
      <x:font>
        <x:b/>
        <x:color rgb="FF315D8C"/>
      </x:font>
      <x:fill>
        <x:patternFill>
          <x:bgColor rgb="FFEAF1FF"/>
        </x:patternFill>
      </x:fill>
    </x:dxf>
    <x:dxf>
      <x:font>
        <x:b/>
        <x:color rgb="FF983F37"/>
      </x:font>
      <x:fill>
        <x:patternFill>
          <x:bgColor rgb="FFFDE9E7"/>
        </x:patternFill>
      </x:fill>
    </x:dxf>
    <x:dxf>
      <x:font>
        <x:b/>
        <x:color rgb="FF805711"/>
      </x:font>
      <x:fill>
        <x:patternFill>
          <x:bgColor rgb="FFFFF0D4"/>
        </x:patternFill>
      </x:fill>
    </x:dxf>
    <x:dxf>
      <x:font>
        <x:b/>
        <x:color rgb="FF805711"/>
      </x:font>
      <x:fill>
        <x:patternFill>
          <x:bgColor rgb="FFFFF0D4"/>
        </x:patternFill>
      </x:fill>
    </x:dxf>
    <x:dxf>
      <x:font>
        <x:b/>
        <x:color rgb="FF4D5664"/>
      </x:font>
      <x:fill>
        <x:patternFill>
          <x:bgColor rgb="FFEFF0F2"/>
        </x:patternFill>
      </x:fill>
    </x:dxf>
    <x:dxf>
      <x:font>
        <x:b/>
        <x:color rgb="FF4D5664"/>
      </x:font>
      <x:fill>
        <x:patternFill>
          <x:bgColor rgb="FFEFF0F2"/>
        </x:patternFill>
      </x:fill>
    </x:dxf>
    <x:dxf>
      <x:font>
        <x:b/>
        <x:color rgb="FF805711"/>
      </x:font>
      <x:fill>
        <x:patternFill>
          <x:bgColor rgb="FFFFF0D4"/>
        </x:patternFill>
      </x:fill>
    </x:dxf>
    <x:dxf>
      <x:font>
        <x:b/>
        <x:color rgb="FF226443"/>
      </x:font>
      <x:fill>
        <x:patternFill>
          <x:bgColor rgb="FFE2F1E8"/>
        </x:patternFill>
      </x:fill>
    </x:dxf>
    <x:dxf>
      <x:font>
        <x:b/>
        <x:color rgb="FF315D8C"/>
      </x:font>
      <x:fill>
        <x:patternFill>
          <x:bgColor rgb="FFEAF1FF"/>
        </x:patternFill>
      </x:fill>
    </x:dxf>
    <x:dxf>
      <x:font>
        <x:b/>
        <x:color rgb="FF983F37"/>
      </x:font>
      <x:fill>
        <x:patternFill>
          <x:bgColor rgb="FFFDE9E7"/>
        </x:patternFill>
      </x:fill>
    </x:dxf>
    <x:dxf>
      <x:font>
        <x:b/>
        <x:color rgb="FF805711"/>
      </x:font>
      <x:fill>
        <x:patternFill>
          <x:bgColor rgb="FFFFF0D4"/>
        </x:patternFill>
      </x:fill>
    </x:dxf>
    <x:dxf>
      <x:font>
        <x:b/>
        <x:color rgb="FF805711"/>
      </x:font>
      <x:fill>
        <x:patternFill>
          <x:bgColor rgb="FFFFF0D4"/>
        </x:patternFill>
      </x:fill>
    </x:dxf>
    <x:dxf>
      <x:font>
        <x:b/>
        <x:color rgb="FF4D5664"/>
      </x:font>
      <x:fill>
        <x:patternFill>
          <x:bgColor rgb="FFEFF0F2"/>
        </x:patternFill>
      </x:fill>
    </x:dxf>
    <x:dxf>
      <x:font>
        <x:b/>
        <x:color rgb="FF4D5664"/>
      </x:font>
      <x:fill>
        <x:patternFill>
          <x:bgColor rgb="FFEFF0F2"/>
        </x:patternFill>
      </x:fill>
    </x:dxf>
    <x:dxf>
      <x:font>
        <x:b/>
        <x:color rgb="FF805711"/>
      </x:font>
      <x:fill>
        <x:patternFill>
          <x:bgColor rgb="FFFFF0D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2b71afd5fb4eb7" /><Relationship Type="http://schemas.openxmlformats.org/officeDocument/2006/relationships/theme" Target="/xl/theme/theme1.xml" Id="R1951d6e525d14dbd" /><Relationship Type="http://schemas.openxmlformats.org/officeDocument/2006/relationships/sharedStrings" Target="/xl/sharedStrings.xml" Id="R5d409f0b727d4eb6" /><Relationship Type="http://schemas.openxmlformats.org/officeDocument/2006/relationships/worksheet" Target="/xl/worksheets/sheet1.xml" Id="Rd303ead8adae4b83" /><Relationship Type="http://schemas.openxmlformats.org/officeDocument/2006/relationships/worksheet" Target="/xl/worksheets/sheet2.xml" Id="R25604c9bb2da4545" /><Relationship Type="http://schemas.openxmlformats.org/officeDocument/2006/relationships/worksheet" Target="/xl/worksheets/sheet3.xml" Id="Rebc861f5a6f54b3b" /><Relationship Type="http://schemas.openxmlformats.org/officeDocument/2006/relationships/worksheet" Target="/xl/worksheets/sheet4.xml" Id="R252f8b61e61d4b01" /><Relationship Type="http://schemas.openxmlformats.org/officeDocument/2006/relationships/worksheet" Target="/xl/worksheets/sheet5.xml" Id="Rbbda67d1d6704f8f" /><Relationship Type="http://schemas.openxmlformats.org/officeDocument/2006/relationships/worksheet" Target="/xl/worksheets/sheet6.xml" Id="Rdccc12ef3f274e1b" /><Relationship Type="http://schemas.openxmlformats.org/officeDocument/2006/relationships/worksheet" Target="/xl/worksheets/sheet7.xml" Id="R43547c75b7dc4fb6" /></Relationships>
</file>

<file path=xl/tables/table1.xml><?xml version="1.0" encoding="utf-8"?>
<x:table xmlns:x="http://schemas.openxmlformats.org/spreadsheetml/2006/main" id="7" name="CoverageByCapsule" displayName="CoverageByCapsule" ref="A26:K51" headerRowCount="1" totalsRowCount="0" totalsRowShown="0">
  <x:autoFilter ref="A26:K51"/>
  <x:tableColumns count="11">
    <x:tableColumn id="1" name="Capsule / area"/>
    <x:tableColumn id="2" name="Mapped"/>
    <x:tableColumn id="3" name="GUI base"/>
    <x:tableColumn id="4" name="Executed"/>
    <x:tableColumn id="5" name="Pass"/>
    <x:tableColumn id="6" name="Fail"/>
    <x:tableColumn id="7" name="Partial"/>
    <x:tableColumn id="8" name="Blocked tool"/>
    <x:tableColumn id="9" name="Blocked prereq."/>
    <x:tableColumn id="10" name="Installed UI?"/>
    <x:tableColumn id="11" name="Controls"/>
  </x:tableColumns>
  <x:tableStyleInfo name="TableStyleMedium2" showFirstColumn="0" showLastColumn="0" showRowStripes="1" showColumnStripes="0"/>
</x:table>
</file>

<file path=xl/tables/table2.xml><?xml version="1.0" encoding="utf-8"?>
<x:table xmlns:x="http://schemas.openxmlformats.org/spreadsheetml/2006/main" id="1" name="JourneyMatrix" displayName="JourneyMatrix" ref="A6:U204" headerRowCount="1" totalsRowCount="0" totalsRowShown="0">
  <x:autoFilter ref="A6:U204"/>
  <x:tableColumns count="21">
    <x:tableColumn id="1" name="ID"/>
    <x:tableColumn id="2" name="Area"/>
    <x:tableColumn id="3" name="Journey"/>
    <x:tableColumn id="4" name="Live status"/>
    <x:tableColumn id="5" name="Expected behavior"/>
    <x:tableColumn id="6" name="Actual / exact scope"/>
    <x:tableColumn id="7" name="Safety"/>
    <x:tableColumn id="8" name="Source state"/>
    <x:tableColumn id="9" name="Controls / branches"/>
    <x:tableColumn id="10" name="Steps"/>
    <x:tableColumn id="11" name="Prerequisites"/>
    <x:tableColumn id="12" name="Findings"/>
    <x:tableColumn id="13" name="Prior evidence only"/>
    <x:tableColumn id="14" name="Live evidence"/>
    <x:tableColumn id="15" name="Source refs"/>
    <x:tableColumn id="16" name="Capsule"/>
    <x:tableColumn id="17" name="Scope"/>
    <x:tableColumn id="18" name="Observed?"/>
    <x:tableColumn id="19" name="Pass?"/>
    <x:tableColumn id="20" name="GUI base?"/>
    <x:tableColumn id="21" name="Source notes / current gap"/>
  </x:tableColumns>
  <x:tableStyleInfo name="TableStyleMedium2" showFirstColumn="0" showLastColumn="0" showRowStripes="1" showColumnStripes="0"/>
</x:table>
</file>

<file path=xl/tables/table3.xml><?xml version="1.0" encoding="utf-8"?>
<x:table xmlns:x="http://schemas.openxmlformats.org/spreadsheetml/2006/main" id="2" name="ControlIndex" displayName="ControlIndex" ref="A6:L255" headerRowCount="1" totalsRowCount="0" totalsRowShown="0">
  <x:autoFilter ref="A6:L255"/>
  <x:tableColumns count="12">
    <x:tableColumn id="1" name="Control ID"/>
    <x:tableColumn id="2" name="Capsule"/>
    <x:tableColumn id="3" name="Control / accessible label"/>
    <x:tableColumn id="4" name="Type"/>
    <x:tableColumn id="5" name="Live status"/>
    <x:tableColumn id="6" name="Actual / visibility"/>
    <x:tableColumn id="7" name="Element ID / action"/>
    <x:tableColumn id="8" name="Live evidence"/>
    <x:tableColumn id="9" name="Source file / refs"/>
    <x:tableColumn id="10" name="Line"/>
    <x:tableColumn id="11" name="Related dynamic groups"/>
    <x:tableColumn id="12" name="Source kind"/>
  </x:tableColumns>
  <x:tableStyleInfo name="TableStyleMedium2" showFirstColumn="0" showLastColumn="0" showRowStripes="1" showColumnStripes="0"/>
</x:table>
</file>

<file path=xl/tables/table4.xml><?xml version="1.0" encoding="utf-8"?>
<x:table xmlns:x="http://schemas.openxmlformats.org/spreadsheetml/2006/main" id="3" name="DynamicControlGroups" displayName="DynamicControlGroups" ref="A260:L316" headerRowCount="1" totalsRowCount="0" totalsRowShown="0">
  <x:autoFilter ref="A260:L316"/>
  <x:tableColumns count="12">
    <x:tableColumn id="1" name="Control ID"/>
    <x:tableColumn id="2" name="Capsule"/>
    <x:tableColumn id="3" name="Control / accessible label"/>
    <x:tableColumn id="4" name="Type"/>
    <x:tableColumn id="5" name="Live status"/>
    <x:tableColumn id="6" name="Actual / visibility"/>
    <x:tableColumn id="7" name="Element ID / action"/>
    <x:tableColumn id="8" name="Live evidence"/>
    <x:tableColumn id="9" name="Source file / refs"/>
    <x:tableColumn id="10" name="Line"/>
    <x:tableColumn id="11" name="Related dynamic groups"/>
    <x:tableColumn id="12" name="Source kind"/>
  </x:tableColumns>
  <x:tableStyleInfo name="TableStyleMedium2" showFirstColumn="0" showLastColumn="0" showRowStripes="1" showColumnStripes="0"/>
</x:table>
</file>

<file path=xl/tables/table5.xml><?xml version="1.0" encoding="utf-8"?>
<x:table xmlns:x="http://schemas.openxmlformats.org/spreadsheetml/2006/main" id="4" name="AuditFindings" displayName="AuditFindings" ref="A6:L67" headerRowCount="1" totalsRowCount="0" totalsRowShown="0">
  <x:autoFilter ref="A6:L67"/>
  <x:tableColumns count="12">
    <x:tableColumn id="1" name="ID"/>
    <x:tableColumn id="2" name="Priority"/>
    <x:tableColumn id="3" name="Finding"/>
    <x:tableColumn id="4" name="Classification"/>
    <x:tableColumn id="5" name="Disposition"/>
    <x:tableColumn id="6" name="Evidence basis"/>
    <x:tableColumn id="7" name="User impact"/>
    <x:tableColumn id="8" name="Root cause"/>
    <x:tableColumn id="9" name="Smallest next change"/>
    <x:tableColumn id="10" name="Proof to close"/>
    <x:tableColumn id="11" name="Journey IDs"/>
    <x:tableColumn id="12" name="Source refs"/>
  </x:tableColumns>
  <x:tableStyleInfo name="TableStyleMedium2" showFirstColumn="0" showLastColumn="0" showRowStripes="1" showColumnStripes="0"/>
</x:table>
</file>

<file path=xl/tables/table6.xml><?xml version="1.0" encoding="utf-8"?>
<x:table xmlns:x="http://schemas.openxmlformats.org/spreadsheetml/2006/main" id="5" name="PriorityPlan" displayName="PriorityPlan" ref="A6:J67" headerRowCount="1" totalsRowCount="0" totalsRowShown="0">
  <x:autoFilter ref="A6:J67"/>
  <x:tableColumns count="10">
    <x:tableColumn id="1" name="Order"/>
    <x:tableColumn id="2" name="Finding"/>
    <x:tableColumn id="3" name="Priority"/>
    <x:tableColumn id="4" name="Outcome"/>
    <x:tableColumn id="5" name="Suggested owner"/>
    <x:tableColumn id="6" name="Bounded action"/>
    <x:tableColumn id="7" name="Acceptance proof"/>
    <x:tableColumn id="8" name="Dependency / gate"/>
    <x:tableColumn id="9" name="Plan state"/>
    <x:tableColumn id="10" name="Scope note"/>
  </x:tableColumns>
  <x:tableStyleInfo name="TableStyleMedium2" showFirstColumn="0" showLastColumn="0" showRowStripes="1" showColumnStripes="0"/>
</x:table>
</file>

<file path=xl/tables/table7.xml><?xml version="1.0" encoding="utf-8"?>
<x:table xmlns:x="http://schemas.openxmlformats.org/spreadsheetml/2006/main" id="6" name="EvidenceRegister" displayName="EvidenceRegister" ref="A29:F332" headerRowCount="1" totalsRowCount="0" totalsRowShown="0">
  <x:autoFilter ref="A29:F332"/>
  <x:tableColumns count="6">
    <x:tableColumn id="1" name="Evidence ID"/>
    <x:tableColumn id="2" name="Kind"/>
    <x:tableColumn id="3" name="Claim / source"/>
    <x:tableColumn id="4" name="Locator"/>
    <x:tableColumn id="5" name="Evidence level"/>
    <x:tableColumn id="6" name="Scope / limitation"/>
  </x:tableColumns>
  <x:tableStyleInfo name="TableStyleMedium2" showFirstColumn="0" showLastColumn="0" showRowStripes="1" showColumnStripes="0"/>
</x:table>
</file>

<file path=xl/tables/table8.xml><?xml version="1.0" encoding="utf-8"?>
<x:table xmlns:x="http://schemas.openxmlformats.org/spreadsheetml/2006/main" id="8" name="PrinciplesReview" displayName="PrinciplesReview" ref="A15:L76" headerRowCount="1" totalsRowCount="0" totalsRowShown="0">
  <x:autoFilter ref="A15:L76"/>
  <x:tableColumns count="12">
    <x:tableColumn id="1" name="ID"/>
    <x:tableColumn id="2" name="Finding"/>
    <x:tableColumn id="3" name="Review decision"/>
    <x:tableColumn id="4" name="Current priority"/>
    <x:tableColumn id="5" name="First principles / required behavior"/>
    <x:tableColumn id="6" name="Karpathy / evidence and root cause"/>
    <x:tableColumn id="7" name="Ponytail / smallest next action"/>
    <x:tableColumn id="8" name="Entropy / keep, remove or defer"/>
    <x:tableColumn id="9" name="ElastOS alignment / owner"/>
    <x:tableColumn id="10" name="Proof before closure"/>
    <x:tableColumn id="11" name="Dependencies and distinctions"/>
    <x:tableColumn id="12" name="Source and 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cf337f3dcdb4cf4" /></Relationships>
</file>

<file path=xl/worksheets/_rels/sheet2.xml.rels>&#65279;<?xml version="1.0" encoding="utf-8"?><Relationships xmlns="http://schemas.openxmlformats.org/package/2006/relationships"><Relationship Type="http://schemas.openxmlformats.org/officeDocument/2006/relationships/table" Target="/xl/tables/table2.xml" Id="Rdd865d76e59b475f" /></Relationships>
</file>

<file path=xl/worksheets/_rels/sheet3.xml.rels>&#65279;<?xml version="1.0" encoding="utf-8"?><Relationships xmlns="http://schemas.openxmlformats.org/package/2006/relationships"><Relationship Type="http://schemas.openxmlformats.org/officeDocument/2006/relationships/table" Target="/xl/tables/table3.xml" Id="R9b679907aa1449cf" /><Relationship Type="http://schemas.openxmlformats.org/officeDocument/2006/relationships/table" Target="/xl/tables/table4.xml" Id="R3cd76a6c559e4ca3" /></Relationships>
</file>

<file path=xl/worksheets/_rels/sheet4.xml.rels>&#65279;<?xml version="1.0" encoding="utf-8"?><Relationships xmlns="http://schemas.openxmlformats.org/package/2006/relationships"><Relationship Type="http://schemas.openxmlformats.org/officeDocument/2006/relationships/table" Target="/xl/tables/table5.xml" Id="Rfd547cfe09454ea0" /></Relationships>
</file>

<file path=xl/worksheets/_rels/sheet5.xml.rels>&#65279;<?xml version="1.0" encoding="utf-8"?><Relationships xmlns="http://schemas.openxmlformats.org/package/2006/relationships"><Relationship Type="http://schemas.openxmlformats.org/officeDocument/2006/relationships/table" Target="/xl/tables/table6.xml" Id="Rc292c811d2b14791" /></Relationships>
</file>

<file path=xl/worksheets/_rels/sheet6.xml.rels>&#65279;<?xml version="1.0" encoding="utf-8"?><Relationships xmlns="http://schemas.openxmlformats.org/package/2006/relationships"><Relationship Type="http://schemas.openxmlformats.org/officeDocument/2006/relationships/table" Target="/xl/tables/table7.xml" Id="Re601c2bd9c3344a1" /></Relationships>
</file>

<file path=xl/worksheets/_rels/sheet7.xml.rels>&#65279;<?xml version="1.0" encoding="utf-8"?><Relationships xmlns="http://schemas.openxmlformats.org/package/2006/relationships"><Relationship Type="http://schemas.openxmlformats.org/officeDocument/2006/relationships/table" Target="/xl/tables/table8.xml" Id="R485b724059314d7e" /></Relationships>
</file>

<file path=xl/worksheets/sheet1.xml><?xml version="1.0" encoding="utf-8"?>
<x:worksheet xmlns:x="http://schemas.openxmlformats.org/spreadsheetml/2006/main">
  <x:sheetViews>
    <x:sheetView showGridLines="0" workbookViewId="0"/>
  </x:sheetViews>
  <x:sheetFormatPr defaultRowHeight="15"/>
  <x:cols>
    <x:col min="1" max="1" width="20.440000534057617" hidden="0" customWidth="1"/>
    <x:col min="2" max="2" width="8.890000343322754" hidden="0" customWidth="1"/>
    <x:col min="3" max="3" width="10.890000343322754" hidden="0" customWidth="1"/>
    <x:col min="4" max="4" width="9.779999732971191" hidden="0" customWidth="1"/>
    <x:col min="5" max="5" width="8.4399995803833" hidden="0" customWidth="1"/>
    <x:col min="6" max="6" width="8.4399995803833" hidden="0" customWidth="1"/>
    <x:col min="7" max="7" width="10.220000267028809" hidden="0" customWidth="1"/>
    <x:col min="8" max="8" width="12.4399995803833" hidden="0" customWidth="1"/>
    <x:col min="9" max="9" width="11.779999732971191" hidden="0" customWidth="1"/>
    <x:col min="10" max="10" width="12.890000343322754" hidden="0" customWidth="1"/>
    <x:col min="11" max="11" width="12.779999732971191" hidden="0" customWidth="1"/>
  </x:cols>
  <x:sheetData>
    <x:row r="1" ht="31.5" customHeight="1">
      <x:c r="A1" s="6" t="str">
        <x:v>Home GUI Audit / Coverage</x:v>
      </x:c>
      <x:c r="B1" s="6" t="str">
        <x:v>Home GUI Audit / Coverage</x:v>
      </x:c>
      <x:c r="C1" s="6" t="str">
        <x:v>Home GUI Audit / Coverage</x:v>
      </x:c>
      <x:c r="D1" s="6" t="str">
        <x:v>Home GUI Audit / Coverage</x:v>
      </x:c>
      <x:c r="E1" s="6" t="str">
        <x:v>Home GUI Audit / Coverage</x:v>
      </x:c>
      <x:c r="F1" s="6" t="str">
        <x:v>Home GUI Audit / Coverage</x:v>
      </x:c>
      <x:c r="G1" s="3"/>
      <x:c r="H1" s="3"/>
      <x:c r="I1" s="3"/>
      <x:c r="J1" s="3"/>
      <x:c r="K1" s="3"/>
    </x:row>
    <x:row r="2" ht="16.5" customHeight="1">
      <x:c r="A2" s="9" t="str">
        <x:v>CURRENT INSTALLED AUDIT | Source coverage and observed product behavior remain separate measures.</x:v>
      </x:c>
      <x:c r="B2" s="9" t="str">
        <x:v>CURRENT INSTALLED AUDIT | Source coverage and observed product behavior remain separate measures.</x:v>
      </x:c>
      <x:c r="C2" s="9" t="str">
        <x:v>CURRENT INSTALLED AUDIT | Source coverage and observed product behavior remain separate measures.</x:v>
      </x:c>
      <x:c r="D2" s="9" t="str">
        <x:v>CURRENT INSTALLED AUDIT | Source coverage and observed product behavior remain separate measures.</x:v>
      </x:c>
      <x:c r="E2" s="9" t="str">
        <x:v>CURRENT INSTALLED AUDIT | Source coverage and observed product behavior remain separate measures.</x:v>
      </x:c>
      <x:c r="F2" s="9" t="str">
        <x:v>CURRENT INSTALLED AUDIT | Source coverage and observed product behavior remain separate measures.</x:v>
      </x:c>
      <x:c r="G2" s="3"/>
      <x:c r="H2" s="3"/>
      <x:c r="I2" s="3"/>
      <x:c r="J2" s="3"/>
      <x:c r="K2" s="3"/>
    </x:row>
    <x:row r="3" ht="16.5" customHeight="1">
      <x:c r="A3" s="9" t="str">
        <x:v>CURRENT INSTALLED AUDIT | Source coverage and observed product behavior remain separate measures.</x:v>
      </x:c>
      <x:c r="B3" s="9" t="str">
        <x:v>CURRENT INSTALLED AUDIT | Source coverage and observed product behavior remain separate measures.</x:v>
      </x:c>
      <x:c r="C3" s="9" t="str">
        <x:v>CURRENT INSTALLED AUDIT | Source coverage and observed product behavior remain separate measures.</x:v>
      </x:c>
      <x:c r="D3" s="9" t="str">
        <x:v>CURRENT INSTALLED AUDIT | Source coverage and observed product behavior remain separate measures.</x:v>
      </x:c>
      <x:c r="E3" s="9" t="str">
        <x:v>CURRENT INSTALLED AUDIT | Source coverage and observed product behavior remain separate measures.</x:v>
      </x:c>
      <x:c r="F3" s="9" t="str">
        <x:v>CURRENT INSTALLED AUDIT | Source coverage and observed product behavior remain separate measures.</x:v>
      </x:c>
      <x:c r="G3" s="3"/>
      <x:c r="H3" s="3"/>
      <x:c r="I3" s="3"/>
      <x:c r="J3" s="3"/>
      <x:c r="K3" s="3"/>
    </x:row>
    <x:row r="4" ht="9" customHeight="1">
      <x:c r="A4" s="3"/>
      <x:c r="B4" s="3"/>
      <x:c r="C4" s="3"/>
      <x:c r="D4" s="3"/>
      <x:c r="E4" s="3"/>
      <x:c r="F4" s="3"/>
      <x:c r="G4" s="3"/>
      <x:c r="H4" s="3"/>
      <x:c r="I4" s="3"/>
      <x:c r="J4" s="3"/>
      <x:c r="K4" s="3"/>
    </x:row>
    <x:row r="5" ht="24.75" customHeight="1">
      <x:c r="A5" s="19" t="str">
        <x:v>Journeys mapped</x:v>
      </x:c>
      <x:c r="B5" s="19" t="str">
        <x:v>Journeys mapped</x:v>
      </x:c>
      <x:c r="C5" s="30" t="n">
        <x:f>COUNTA('Journey Matrix'!$A$7:$A$204)</x:f>
        <x:v>198</x:v>
      </x:c>
      <x:c r="D5" s="29" t="str">
        <x:v>Source inventory, not tests passed.</x:v>
      </x:c>
      <x:c r="E5" s="29" t="str">
        <x:v>Source inventory, not tests passed.</x:v>
      </x:c>
      <x:c r="F5" s="29" t="str">
        <x:v>Source inventory, not tests passed.</x:v>
      </x:c>
      <x:c r="G5" s="29" t="str">
        <x:v>Source inventory, not tests passed.</x:v>
      </x:c>
      <x:c r="H5" s="29" t="str">
        <x:v>Source inventory, not tests passed.</x:v>
      </x:c>
      <x:c r="I5" s="29" t="str">
        <x:v>Source inventory, not tests passed.</x:v>
      </x:c>
      <x:c r="J5" s="29" t="str">
        <x:v>Source inventory, not tests passed.</x:v>
      </x:c>
      <x:c r="K5" s="29" t="str">
        <x:v>Source inventory, not tests passed.</x:v>
      </x:c>
    </x:row>
    <x:row r="6" ht="24.75" customHeight="1">
      <x:c r="A6" s="19" t="str">
        <x:v>Static controls indexed</x:v>
      </x:c>
      <x:c r="B6" s="19" t="str">
        <x:v>Static controls indexed</x:v>
      </x:c>
      <x:c r="C6" s="30" t="n">
        <x:f>COUNTA('Control Index'!$A$7:$A$255)</x:f>
        <x:v>249</x:v>
      </x:c>
      <x:c r="D6" s="29" t="str">
        <x:v>Every static control has its own result or explicit blocker.</x:v>
      </x:c>
      <x:c r="E6" s="29" t="str">
        <x:v>Every static control has its own result or explicit blocker.</x:v>
      </x:c>
      <x:c r="F6" s="29" t="str">
        <x:v>Every static control has its own result or explicit blocker.</x:v>
      </x:c>
      <x:c r="G6" s="29" t="str">
        <x:v>Every static control has its own result or explicit blocker.</x:v>
      </x:c>
      <x:c r="H6" s="29" t="str">
        <x:v>Every static control has its own result or explicit blocker.</x:v>
      </x:c>
      <x:c r="I6" s="29" t="str">
        <x:v>Every static control has its own result or explicit blocker.</x:v>
      </x:c>
      <x:c r="J6" s="29" t="str">
        <x:v>Every static control has its own result or explicit blocker.</x:v>
      </x:c>
      <x:c r="K6" s="29" t="str">
        <x:v>Every static control has its own result or explicit blocker.</x:v>
      </x:c>
    </x:row>
    <x:row r="7" ht="24.75" customHeight="1">
      <x:c r="A7" s="19" t="str">
        <x:v>Installed UI capsules mapped</x:v>
      </x:c>
      <x:c r="B7" s="19" t="str">
        <x:v>Installed UI capsules mapped</x:v>
      </x:c>
      <x:c r="C7" s="30" t="n">
        <x:f>COUNTIFS(J27:J51,"Yes",B27:B51,"&gt;0")</x:f>
        <x:v>22</x:v>
      </x:c>
      <x:c r="D7" s="29" t="str">
        <x:v>Installed capsule roles, not launcher count.</x:v>
      </x:c>
      <x:c r="E7" s="29" t="str">
        <x:v>Installed capsule roles, not launcher count.</x:v>
      </x:c>
      <x:c r="F7" s="29" t="str">
        <x:v>Installed capsule roles, not launcher count.</x:v>
      </x:c>
      <x:c r="G7" s="29" t="str">
        <x:v>Installed capsule roles, not launcher count.</x:v>
      </x:c>
      <x:c r="H7" s="29" t="str">
        <x:v>Installed capsule roles, not launcher count.</x:v>
      </x:c>
      <x:c r="I7" s="29" t="str">
        <x:v>Installed capsule roles, not launcher count.</x:v>
      </x:c>
      <x:c r="J7" s="29" t="str">
        <x:v>Installed capsule roles, not launcher count.</x:v>
      </x:c>
      <x:c r="K7" s="29" t="str">
        <x:v>Installed capsule roles, not launcher count.</x:v>
      </x:c>
    </x:row>
    <x:row r="8" ht="24.75" customHeight="1">
      <x:c r="A8" s="19" t="str">
        <x:v>Source mapping coverage</x:v>
      </x:c>
      <x:c r="B8" s="19" t="str">
        <x:v>Source mapping coverage</x:v>
      </x:c>
      <x:c r="C8" s="31" t="n">
        <x:f>IFERROR(C7/COUNTIF(J27:J51,"Yes"),0)</x:f>
        <x:v>1</x:v>
      </x:c>
      <x:c r="D8" s="29" t="str">
        <x:v>At least one mapped journey per installed UI capsule; not exhaustive path/state coverage.</x:v>
      </x:c>
      <x:c r="E8" s="29" t="str">
        <x:v>At least one mapped journey per installed UI capsule; not exhaustive path/state coverage.</x:v>
      </x:c>
      <x:c r="F8" s="29" t="str">
        <x:v>At least one mapped journey per installed UI capsule; not exhaustive path/state coverage.</x:v>
      </x:c>
      <x:c r="G8" s="29" t="str">
        <x:v>At least one mapped journey per installed UI capsule; not exhaustive path/state coverage.</x:v>
      </x:c>
      <x:c r="H8" s="29" t="str">
        <x:v>At least one mapped journey per installed UI capsule; not exhaustive path/state coverage.</x:v>
      </x:c>
      <x:c r="I8" s="29" t="str">
        <x:v>At least one mapped journey per installed UI capsule; not exhaustive path/state coverage.</x:v>
      </x:c>
      <x:c r="J8" s="29" t="str">
        <x:v>At least one mapped journey per installed UI capsule; not exhaustive path/state coverage.</x:v>
      </x:c>
      <x:c r="K8" s="29" t="str">
        <x:v>At least one mapped journey per installed UI capsule; not exhaustive path/state coverage.</x:v>
      </x:c>
    </x:row>
    <x:row r="9" ht="24.75" customHeight="1">
      <x:c r="A9" s="19" t="str">
        <x:v>Applicable GUI journeys</x:v>
      </x:c>
      <x:c r="B9" s="19" t="str">
        <x:v>Applicable GUI journeys</x:v>
      </x:c>
      <x:c r="C9" s="30" t="n">
        <x:f>SUM('Journey Matrix'!$T$7:$T$204)</x:f>
        <x:v>182</x:v>
      </x:c>
      <x:c r="D9" s="29" t="str">
        <x:v>Excludes source-only scope and explicit Not applicable.</x:v>
      </x:c>
      <x:c r="E9" s="29" t="str">
        <x:v>Excludes source-only scope and explicit Not applicable.</x:v>
      </x:c>
      <x:c r="F9" s="29" t="str">
        <x:v>Excludes source-only scope and explicit Not applicable.</x:v>
      </x:c>
      <x:c r="G9" s="29" t="str">
        <x:v>Excludes source-only scope and explicit Not applicable.</x:v>
      </x:c>
      <x:c r="H9" s="29" t="str">
        <x:v>Excludes source-only scope and explicit Not applicable.</x:v>
      </x:c>
      <x:c r="I9" s="29" t="str">
        <x:v>Excludes source-only scope and explicit Not applicable.</x:v>
      </x:c>
      <x:c r="J9" s="29" t="str">
        <x:v>Excludes source-only scope and explicit Not applicable.</x:v>
      </x:c>
      <x:c r="K9" s="29" t="str">
        <x:v>Excludes source-only scope and explicit Not applicable.</x:v>
      </x:c>
    </x:row>
    <x:row r="10" ht="24.75" customHeight="1">
      <x:c r="A10" s="19" t="str">
        <x:v>Observed GUI journeys</x:v>
      </x:c>
      <x:c r="B10" s="19" t="str">
        <x:v>Observed GUI journeys</x:v>
      </x:c>
      <x:c r="C10" s="30" t="n">
        <x:f>SUM('Journey Matrix'!$R$7:$R$204)</x:f>
        <x:v>106</x:v>
      </x:c>
      <x:c r="D10" s="29" t="str">
        <x:v>Pass + Fail + Partially observed; this does not mean full journey completion.</x:v>
      </x:c>
      <x:c r="E10" s="29" t="str">
        <x:v>Pass + Fail + Partially observed; this does not mean full journey completion.</x:v>
      </x:c>
      <x:c r="F10" s="29" t="str">
        <x:v>Pass + Fail + Partially observed; this does not mean full journey completion.</x:v>
      </x:c>
      <x:c r="G10" s="29" t="str">
        <x:v>Pass + Fail + Partially observed; this does not mean full journey completion.</x:v>
      </x:c>
      <x:c r="H10" s="29" t="str">
        <x:v>Pass + Fail + Partially observed; this does not mean full journey completion.</x:v>
      </x:c>
      <x:c r="I10" s="29" t="str">
        <x:v>Pass + Fail + Partially observed; this does not mean full journey completion.</x:v>
      </x:c>
      <x:c r="J10" s="29" t="str">
        <x:v>Pass + Fail + Partially observed; this does not mean full journey completion.</x:v>
      </x:c>
      <x:c r="K10" s="29" t="str">
        <x:v>Pass + Fail + Partially observed; this does not mean full journey completion.</x:v>
      </x:c>
    </x:row>
    <x:row r="11" ht="24.75" customHeight="1">
      <x:c r="A11" s="19" t="str">
        <x:v>Passed GUI journeys</x:v>
      </x:c>
      <x:c r="B11" s="19" t="str">
        <x:v>Passed GUI journeys</x:v>
      </x:c>
      <x:c r="C11" s="30" t="n">
        <x:f>SUM('Journey Matrix'!$S$7:$S$204)</x:f>
        <x:v>19</x:v>
      </x:c>
      <x:c r="D11" s="29" t="str">
        <x:v>Only explicit live Pass.</x:v>
      </x:c>
      <x:c r="E11" s="29" t="str">
        <x:v>Only explicit live Pass.</x:v>
      </x:c>
      <x:c r="F11" s="29" t="str">
        <x:v>Only explicit live Pass.</x:v>
      </x:c>
      <x:c r="G11" s="29" t="str">
        <x:v>Only explicit live Pass.</x:v>
      </x:c>
      <x:c r="H11" s="29" t="str">
        <x:v>Only explicit live Pass.</x:v>
      </x:c>
      <x:c r="I11" s="29" t="str">
        <x:v>Only explicit live Pass.</x:v>
      </x:c>
      <x:c r="J11" s="29" t="str">
        <x:v>Only explicit live Pass.</x:v>
      </x:c>
      <x:c r="K11" s="29" t="str">
        <x:v>Only explicit live Pass.</x:v>
      </x:c>
    </x:row>
    <x:row r="12" ht="24.75" customHeight="1">
      <x:c r="A12" s="19" t="str">
        <x:v>Observation coverage</x:v>
      </x:c>
      <x:c r="B12" s="19" t="str">
        <x:v>Observation coverage</x:v>
      </x:c>
      <x:c r="C12" s="31" t="n">
        <x:f>IFERROR(C10/C9,0)</x:f>
        <x:v>0.5824175824175825</x:v>
      </x:c>
      <x:c r="D12" s="29" t="str">
        <x:v>Observed / applicable GUI journeys. Partial observations remain incomplete.</x:v>
      </x:c>
      <x:c r="E12" s="29" t="str">
        <x:v>Observed / applicable GUI journeys. Partial observations remain incomplete.</x:v>
      </x:c>
      <x:c r="F12" s="29" t="str">
        <x:v>Observed / applicable GUI journeys. Partial observations remain incomplete.</x:v>
      </x:c>
      <x:c r="G12" s="29" t="str">
        <x:v>Observed / applicable GUI journeys. Partial observations remain incomplete.</x:v>
      </x:c>
      <x:c r="H12" s="29" t="str">
        <x:v>Observed / applicable GUI journeys. Partial observations remain incomplete.</x:v>
      </x:c>
      <x:c r="I12" s="29" t="str">
        <x:v>Observed / applicable GUI journeys. Partial observations remain incomplete.</x:v>
      </x:c>
      <x:c r="J12" s="29" t="str">
        <x:v>Observed / applicable GUI journeys. Partial observations remain incomplete.</x:v>
      </x:c>
      <x:c r="K12" s="29" t="str">
        <x:v>Observed / applicable GUI journeys. Partial observations remain incomplete.</x:v>
      </x:c>
    </x:row>
    <x:row r="13" ht="24.75" customHeight="1">
      <x:c r="A13" s="19" t="str">
        <x:v>Pass among observed</x:v>
      </x:c>
      <x:c r="B13" s="19" t="str">
        <x:v>Pass among observed</x:v>
      </x:c>
      <x:c r="C13" s="31" t="n">
        <x:f>IFERROR(C11/C10,0)</x:f>
        <x:v>0.1792452830188679</x:v>
      </x:c>
      <x:c r="D13" s="29" t="str">
        <x:v>Only explicit completed live Pass; a partial observation never counts as Pass.</x:v>
      </x:c>
      <x:c r="E13" s="29" t="str">
        <x:v>Only explicit completed live Pass; a partial observation never counts as Pass.</x:v>
      </x:c>
      <x:c r="F13" s="29" t="str">
        <x:v>Only explicit completed live Pass; a partial observation never counts as Pass.</x:v>
      </x:c>
      <x:c r="G13" s="29" t="str">
        <x:v>Only explicit completed live Pass; a partial observation never counts as Pass.</x:v>
      </x:c>
      <x:c r="H13" s="29" t="str">
        <x:v>Only explicit completed live Pass; a partial observation never counts as Pass.</x:v>
      </x:c>
      <x:c r="I13" s="29" t="str">
        <x:v>Only explicit completed live Pass; a partial observation never counts as Pass.</x:v>
      </x:c>
      <x:c r="J13" s="29" t="str">
        <x:v>Only explicit completed live Pass; a partial observation never counts as Pass.</x:v>
      </x:c>
      <x:c r="K13" s="29" t="str">
        <x:v>Only explicit completed live Pass; a partial observation never counts as Pass.</x:v>
      </x:c>
    </x:row>
    <x:row r="14" ht="24.75" customHeight="1">
      <x:c r="A14" s="19" t="str">
        <x:v>Controls observed</x:v>
      </x:c>
      <x:c r="B14" s="19" t="str">
        <x:v>Controls observed</x:v>
      </x:c>
      <x:c r="C14" s="30" t="n">
        <x:f>COUNTIF('Control Index'!$E$7:$E$255,'Read Me + Evidence'!$H$7)+COUNTIF('Control Index'!$E$7:$E$255,'Read Me + Evidence'!$H$8)+COUNTIF('Control Index'!$E$7:$E$255,'Read Me + Evidence'!$H$9)</x:f>
        <x:v>193</x:v>
      </x:c>
      <x:c r="D14" s="29" t="str">
        <x:v>Pass + Fail + Partially observed. Visibility alone is partial, not a completed activation test.</x:v>
      </x:c>
      <x:c r="E14" s="29" t="str">
        <x:v>Pass + Fail + Partially observed. Visibility alone is partial, not a completed activation test.</x:v>
      </x:c>
      <x:c r="F14" s="29" t="str">
        <x:v>Pass + Fail + Partially observed. Visibility alone is partial, not a completed activation test.</x:v>
      </x:c>
      <x:c r="G14" s="29" t="str">
        <x:v>Pass + Fail + Partially observed. Visibility alone is partial, not a completed activation test.</x:v>
      </x:c>
      <x:c r="H14" s="29" t="str">
        <x:v>Pass + Fail + Partially observed. Visibility alone is partial, not a completed activation test.</x:v>
      </x:c>
      <x:c r="I14" s="29" t="str">
        <x:v>Pass + Fail + Partially observed. Visibility alone is partial, not a completed activation test.</x:v>
      </x:c>
      <x:c r="J14" s="29" t="str">
        <x:v>Pass + Fail + Partially observed. Visibility alone is partial, not a completed activation test.</x:v>
      </x:c>
      <x:c r="K14" s="29" t="str">
        <x:v>Pass + Fail + Partially observed. Visibility alone is partial, not a completed activation test.</x:v>
      </x:c>
    </x:row>
    <x:row r="15" ht="24.75" customHeight="1">
      <x:c r="A15" s="19" t="str">
        <x:v>Control observation</x:v>
      </x:c>
      <x:c r="B15" s="19" t="str">
        <x:v>Control observation</x:v>
      </x:c>
      <x:c r="C15" s="31" t="n">
        <x:f>IFERROR(C14/(C6-COUNTIF('Control Index'!$E$7:$E$255,'Read Me + Evidence'!$H$12)),0)</x:f>
        <x:v>0.7751004016064257</x:v>
      </x:c>
      <x:c r="D15" s="29" t="str">
        <x:v>No inference from journey outcomes.</x:v>
      </x:c>
      <x:c r="E15" s="29" t="str">
        <x:v>No inference from journey outcomes.</x:v>
      </x:c>
      <x:c r="F15" s="29" t="str">
        <x:v>No inference from journey outcomes.</x:v>
      </x:c>
      <x:c r="G15" s="29" t="str">
        <x:v>No inference from journey outcomes.</x:v>
      </x:c>
      <x:c r="H15" s="29" t="str">
        <x:v>No inference from journey outcomes.</x:v>
      </x:c>
      <x:c r="I15" s="29" t="str">
        <x:v>No inference from journey outcomes.</x:v>
      </x:c>
      <x:c r="J15" s="29" t="str">
        <x:v>No inference from journey outcomes.</x:v>
      </x:c>
      <x:c r="K15" s="29" t="str">
        <x:v>No inference from journey outcomes.</x:v>
      </x:c>
    </x:row>
    <x:row r="16" ht="24.75" customHeight="1">
      <x:c r="A16" s="19" t="str">
        <x:v>Tool-blocked journeys</x:v>
      </x:c>
      <x:c r="B16" s="19" t="str">
        <x:v>Tool-blocked journeys</x:v>
      </x:c>
      <x:c r="C16" s="30" t="n">
        <x:f>COUNTIF('Journey Matrix'!$D$7:$D$204,'Read Me + Evidence'!$H$11)</x:f>
        <x:v>1</x:v>
      </x:c>
      <x:c r="D16" s="29" t="str">
        <x:v>Journey count, not blocker-record count. Sky/Brave control failures are not product failures.</x:v>
      </x:c>
      <x:c r="E16" s="29" t="str">
        <x:v>Journey count, not blocker-record count. Sky/Brave control failures are not product failures.</x:v>
      </x:c>
      <x:c r="F16" s="29" t="str">
        <x:v>Journey count, not blocker-record count. Sky/Brave control failures are not product failures.</x:v>
      </x:c>
      <x:c r="G16" s="29" t="str">
        <x:v>Journey count, not blocker-record count. Sky/Brave control failures are not product failures.</x:v>
      </x:c>
      <x:c r="H16" s="29" t="str">
        <x:v>Journey count, not blocker-record count. Sky/Brave control failures are not product failures.</x:v>
      </x:c>
      <x:c r="I16" s="29" t="str">
        <x:v>Journey count, not blocker-record count. Sky/Brave control failures are not product failures.</x:v>
      </x:c>
      <x:c r="J16" s="29" t="str">
        <x:v>Journey count, not blocker-record count. Sky/Brave control failures are not product failures.</x:v>
      </x:c>
      <x:c r="K16" s="29" t="str">
        <x:v>Journey count, not blocker-record count. Sky/Brave control failures are not product failures.</x:v>
      </x:c>
    </x:row>
    <x:row r="17" ht="24.75" customHeight="1">
      <x:c r="A17" s="19" t="str">
        <x:v>Live prerequisite blockers</x:v>
      </x:c>
      <x:c r="B17" s="19" t="str">
        <x:v>Live prerequisite blockers</x:v>
      </x:c>
      <x:c r="C17" s="30" t="n">
        <x:f>COUNTIF('Journey Matrix'!$D$7:$D$204,'Read Me + Evidence'!$H$10)</x:f>
        <x:v>79</x:v>
      </x:c>
      <x:c r="D17" s="29" t="str">
        <x:v>Configuration/fixtures needed before controlled execution.</x:v>
      </x:c>
      <x:c r="E17" s="29" t="str">
        <x:v>Configuration/fixtures needed before controlled execution.</x:v>
      </x:c>
      <x:c r="F17" s="29" t="str">
        <x:v>Configuration/fixtures needed before controlled execution.</x:v>
      </x:c>
      <x:c r="G17" s="29" t="str">
        <x:v>Configuration/fixtures needed before controlled execution.</x:v>
      </x:c>
      <x:c r="H17" s="29" t="str">
        <x:v>Configuration/fixtures needed before controlled execution.</x:v>
      </x:c>
      <x:c r="I17" s="29" t="str">
        <x:v>Configuration/fixtures needed before controlled execution.</x:v>
      </x:c>
      <x:c r="J17" s="29" t="str">
        <x:v>Configuration/fixtures needed before controlled execution.</x:v>
      </x:c>
      <x:c r="K17" s="29" t="str">
        <x:v>Configuration/fixtures needed before controlled execution.</x:v>
      </x:c>
    </x:row>
    <x:row r="18" ht="24.75" customHeight="1">
      <x:c r="A18" s="19" t="str">
        <x:v>Findings recorded</x:v>
      </x:c>
      <x:c r="B18" s="19" t="str">
        <x:v>Findings recorded</x:v>
      </x:c>
      <x:c r="C18" s="30" t="n">
        <x:f>COUNTA('Findings'!$A$7:$A$67)</x:f>
        <x:v>61</x:v>
      </x:c>
      <x:c r="D18" s="29" t="str">
        <x:v>Includes source defects, prerequisites and deferred gaps.</x:v>
      </x:c>
      <x:c r="E18" s="29" t="str">
        <x:v>Includes source defects, prerequisites and deferred gaps.</x:v>
      </x:c>
      <x:c r="F18" s="29" t="str">
        <x:v>Includes source defects, prerequisites and deferred gaps.</x:v>
      </x:c>
      <x:c r="G18" s="29" t="str">
        <x:v>Includes source defects, prerequisites and deferred gaps.</x:v>
      </x:c>
      <x:c r="H18" s="29" t="str">
        <x:v>Includes source defects, prerequisites and deferred gaps.</x:v>
      </x:c>
      <x:c r="I18" s="29" t="str">
        <x:v>Includes source defects, prerequisites and deferred gaps.</x:v>
      </x:c>
      <x:c r="J18" s="29" t="str">
        <x:v>Includes source defects, prerequisites and deferred gaps.</x:v>
      </x:c>
      <x:c r="K18" s="29" t="str">
        <x:v>Includes source defects, prerequisites and deferred gaps.</x:v>
      </x:c>
    </x:row>
    <x:row r="19" ht="24.75" customHeight="1">
      <x:c r="A19" s="19" t="str">
        <x:v>Prior observations retained</x:v>
      </x:c>
      <x:c r="B19" s="19" t="str">
        <x:v>Prior observations retained</x:v>
      </x:c>
      <x:c r="C19" s="30" t="n">
        <x:f>COUNTIF('Read Me + Evidence'!$B$30:$B$257,"Prior report")</x:f>
        <x:v>8</x:v>
      </x:c>
      <x:c r="D19" s="29" t="str">
        <x:v>Evidence-register prior records; does not increase observed/pass totals.</x:v>
      </x:c>
      <x:c r="E19" s="29" t="str">
        <x:v>Evidence-register prior records; does not increase observed/pass totals.</x:v>
      </x:c>
      <x:c r="F19" s="29" t="str">
        <x:v>Evidence-register prior records; does not increase observed/pass totals.</x:v>
      </x:c>
      <x:c r="G19" s="29" t="str">
        <x:v>Evidence-register prior records; does not increase observed/pass totals.</x:v>
      </x:c>
      <x:c r="H19" s="29" t="str">
        <x:v>Evidence-register prior records; does not increase observed/pass totals.</x:v>
      </x:c>
      <x:c r="I19" s="29" t="str">
        <x:v>Evidence-register prior records; does not increase observed/pass totals.</x:v>
      </x:c>
      <x:c r="J19" s="29" t="str">
        <x:v>Evidence-register prior records; does not increase observed/pass totals.</x:v>
      </x:c>
      <x:c r="K19" s="29" t="str">
        <x:v>Evidence-register prior records; does not increase observed/pass totals.</x:v>
      </x:c>
    </x:row>
    <x:row r="20" ht="24.75" customHeight="1">
      <x:c r="A20" s="19" t="str">
        <x:v>Full journeys completed</x:v>
      </x:c>
      <x:c r="B20" s="19" t="str">
        <x:v>Full journeys completed</x:v>
      </x:c>
      <x:c r="C20" s="30" t="n">
        <x:f>COUNTIFS('Journey Matrix'!$Q$7:$Q$204,'Read Me + Evidence'!$K$11,'Journey Matrix'!$D$7:$D$204,'Read Me + Evidence'!$H$7)+COUNTIFS('Journey Matrix'!$Q$7:$Q$204,'Read Me + Evidence'!$K$11,'Journey Matrix'!$D$7:$D$204,'Read Me + Evidence'!$H$8)</x:f>
        <x:v>54</x:v>
      </x:c>
      <x:c r="D20" s="29" t="str">
        <x:v>Only a complete Pass or Fail verdict; partial observations and blockers are excluded.</x:v>
      </x:c>
      <x:c r="E20" s="29" t="str">
        <x:v>Only a complete Pass or Fail verdict; partial observations and blockers are excluded.</x:v>
      </x:c>
      <x:c r="F20" s="29" t="str">
        <x:v>Only a complete Pass or Fail verdict; partial observations and blockers are excluded.</x:v>
      </x:c>
      <x:c r="G20" s="29" t="str">
        <x:v>Only a complete Pass or Fail verdict; partial observations and blockers are excluded.</x:v>
      </x:c>
      <x:c r="H20" s="29" t="str">
        <x:v>Only a complete Pass or Fail verdict; partial observations and blockers are excluded.</x:v>
      </x:c>
      <x:c r="I20" s="29" t="str">
        <x:v>Only a complete Pass or Fail verdict; partial observations and blockers are excluded.</x:v>
      </x:c>
      <x:c r="J20" s="29" t="str">
        <x:v>Only a complete Pass or Fail verdict; partial observations and blockers are excluded.</x:v>
      </x:c>
      <x:c r="K20" s="29" t="str">
        <x:v>Only a complete Pass or Fail verdict; partial observations and blockers are excluded.</x:v>
      </x:c>
    </x:row>
    <x:row r="21" ht="24.75" customHeight="1">
      <x:c r="A21" s="19" t="str">
        <x:v>Full completion coverage</x:v>
      </x:c>
      <x:c r="B21" s="19" t="str">
        <x:v>Full completion coverage</x:v>
      </x:c>
      <x:c r="C21" s="31" t="n">
        <x:f>IFERROR(C20/C9,0)</x:f>
        <x:v>0.2967032967032967</x:v>
      </x:c>
      <x:c r="D21" s="29" t="str">
        <x:v>Full completed journeys / applicable GUI journeys. Source mapping is a different measure.</x:v>
      </x:c>
      <x:c r="E21" s="29" t="str">
        <x:v>Full completed journeys / applicable GUI journeys. Source mapping is a different measure.</x:v>
      </x:c>
      <x:c r="F21" s="29" t="str">
        <x:v>Full completed journeys / applicable GUI journeys. Source mapping is a different measure.</x:v>
      </x:c>
      <x:c r="G21" s="29" t="str">
        <x:v>Full completed journeys / applicable GUI journeys. Source mapping is a different measure.</x:v>
      </x:c>
      <x:c r="H21" s="29" t="str">
        <x:v>Full completed journeys / applicable GUI journeys. Source mapping is a different measure.</x:v>
      </x:c>
      <x:c r="I21" s="29" t="str">
        <x:v>Full completed journeys / applicable GUI journeys. Source mapping is a different measure.</x:v>
      </x:c>
      <x:c r="J21" s="29" t="str">
        <x:v>Full completed journeys / applicable GUI journeys. Source mapping is a different measure.</x:v>
      </x:c>
      <x:c r="K21" s="29" t="str">
        <x:v>Full completed journeys / applicable GUI journeys. Source mapping is a different measure.</x:v>
      </x:c>
    </x:row>
    <x:row r="22">
      <x:c r="A22" s="3"/>
      <x:c r="B22" s="3"/>
      <x:c r="C22" s="3"/>
      <x:c r="D22" s="3"/>
      <x:c r="E22" s="3"/>
      <x:c r="F22" s="3"/>
      <x:c r="G22" s="3"/>
      <x:c r="H22" s="3"/>
      <x:c r="I22" s="3"/>
      <x:c r="J22" s="3"/>
      <x:c r="K22" s="3"/>
    </x:row>
    <x:row r="23">
      <x:c r="A23" s="34" t="str">
        <x:v>Read the two rates separately: source mapping can be complete while live execution remains 0%. Planned work is not a failed control.</x:v>
      </x:c>
      <x:c r="B23" s="34" t="str">
        <x:v>Read the two rates separately: source mapping can be complete while live execution remains 0%. Planned work is not a failed control.</x:v>
      </x:c>
      <x:c r="C23" s="34" t="str">
        <x:v>Read the two rates separately: source mapping can be complete while live execution remains 0%. Planned work is not a failed control.</x:v>
      </x:c>
      <x:c r="D23" s="34" t="str">
        <x:v>Read the two rates separately: source mapping can be complete while live execution remains 0%. Planned work is not a failed control.</x:v>
      </x:c>
      <x:c r="E23" s="34" t="str">
        <x:v>Read the two rates separately: source mapping can be complete while live execution remains 0%. Planned work is not a failed control.</x:v>
      </x:c>
      <x:c r="F23" s="34" t="str">
        <x:v>Read the two rates separately: source mapping can be complete while live execution remains 0%. Planned work is not a failed control.</x:v>
      </x:c>
      <x:c r="G23" s="34" t="str">
        <x:v>Read the two rates separately: source mapping can be complete while live execution remains 0%. Planned work is not a failed control.</x:v>
      </x:c>
      <x:c r="H23" s="34" t="str">
        <x:v>Read the two rates separately: source mapping can be complete while live execution remains 0%. Planned work is not a failed control.</x:v>
      </x:c>
      <x:c r="I23" s="34" t="str">
        <x:v>Read the two rates separately: source mapping can be complete while live execution remains 0%. Planned work is not a failed control.</x:v>
      </x:c>
      <x:c r="J23" s="34" t="str">
        <x:v>Read the two rates separately: source mapping can be complete while live execution remains 0%. Planned work is not a failed control.</x:v>
      </x:c>
      <x:c r="K23" s="34" t="str">
        <x:v>Read the two rates separately: source mapping can be complete while live execution remains 0%. Planned work is not a failed control.</x:v>
      </x:c>
    </x:row>
    <x:row r="24">
      <x:c r="A24" s="34" t="str">
        <x:v>Read the two rates separately: source mapping can be complete while live execution remains 0%. Planned work is not a failed control.</x:v>
      </x:c>
      <x:c r="B24" s="34" t="str">
        <x:v>Read the two rates separately: source mapping can be complete while live execution remains 0%. Planned work is not a failed control.</x:v>
      </x:c>
      <x:c r="C24" s="34" t="str">
        <x:v>Read the two rates separately: source mapping can be complete while live execution remains 0%. Planned work is not a failed control.</x:v>
      </x:c>
      <x:c r="D24" s="34" t="str">
        <x:v>Read the two rates separately: source mapping can be complete while live execution remains 0%. Planned work is not a failed control.</x:v>
      </x:c>
      <x:c r="E24" s="34" t="str">
        <x:v>Read the two rates separately: source mapping can be complete while live execution remains 0%. Planned work is not a failed control.</x:v>
      </x:c>
      <x:c r="F24" s="34" t="str">
        <x:v>Read the two rates separately: source mapping can be complete while live execution remains 0%. Planned work is not a failed control.</x:v>
      </x:c>
      <x:c r="G24" s="34" t="str">
        <x:v>Read the two rates separately: source mapping can be complete while live execution remains 0%. Planned work is not a failed control.</x:v>
      </x:c>
      <x:c r="H24" s="34" t="str">
        <x:v>Read the two rates separately: source mapping can be complete while live execution remains 0%. Planned work is not a failed control.</x:v>
      </x:c>
      <x:c r="I24" s="34" t="str">
        <x:v>Read the two rates separately: source mapping can be complete while live execution remains 0%. Planned work is not a failed control.</x:v>
      </x:c>
      <x:c r="J24" s="34" t="str">
        <x:v>Read the two rates separately: source mapping can be complete while live execution remains 0%. Planned work is not a failed control.</x:v>
      </x:c>
      <x:c r="K24" s="34" t="str">
        <x:v>Read the two rates separately: source mapping can be complete while live execution remains 0%. Planned work is not a failed control.</x:v>
      </x:c>
    </x:row>
    <x:row r="25">
      <x:c r="A25" s="3"/>
      <x:c r="B25" s="3"/>
      <x:c r="C25" s="3"/>
      <x:c r="D25" s="3"/>
      <x:c r="E25" s="3"/>
      <x:c r="F25" s="3"/>
      <x:c r="G25" s="3"/>
      <x:c r="H25" s="3"/>
      <x:c r="I25" s="3"/>
      <x:c r="J25" s="3"/>
      <x:c r="K25" s="3"/>
    </x:row>
    <x:row r="26" ht="28.5" customHeight="1">
      <x:c r="A26" s="11" t="str">
        <x:v>Capsule / area</x:v>
      </x:c>
      <x:c r="B26" s="11" t="str">
        <x:v>Mapped</x:v>
      </x:c>
      <x:c r="C26" s="11" t="str">
        <x:v>GUI base</x:v>
      </x:c>
      <x:c r="D26" s="11" t="str">
        <x:v>Executed</x:v>
      </x:c>
      <x:c r="E26" s="11" t="str">
        <x:v>Pass</x:v>
      </x:c>
      <x:c r="F26" s="11" t="str">
        <x:v>Fail</x:v>
      </x:c>
      <x:c r="G26" s="11" t="str">
        <x:v>Partial</x:v>
      </x:c>
      <x:c r="H26" s="11" t="str">
        <x:v>Blocked tool</x:v>
      </x:c>
      <x:c r="I26" s="11" t="str">
        <x:v>Blocked prereq.</x:v>
      </x:c>
      <x:c r="J26" s="11" t="str">
        <x:v>Installed UI?</x:v>
      </x:c>
      <x:c r="K26" s="11" t="str">
        <x:v>Controls</x:v>
      </x:c>
    </x:row>
    <x:row r="27" ht="25.5" customHeight="1">
      <x:c r="A27" s="3" t="str">
        <x:v>archive-manager</x:v>
      </x:c>
      <x:c r="B27" s="14" t="n">
        <x:f>COUNTIF('Journey Matrix'!$P$7:$P$204,A27)</x:f>
        <x:v>6</x:v>
      </x:c>
      <x:c r="C27" s="14" t="n">
        <x:f>SUMIFS('Journey Matrix'!$T$7:$T$204,'Journey Matrix'!$P$7:$P$204,A27)</x:f>
        <x:v>6</x:v>
      </x:c>
      <x:c r="D27" s="14" t="n">
        <x:f>SUMIFS('Journey Matrix'!$R$7:$R$204,'Journey Matrix'!$P$7:$P$204,A27)</x:f>
        <x:v>5</x:v>
      </x:c>
      <x:c r="E27" s="14" t="n">
        <x:f>SUMIFS('Journey Matrix'!$S$7:$S$204,'Journey Matrix'!$P$7:$P$204,A27)</x:f>
        <x:v>0</x:v>
      </x:c>
      <x:c r="F27" s="14" t="n">
        <x:f>COUNTIFS('Journey Matrix'!$P$7:$P$204,A27,'Journey Matrix'!$D$7:$D$204,'Read Me + Evidence'!$H$8)</x:f>
        <x:v>3</x:v>
      </x:c>
      <x:c r="G27" s="14" t="n">
        <x:f>COUNTIFS('Journey Matrix'!$P$7:$P$204,A27,'Journey Matrix'!$D$7:$D$204,'Read Me + Evidence'!$H$9)</x:f>
        <x:v>2</x:v>
      </x:c>
      <x:c r="H27" s="14" t="n">
        <x:f>COUNTIFS('Journey Matrix'!$P$7:$P$204,A27,'Journey Matrix'!$D$7:$D$204,'Read Me + Evidence'!$H$11)</x:f>
        <x:v>0</x:v>
      </x:c>
      <x:c r="I27" s="14" t="n">
        <x:f>COUNTIFS('Journey Matrix'!$P$7:$P$204,A27,'Journey Matrix'!$D$7:$D$204,'Read Me + Evidence'!$H$10)</x:f>
        <x:v>1</x:v>
      </x:c>
      <x:c r="J27" s="3" t="str">
        <x:v>Yes</x:v>
      </x:c>
      <x:c r="K27" s="14" t="n">
        <x:f>COUNTIF('Control Index'!$B$7:$B$255,A27)</x:f>
        <x:v>11</x:v>
      </x:c>
    </x:row>
    <x:row r="28" ht="25.5" customHeight="1">
      <x:c r="A28" s="3" t="str">
        <x:v>assistant</x:v>
      </x:c>
      <x:c r="B28" s="14" t="n">
        <x:f>COUNTIF('Journey Matrix'!$P$7:$P$204,A28)</x:f>
        <x:v>12</x:v>
      </x:c>
      <x:c r="C28" s="14" t="n">
        <x:f>SUMIFS('Journey Matrix'!$T$7:$T$204,'Journey Matrix'!$P$7:$P$204,A28)</x:f>
        <x:v>12</x:v>
      </x:c>
      <x:c r="D28" s="14" t="n">
        <x:f>SUMIFS('Journey Matrix'!$R$7:$R$204,'Journey Matrix'!$P$7:$P$204,A28)</x:f>
        <x:v>5</x:v>
      </x:c>
      <x:c r="E28" s="14" t="n">
        <x:f>SUMIFS('Journey Matrix'!$S$7:$S$204,'Journey Matrix'!$P$7:$P$204,A28)</x:f>
        <x:v>2</x:v>
      </x:c>
      <x:c r="F28" s="14" t="n">
        <x:f>COUNTIFS('Journey Matrix'!$P$7:$P$204,A28,'Journey Matrix'!$D$7:$D$204,'Read Me + Evidence'!$H$8)</x:f>
        <x:v>0</x:v>
      </x:c>
      <x:c r="G28" s="14" t="n">
        <x:f>COUNTIFS('Journey Matrix'!$P$7:$P$204,A28,'Journey Matrix'!$D$7:$D$204,'Read Me + Evidence'!$H$9)</x:f>
        <x:v>3</x:v>
      </x:c>
      <x:c r="H28" s="14" t="n">
        <x:f>COUNTIFS('Journey Matrix'!$P$7:$P$204,A28,'Journey Matrix'!$D$7:$D$204,'Read Me + Evidence'!$H$11)</x:f>
        <x:v>0</x:v>
      </x:c>
      <x:c r="I28" s="14" t="n">
        <x:f>COUNTIFS('Journey Matrix'!$P$7:$P$204,A28,'Journey Matrix'!$D$7:$D$204,'Read Me + Evidence'!$H$10)</x:f>
        <x:v>7</x:v>
      </x:c>
      <x:c r="J28" s="3" t="str">
        <x:v>Yes</x:v>
      </x:c>
      <x:c r="K28" s="14" t="n">
        <x:f>COUNTIF('Control Index'!$B$7:$B$255,A28)</x:f>
        <x:v>10</x:v>
      </x:c>
    </x:row>
    <x:row r="29" ht="25.5" customHeight="1">
      <x:c r="A29" s="3" t="str">
        <x:v>browser</x:v>
      </x:c>
      <x:c r="B29" s="14" t="n">
        <x:f>COUNTIF('Journey Matrix'!$P$7:$P$204,A29)</x:f>
        <x:v>12</x:v>
      </x:c>
      <x:c r="C29" s="14" t="n">
        <x:f>SUMIFS('Journey Matrix'!$T$7:$T$204,'Journey Matrix'!$P$7:$P$204,A29)</x:f>
        <x:v>12</x:v>
      </x:c>
      <x:c r="D29" s="14" t="n">
        <x:f>SUMIFS('Journey Matrix'!$R$7:$R$204,'Journey Matrix'!$P$7:$P$204,A29)</x:f>
        <x:v>8</x:v>
      </x:c>
      <x:c r="E29" s="14" t="n">
        <x:f>SUMIFS('Journey Matrix'!$S$7:$S$204,'Journey Matrix'!$P$7:$P$204,A29)</x:f>
        <x:v>0</x:v>
      </x:c>
      <x:c r="F29" s="14" t="n">
        <x:f>COUNTIFS('Journey Matrix'!$P$7:$P$204,A29,'Journey Matrix'!$D$7:$D$204,'Read Me + Evidence'!$H$8)</x:f>
        <x:v>5</x:v>
      </x:c>
      <x:c r="G29" s="14" t="n">
        <x:f>COUNTIFS('Journey Matrix'!$P$7:$P$204,A29,'Journey Matrix'!$D$7:$D$204,'Read Me + Evidence'!$H$9)</x:f>
        <x:v>3</x:v>
      </x:c>
      <x:c r="H29" s="14" t="n">
        <x:f>COUNTIFS('Journey Matrix'!$P$7:$P$204,A29,'Journey Matrix'!$D$7:$D$204,'Read Me + Evidence'!$H$11)</x:f>
        <x:v>1</x:v>
      </x:c>
      <x:c r="I29" s="14" t="n">
        <x:f>COUNTIFS('Journey Matrix'!$P$7:$P$204,A29,'Journey Matrix'!$D$7:$D$204,'Read Me + Evidence'!$H$10)</x:f>
        <x:v>3</x:v>
      </x:c>
      <x:c r="J29" s="3" t="str">
        <x:v>Yes</x:v>
      </x:c>
      <x:c r="K29" s="14" t="n">
        <x:f>COUNTIF('Control Index'!$B$7:$B$255,A29)</x:f>
        <x:v>10</x:v>
      </x:c>
    </x:row>
    <x:row r="30" ht="25.5" customHeight="1">
      <x:c r="A30" s="3" t="str">
        <x:v>chat-room</x:v>
      </x:c>
      <x:c r="B30" s="14" t="n">
        <x:f>COUNTIF('Journey Matrix'!$P$7:$P$204,A30)</x:f>
        <x:v>8</x:v>
      </x:c>
      <x:c r="C30" s="14" t="n">
        <x:f>SUMIFS('Journey Matrix'!$T$7:$T$204,'Journey Matrix'!$P$7:$P$204,A30)</x:f>
        <x:v>8</x:v>
      </x:c>
      <x:c r="D30" s="14" t="n">
        <x:f>SUMIFS('Journey Matrix'!$R$7:$R$204,'Journey Matrix'!$P$7:$P$204,A30)</x:f>
        <x:v>4</x:v>
      </x:c>
      <x:c r="E30" s="14" t="n">
        <x:f>SUMIFS('Journey Matrix'!$S$7:$S$204,'Journey Matrix'!$P$7:$P$204,A30)</x:f>
        <x:v>1</x:v>
      </x:c>
      <x:c r="F30" s="14" t="n">
        <x:f>COUNTIFS('Journey Matrix'!$P$7:$P$204,A30,'Journey Matrix'!$D$7:$D$204,'Read Me + Evidence'!$H$8)</x:f>
        <x:v>1</x:v>
      </x:c>
      <x:c r="G30" s="14" t="n">
        <x:f>COUNTIFS('Journey Matrix'!$P$7:$P$204,A30,'Journey Matrix'!$D$7:$D$204,'Read Me + Evidence'!$H$9)</x:f>
        <x:v>2</x:v>
      </x:c>
      <x:c r="H30" s="14" t="n">
        <x:f>COUNTIFS('Journey Matrix'!$P$7:$P$204,A30,'Journey Matrix'!$D$7:$D$204,'Read Me + Evidence'!$H$11)</x:f>
        <x:v>0</x:v>
      </x:c>
      <x:c r="I30" s="14" t="n">
        <x:f>COUNTIFS('Journey Matrix'!$P$7:$P$204,A30,'Journey Matrix'!$D$7:$D$204,'Read Me + Evidence'!$H$10)</x:f>
        <x:v>4</x:v>
      </x:c>
      <x:c r="J30" s="3" t="str">
        <x:v>Yes</x:v>
      </x:c>
      <x:c r="K30" s="14" t="n">
        <x:f>COUNTIF('Control Index'!$B$7:$B$255,A30)</x:f>
        <x:v>27</x:v>
      </x:c>
    </x:row>
    <x:row r="31" ht="25.5" customHeight="1">
      <x:c r="A31" s="3" t="str">
        <x:v>documents</x:v>
      </x:c>
      <x:c r="B31" s="14" t="n">
        <x:f>COUNTIF('Journey Matrix'!$P$7:$P$204,A31)</x:f>
        <x:v>11</x:v>
      </x:c>
      <x:c r="C31" s="14" t="n">
        <x:f>SUMIFS('Journey Matrix'!$T$7:$T$204,'Journey Matrix'!$P$7:$P$204,A31)</x:f>
        <x:v>11</x:v>
      </x:c>
      <x:c r="D31" s="14" t="n">
        <x:f>SUMIFS('Journey Matrix'!$R$7:$R$204,'Journey Matrix'!$P$7:$P$204,A31)</x:f>
        <x:v>10</x:v>
      </x:c>
      <x:c r="E31" s="14" t="n">
        <x:f>SUMIFS('Journey Matrix'!$S$7:$S$204,'Journey Matrix'!$P$7:$P$204,A31)</x:f>
        <x:v>6</x:v>
      </x:c>
      <x:c r="F31" s="14" t="n">
        <x:f>COUNTIFS('Journey Matrix'!$P$7:$P$204,A31,'Journey Matrix'!$D$7:$D$204,'Read Me + Evidence'!$H$8)</x:f>
        <x:v>2</x:v>
      </x:c>
      <x:c r="G31" s="14" t="n">
        <x:f>COUNTIFS('Journey Matrix'!$P$7:$P$204,A31,'Journey Matrix'!$D$7:$D$204,'Read Me + Evidence'!$H$9)</x:f>
        <x:v>2</x:v>
      </x:c>
      <x:c r="H31" s="14" t="n">
        <x:f>COUNTIFS('Journey Matrix'!$P$7:$P$204,A31,'Journey Matrix'!$D$7:$D$204,'Read Me + Evidence'!$H$11)</x:f>
        <x:v>0</x:v>
      </x:c>
      <x:c r="I31" s="14" t="n">
        <x:f>COUNTIFS('Journey Matrix'!$P$7:$P$204,A31,'Journey Matrix'!$D$7:$D$204,'Read Me + Evidence'!$H$10)</x:f>
        <x:v>1</x:v>
      </x:c>
      <x:c r="J31" s="3" t="str">
        <x:v>Yes</x:v>
      </x:c>
      <x:c r="K31" s="14" t="n">
        <x:f>COUNTIF('Control Index'!$B$7:$B$255,A31)</x:f>
        <x:v>27</x:v>
      </x:c>
    </x:row>
    <x:row r="32" ht="25.5" customHeight="1">
      <x:c r="A32" s="3" t="str">
        <x:v>elacity-player</x:v>
      </x:c>
      <x:c r="B32" s="14" t="n">
        <x:f>COUNTIF('Journey Matrix'!$P$7:$P$204,A32)</x:f>
        <x:v>5</x:v>
      </x:c>
      <x:c r="C32" s="14" t="n">
        <x:f>SUMIFS('Journey Matrix'!$T$7:$T$204,'Journey Matrix'!$P$7:$P$204,A32)</x:f>
        <x:v>5</x:v>
      </x:c>
      <x:c r="D32" s="14" t="n">
        <x:f>SUMIFS('Journey Matrix'!$R$7:$R$204,'Journey Matrix'!$P$7:$P$204,A32)</x:f>
        <x:v>1</x:v>
      </x:c>
      <x:c r="E32" s="14" t="n">
        <x:f>SUMIFS('Journey Matrix'!$S$7:$S$204,'Journey Matrix'!$P$7:$P$204,A32)</x:f>
        <x:v>0</x:v>
      </x:c>
      <x:c r="F32" s="14" t="n">
        <x:f>COUNTIFS('Journey Matrix'!$P$7:$P$204,A32,'Journey Matrix'!$D$7:$D$204,'Read Me + Evidence'!$H$8)</x:f>
        <x:v>0</x:v>
      </x:c>
      <x:c r="G32" s="14" t="n">
        <x:f>COUNTIFS('Journey Matrix'!$P$7:$P$204,A32,'Journey Matrix'!$D$7:$D$204,'Read Me + Evidence'!$H$9)</x:f>
        <x:v>1</x:v>
      </x:c>
      <x:c r="H32" s="14" t="n">
        <x:f>COUNTIFS('Journey Matrix'!$P$7:$P$204,A32,'Journey Matrix'!$D$7:$D$204,'Read Me + Evidence'!$H$11)</x:f>
        <x:v>0</x:v>
      </x:c>
      <x:c r="I32" s="14" t="n">
        <x:f>COUNTIFS('Journey Matrix'!$P$7:$P$204,A32,'Journey Matrix'!$D$7:$D$204,'Read Me + Evidence'!$H$10)</x:f>
        <x:v>4</x:v>
      </x:c>
      <x:c r="J32" s="3" t="str">
        <x:v>Yes</x:v>
      </x:c>
      <x:c r="K32" s="14" t="n">
        <x:f>COUNTIF('Control Index'!$B$7:$B$255,A32)</x:f>
        <x:v>0</x:v>
      </x:c>
    </x:row>
    <x:row r="33" ht="25.5" customHeight="1">
      <x:c r="A33" s="3" t="str">
        <x:v>gba-emulator</x:v>
      </x:c>
      <x:c r="B33" s="14" t="n">
        <x:f>COUNTIF('Journey Matrix'!$P$7:$P$204,A33)</x:f>
        <x:v>5</x:v>
      </x:c>
      <x:c r="C33" s="14" t="n">
        <x:f>SUMIFS('Journey Matrix'!$T$7:$T$204,'Journey Matrix'!$P$7:$P$204,A33)</x:f>
        <x:v>5</x:v>
      </x:c>
      <x:c r="D33" s="14" t="n">
        <x:f>SUMIFS('Journey Matrix'!$R$7:$R$204,'Journey Matrix'!$P$7:$P$204,A33)</x:f>
        <x:v>5</x:v>
      </x:c>
      <x:c r="E33" s="14" t="n">
        <x:f>SUMIFS('Journey Matrix'!$S$7:$S$204,'Journey Matrix'!$P$7:$P$204,A33)</x:f>
        <x:v>0</x:v>
      </x:c>
      <x:c r="F33" s="14" t="n">
        <x:f>COUNTIFS('Journey Matrix'!$P$7:$P$204,A33,'Journey Matrix'!$D$7:$D$204,'Read Me + Evidence'!$H$8)</x:f>
        <x:v>3</x:v>
      </x:c>
      <x:c r="G33" s="14" t="n">
        <x:f>COUNTIFS('Journey Matrix'!$P$7:$P$204,A33,'Journey Matrix'!$D$7:$D$204,'Read Me + Evidence'!$H$9)</x:f>
        <x:v>2</x:v>
      </x:c>
      <x:c r="H33" s="14" t="n">
        <x:f>COUNTIFS('Journey Matrix'!$P$7:$P$204,A33,'Journey Matrix'!$D$7:$D$204,'Read Me + Evidence'!$H$11)</x:f>
        <x:v>0</x:v>
      </x:c>
      <x:c r="I33" s="14" t="n">
        <x:f>COUNTIFS('Journey Matrix'!$P$7:$P$204,A33,'Journey Matrix'!$D$7:$D$204,'Read Me + Evidence'!$H$10)</x:f>
        <x:v>0</x:v>
      </x:c>
      <x:c r="J33" s="3" t="str">
        <x:v>Yes</x:v>
      </x:c>
      <x:c r="K33" s="14" t="n">
        <x:f>COUNTIF('Control Index'!$B$7:$B$255,A33)</x:f>
        <x:v>22</x:v>
      </x:c>
    </x:row>
    <x:row r="34" ht="25.5" customHeight="1">
      <x:c r="A34" s="3" t="str">
        <x:v>gba-nonogram</x:v>
      </x:c>
      <x:c r="B34" s="14" t="n">
        <x:f>COUNTIF('Journey Matrix'!$P$7:$P$204,A34)</x:f>
        <x:v>1</x:v>
      </x:c>
      <x:c r="C34" s="14" t="n">
        <x:f>SUMIFS('Journey Matrix'!$T$7:$T$204,'Journey Matrix'!$P$7:$P$204,A34)</x:f>
        <x:v>1</x:v>
      </x:c>
      <x:c r="D34" s="14" t="n">
        <x:f>SUMIFS('Journey Matrix'!$R$7:$R$204,'Journey Matrix'!$P$7:$P$204,A34)</x:f>
        <x:v>1</x:v>
      </x:c>
      <x:c r="E34" s="14" t="n">
        <x:f>SUMIFS('Journey Matrix'!$S$7:$S$204,'Journey Matrix'!$P$7:$P$204,A34)</x:f>
        <x:v>0</x:v>
      </x:c>
      <x:c r="F34" s="14" t="n">
        <x:f>COUNTIFS('Journey Matrix'!$P$7:$P$204,A34,'Journey Matrix'!$D$7:$D$204,'Read Me + Evidence'!$H$8)</x:f>
        <x:v>0</x:v>
      </x:c>
      <x:c r="G34" s="14" t="n">
        <x:f>COUNTIFS('Journey Matrix'!$P$7:$P$204,A34,'Journey Matrix'!$D$7:$D$204,'Read Me + Evidence'!$H$9)</x:f>
        <x:v>1</x:v>
      </x:c>
      <x:c r="H34" s="14" t="n">
        <x:f>COUNTIFS('Journey Matrix'!$P$7:$P$204,A34,'Journey Matrix'!$D$7:$D$204,'Read Me + Evidence'!$H$11)</x:f>
        <x:v>0</x:v>
      </x:c>
      <x:c r="I34" s="14" t="n">
        <x:f>COUNTIFS('Journey Matrix'!$P$7:$P$204,A34,'Journey Matrix'!$D$7:$D$204,'Read Me + Evidence'!$H$10)</x:f>
        <x:v>0</x:v>
      </x:c>
      <x:c r="J34" s="3" t="str">
        <x:v>Yes</x:v>
      </x:c>
      <x:c r="K34" s="14" t="n">
        <x:f>COUNTIF('Control Index'!$B$7:$B$255,A34)</x:f>
        <x:v>0</x:v>
      </x:c>
    </x:row>
    <x:row r="35" ht="25.5" customHeight="1">
      <x:c r="A35" s="3" t="str">
        <x:v>gba-ucity</x:v>
      </x:c>
      <x:c r="B35" s="14" t="n">
        <x:f>COUNTIF('Journey Matrix'!$P$7:$P$204,A35)</x:f>
        <x:v>1</x:v>
      </x:c>
      <x:c r="C35" s="14" t="n">
        <x:f>SUMIFS('Journey Matrix'!$T$7:$T$204,'Journey Matrix'!$P$7:$P$204,A35)</x:f>
        <x:v>1</x:v>
      </x:c>
      <x:c r="D35" s="14" t="n">
        <x:f>SUMIFS('Journey Matrix'!$R$7:$R$204,'Journey Matrix'!$P$7:$P$204,A35)</x:f>
        <x:v>1</x:v>
      </x:c>
      <x:c r="E35" s="14" t="n">
        <x:f>SUMIFS('Journey Matrix'!$S$7:$S$204,'Journey Matrix'!$P$7:$P$204,A35)</x:f>
        <x:v>0</x:v>
      </x:c>
      <x:c r="F35" s="14" t="n">
        <x:f>COUNTIFS('Journey Matrix'!$P$7:$P$204,A35,'Journey Matrix'!$D$7:$D$204,'Read Me + Evidence'!$H$8)</x:f>
        <x:v>1</x:v>
      </x:c>
      <x:c r="G35" s="14" t="n">
        <x:f>COUNTIFS('Journey Matrix'!$P$7:$P$204,A35,'Journey Matrix'!$D$7:$D$204,'Read Me + Evidence'!$H$9)</x:f>
        <x:v>0</x:v>
      </x:c>
      <x:c r="H35" s="14" t="n">
        <x:f>COUNTIFS('Journey Matrix'!$P$7:$P$204,A35,'Journey Matrix'!$D$7:$D$204,'Read Me + Evidence'!$H$11)</x:f>
        <x:v>0</x:v>
      </x:c>
      <x:c r="I35" s="14" t="n">
        <x:f>COUNTIFS('Journey Matrix'!$P$7:$P$204,A35,'Journey Matrix'!$D$7:$D$204,'Read Me + Evidence'!$H$10)</x:f>
        <x:v>0</x:v>
      </x:c>
      <x:c r="J35" s="3" t="str">
        <x:v>Yes</x:v>
      </x:c>
      <x:c r="K35" s="14" t="n">
        <x:f>COUNTIF('Control Index'!$B$7:$B$255,A35)</x:f>
        <x:v>0</x:v>
      </x:c>
    </x:row>
    <x:row r="36" ht="25.5" customHeight="1">
      <x:c r="A36" s="3" t="str">
        <x:v>home</x:v>
      </x:c>
      <x:c r="B36" s="14" t="n">
        <x:f>COUNTIF('Journey Matrix'!$P$7:$P$204,A36)</x:f>
        <x:v>10</x:v>
      </x:c>
      <x:c r="C36" s="14" t="n">
        <x:f>SUMIFS('Journey Matrix'!$T$7:$T$204,'Journey Matrix'!$P$7:$P$204,A36)</x:f>
        <x:v>10</x:v>
      </x:c>
      <x:c r="D36" s="14" t="n">
        <x:f>SUMIFS('Journey Matrix'!$R$7:$R$204,'Journey Matrix'!$P$7:$P$204,A36)</x:f>
        <x:v>1</x:v>
      </x:c>
      <x:c r="E36" s="14" t="n">
        <x:f>SUMIFS('Journey Matrix'!$S$7:$S$204,'Journey Matrix'!$P$7:$P$204,A36)</x:f>
        <x:v>0</x:v>
      </x:c>
      <x:c r="F36" s="14" t="n">
        <x:f>COUNTIFS('Journey Matrix'!$P$7:$P$204,A36,'Journey Matrix'!$D$7:$D$204,'Read Me + Evidence'!$H$8)</x:f>
        <x:v>0</x:v>
      </x:c>
      <x:c r="G36" s="14" t="n">
        <x:f>COUNTIFS('Journey Matrix'!$P$7:$P$204,A36,'Journey Matrix'!$D$7:$D$204,'Read Me + Evidence'!$H$9)</x:f>
        <x:v>1</x:v>
      </x:c>
      <x:c r="H36" s="14" t="n">
        <x:f>COUNTIFS('Journey Matrix'!$P$7:$P$204,A36,'Journey Matrix'!$D$7:$D$204,'Read Me + Evidence'!$H$11)</x:f>
        <x:v>0</x:v>
      </x:c>
      <x:c r="I36" s="14" t="n">
        <x:f>COUNTIFS('Journey Matrix'!$P$7:$P$204,A36,'Journey Matrix'!$D$7:$D$204,'Read Me + Evidence'!$H$10)</x:f>
        <x:v>9</x:v>
      </x:c>
      <x:c r="J36" s="3" t="str">
        <x:v>Yes</x:v>
      </x:c>
      <x:c r="K36" s="14" t="n">
        <x:f>COUNTIF('Control Index'!$B$7:$B$255,A36)</x:f>
        <x:v>9</x:v>
      </x:c>
    </x:row>
    <x:row r="37" ht="25.5" customHeight="1">
      <x:c r="A37" s="3" t="str">
        <x:v>home-cli</x:v>
      </x:c>
      <x:c r="B37" s="14" t="n">
        <x:f>COUNTIF('Journey Matrix'!$P$7:$P$204,A37)</x:f>
        <x:v>5</x:v>
      </x:c>
      <x:c r="C37" s="14" t="n">
        <x:f>SUMIFS('Journey Matrix'!$T$7:$T$204,'Journey Matrix'!$P$7:$P$204,A37)</x:f>
        <x:v>5</x:v>
      </x:c>
      <x:c r="D37" s="14" t="n">
        <x:f>SUMIFS('Journey Matrix'!$R$7:$R$204,'Journey Matrix'!$P$7:$P$204,A37)</x:f>
        <x:v>3</x:v>
      </x:c>
      <x:c r="E37" s="14" t="n">
        <x:f>SUMIFS('Journey Matrix'!$S$7:$S$204,'Journey Matrix'!$P$7:$P$204,A37)</x:f>
        <x:v>0</x:v>
      </x:c>
      <x:c r="F37" s="14" t="n">
        <x:f>COUNTIFS('Journey Matrix'!$P$7:$P$204,A37,'Journey Matrix'!$D$7:$D$204,'Read Me + Evidence'!$H$8)</x:f>
        <x:v>3</x:v>
      </x:c>
      <x:c r="G37" s="14" t="n">
        <x:f>COUNTIFS('Journey Matrix'!$P$7:$P$204,A37,'Journey Matrix'!$D$7:$D$204,'Read Me + Evidence'!$H$9)</x:f>
        <x:v>0</x:v>
      </x:c>
      <x:c r="H37" s="14" t="n">
        <x:f>COUNTIFS('Journey Matrix'!$P$7:$P$204,A37,'Journey Matrix'!$D$7:$D$204,'Read Me + Evidence'!$H$11)</x:f>
        <x:v>0</x:v>
      </x:c>
      <x:c r="I37" s="14" t="n">
        <x:f>COUNTIFS('Journey Matrix'!$P$7:$P$204,A37,'Journey Matrix'!$D$7:$D$204,'Read Me + Evidence'!$H$10)</x:f>
        <x:v>2</x:v>
      </x:c>
      <x:c r="J37" s="3" t="str">
        <x:v>Yes</x:v>
      </x:c>
      <x:c r="K37" s="14" t="n">
        <x:f>COUNTIF('Control Index'!$B$7:$B$255,A37)</x:f>
        <x:v>0</x:v>
      </x:c>
    </x:row>
    <x:row r="38" ht="25.5" customHeight="1">
      <x:c r="A38" s="3" t="str">
        <x:v>home-gui</x:v>
      </x:c>
      <x:c r="B38" s="14" t="n">
        <x:f>COUNTIF('Journey Matrix'!$P$7:$P$204,A38)</x:f>
        <x:v>16</x:v>
      </x:c>
      <x:c r="C38" s="14" t="n">
        <x:f>SUMIFS('Journey Matrix'!$T$7:$T$204,'Journey Matrix'!$P$7:$P$204,A38)</x:f>
        <x:v>16</x:v>
      </x:c>
      <x:c r="D38" s="14" t="n">
        <x:f>SUMIFS('Journey Matrix'!$R$7:$R$204,'Journey Matrix'!$P$7:$P$204,A38)</x:f>
        <x:v>14</x:v>
      </x:c>
      <x:c r="E38" s="14" t="n">
        <x:f>SUMIFS('Journey Matrix'!$S$7:$S$204,'Journey Matrix'!$P$7:$P$204,A38)</x:f>
        <x:v>4</x:v>
      </x:c>
      <x:c r="F38" s="14" t="n">
        <x:f>COUNTIFS('Journey Matrix'!$P$7:$P$204,A38,'Journey Matrix'!$D$7:$D$204,'Read Me + Evidence'!$H$8)</x:f>
        <x:v>4</x:v>
      </x:c>
      <x:c r="G38" s="14" t="n">
        <x:f>COUNTIFS('Journey Matrix'!$P$7:$P$204,A38,'Journey Matrix'!$D$7:$D$204,'Read Me + Evidence'!$H$9)</x:f>
        <x:v>6</x:v>
      </x:c>
      <x:c r="H38" s="14" t="n">
        <x:f>COUNTIFS('Journey Matrix'!$P$7:$P$204,A38,'Journey Matrix'!$D$7:$D$204,'Read Me + Evidence'!$H$11)</x:f>
        <x:v>0</x:v>
      </x:c>
      <x:c r="I38" s="14" t="n">
        <x:f>COUNTIFS('Journey Matrix'!$P$7:$P$204,A38,'Journey Matrix'!$D$7:$D$204,'Read Me + Evidence'!$H$10)</x:f>
        <x:v>2</x:v>
      </x:c>
      <x:c r="J38" s="3" t="str">
        <x:v>Yes</x:v>
      </x:c>
      <x:c r="K38" s="14" t="n">
        <x:f>COUNTIF('Control Index'!$B$7:$B$255,A38)</x:f>
        <x:v>47</x:v>
      </x:c>
    </x:row>
    <x:row r="39" ht="25.5" customHeight="1">
      <x:c r="A39" s="3" t="str">
        <x:v>inbox</x:v>
      </x:c>
      <x:c r="B39" s="14" t="n">
        <x:f>COUNTIF('Journey Matrix'!$P$7:$P$204,A39)</x:f>
        <x:v>7</x:v>
      </x:c>
      <x:c r="C39" s="14" t="n">
        <x:f>SUMIFS('Journey Matrix'!$T$7:$T$204,'Journey Matrix'!$P$7:$P$204,A39)</x:f>
        <x:v>7</x:v>
      </x:c>
      <x:c r="D39" s="14" t="n">
        <x:f>SUMIFS('Journey Matrix'!$R$7:$R$204,'Journey Matrix'!$P$7:$P$204,A39)</x:f>
        <x:v>2</x:v>
      </x:c>
      <x:c r="E39" s="14" t="n">
        <x:f>SUMIFS('Journey Matrix'!$S$7:$S$204,'Journey Matrix'!$P$7:$P$204,A39)</x:f>
        <x:v>0</x:v>
      </x:c>
      <x:c r="F39" s="14" t="n">
        <x:f>COUNTIFS('Journey Matrix'!$P$7:$P$204,A39,'Journey Matrix'!$D$7:$D$204,'Read Me + Evidence'!$H$8)</x:f>
        <x:v>0</x:v>
      </x:c>
      <x:c r="G39" s="14" t="n">
        <x:f>COUNTIFS('Journey Matrix'!$P$7:$P$204,A39,'Journey Matrix'!$D$7:$D$204,'Read Me + Evidence'!$H$9)</x:f>
        <x:v>2</x:v>
      </x:c>
      <x:c r="H39" s="14" t="n">
        <x:f>COUNTIFS('Journey Matrix'!$P$7:$P$204,A39,'Journey Matrix'!$D$7:$D$204,'Read Me + Evidence'!$H$11)</x:f>
        <x:v>0</x:v>
      </x:c>
      <x:c r="I39" s="14" t="n">
        <x:f>COUNTIFS('Journey Matrix'!$P$7:$P$204,A39,'Journey Matrix'!$D$7:$D$204,'Read Me + Evidence'!$H$10)</x:f>
        <x:v>5</x:v>
      </x:c>
      <x:c r="J39" s="3" t="str">
        <x:v>Yes</x:v>
      </x:c>
      <x:c r="K39" s="14" t="n">
        <x:f>COUNTIF('Control Index'!$B$7:$B$255,A39)</x:f>
        <x:v>3</x:v>
      </x:c>
    </x:row>
    <x:row r="40" ht="25.5" customHeight="1">
      <x:c r="A40" s="3" t="str">
        <x:v>library</x:v>
      </x:c>
      <x:c r="B40" s="14" t="n">
        <x:f>COUNTIF('Journey Matrix'!$P$7:$P$204,A40)</x:f>
        <x:v>24</x:v>
      </x:c>
      <x:c r="C40" s="14" t="n">
        <x:f>SUMIFS('Journey Matrix'!$T$7:$T$204,'Journey Matrix'!$P$7:$P$204,A40)</x:f>
        <x:v>23</x:v>
      </x:c>
      <x:c r="D40" s="14" t="n">
        <x:f>SUMIFS('Journey Matrix'!$R$7:$R$204,'Journey Matrix'!$P$7:$P$204,A40)</x:f>
        <x:v>12</x:v>
      </x:c>
      <x:c r="E40" s="14" t="n">
        <x:f>SUMIFS('Journey Matrix'!$S$7:$S$204,'Journey Matrix'!$P$7:$P$204,A40)</x:f>
        <x:v>3</x:v>
      </x:c>
      <x:c r="F40" s="14" t="n">
        <x:f>COUNTIFS('Journey Matrix'!$P$7:$P$204,A40,'Journey Matrix'!$D$7:$D$204,'Read Me + Evidence'!$H$8)</x:f>
        <x:v>5</x:v>
      </x:c>
      <x:c r="G40" s="14" t="n">
        <x:f>COUNTIFS('Journey Matrix'!$P$7:$P$204,A40,'Journey Matrix'!$D$7:$D$204,'Read Me + Evidence'!$H$9)</x:f>
        <x:v>5</x:v>
      </x:c>
      <x:c r="H40" s="14" t="n">
        <x:f>COUNTIFS('Journey Matrix'!$P$7:$P$204,A40,'Journey Matrix'!$D$7:$D$204,'Read Me + Evidence'!$H$11)</x:f>
        <x:v>0</x:v>
      </x:c>
      <x:c r="I40" s="14" t="n">
        <x:f>COUNTIFS('Journey Matrix'!$P$7:$P$204,A40,'Journey Matrix'!$D$7:$D$204,'Read Me + Evidence'!$H$10)</x:f>
        <x:v>11</x:v>
      </x:c>
      <x:c r="J40" s="3" t="str">
        <x:v>Yes</x:v>
      </x:c>
      <x:c r="K40" s="14" t="n">
        <x:f>COUNTIF('Control Index'!$B$7:$B$255,A40)</x:f>
        <x:v>14</x:v>
      </x:c>
    </x:row>
    <x:row r="41" ht="25.5" customHeight="1">
      <x:c r="A41" s="3" t="str">
        <x:v>marketplace</x:v>
      </x:c>
      <x:c r="B41" s="14" t="n">
        <x:f>COUNTIF('Journey Matrix'!$P$7:$P$204,A41)</x:f>
        <x:v>10</x:v>
      </x:c>
      <x:c r="C41" s="14" t="n">
        <x:f>SUMIFS('Journey Matrix'!$T$7:$T$204,'Journey Matrix'!$P$7:$P$204,A41)</x:f>
        <x:v>8</x:v>
      </x:c>
      <x:c r="D41" s="14" t="n">
        <x:f>SUMIFS('Journey Matrix'!$R$7:$R$204,'Journey Matrix'!$P$7:$P$204,A41)</x:f>
        <x:v>5</x:v>
      </x:c>
      <x:c r="E41" s="14" t="n">
        <x:f>SUMIFS('Journey Matrix'!$S$7:$S$204,'Journey Matrix'!$P$7:$P$204,A41)</x:f>
        <x:v>1</x:v>
      </x:c>
      <x:c r="F41" s="14" t="n">
        <x:f>COUNTIFS('Journey Matrix'!$P$7:$P$204,A41,'Journey Matrix'!$D$7:$D$204,'Read Me + Evidence'!$H$8)</x:f>
        <x:v>4</x:v>
      </x:c>
      <x:c r="G41" s="14" t="n">
        <x:f>COUNTIFS('Journey Matrix'!$P$7:$P$204,A41,'Journey Matrix'!$D$7:$D$204,'Read Me + Evidence'!$H$9)</x:f>
        <x:v>2</x:v>
      </x:c>
      <x:c r="H41" s="14" t="n">
        <x:f>COUNTIFS('Journey Matrix'!$P$7:$P$204,A41,'Journey Matrix'!$D$7:$D$204,'Read Me + Evidence'!$H$11)</x:f>
        <x:v>0</x:v>
      </x:c>
      <x:c r="I41" s="14" t="n">
        <x:f>COUNTIFS('Journey Matrix'!$P$7:$P$204,A41,'Journey Matrix'!$D$7:$D$204,'Read Me + Evidence'!$H$10)</x:f>
        <x:v>3</x:v>
      </x:c>
      <x:c r="J41" s="3" t="str">
        <x:v>Yes</x:v>
      </x:c>
      <x:c r="K41" s="14" t="n">
        <x:f>COUNTIF('Control Index'!$B$7:$B$255,A41)</x:f>
        <x:v>4</x:v>
      </x:c>
    </x:row>
    <x:row r="42" ht="25.5" customHeight="1">
      <x:c r="A42" s="3" t="str">
        <x:v>people</x:v>
      </x:c>
      <x:c r="B42" s="14" t="n">
        <x:f>COUNTIF('Journey Matrix'!$P$7:$P$204,A42)</x:f>
        <x:v>6</x:v>
      </x:c>
      <x:c r="C42" s="14" t="n">
        <x:f>SUMIFS('Journey Matrix'!$T$7:$T$204,'Journey Matrix'!$P$7:$P$204,A42)</x:f>
        <x:v>6</x:v>
      </x:c>
      <x:c r="D42" s="14" t="n">
        <x:f>SUMIFS('Journey Matrix'!$R$7:$R$204,'Journey Matrix'!$P$7:$P$204,A42)</x:f>
        <x:v>3</x:v>
      </x:c>
      <x:c r="E42" s="14" t="n">
        <x:f>SUMIFS('Journey Matrix'!$S$7:$S$204,'Journey Matrix'!$P$7:$P$204,A42)</x:f>
        <x:v>0</x:v>
      </x:c>
      <x:c r="F42" s="14" t="n">
        <x:f>COUNTIFS('Journey Matrix'!$P$7:$P$204,A42,'Journey Matrix'!$D$7:$D$204,'Read Me + Evidence'!$H$8)</x:f>
        <x:v>0</x:v>
      </x:c>
      <x:c r="G42" s="14" t="n">
        <x:f>COUNTIFS('Journey Matrix'!$P$7:$P$204,A42,'Journey Matrix'!$D$7:$D$204,'Read Me + Evidence'!$H$9)</x:f>
        <x:v>3</x:v>
      </x:c>
      <x:c r="H42" s="14" t="n">
        <x:f>COUNTIFS('Journey Matrix'!$P$7:$P$204,A42,'Journey Matrix'!$D$7:$D$204,'Read Me + Evidence'!$H$11)</x:f>
        <x:v>0</x:v>
      </x:c>
      <x:c r="I42" s="14" t="n">
        <x:f>COUNTIFS('Journey Matrix'!$P$7:$P$204,A42,'Journey Matrix'!$D$7:$D$204,'Read Me + Evidence'!$H$10)</x:f>
        <x:v>3</x:v>
      </x:c>
      <x:c r="J42" s="3" t="str">
        <x:v>Yes</x:v>
      </x:c>
      <x:c r="K42" s="14" t="n">
        <x:f>COUNTIF('Control Index'!$B$7:$B$255,A42)</x:f>
        <x:v>6</x:v>
      </x:c>
    </x:row>
    <x:row r="43" ht="25.5" customHeight="1">
      <x:c r="A43" s="3" t="str">
        <x:v>services</x:v>
      </x:c>
      <x:c r="B43" s="14" t="n">
        <x:f>COUNTIF('Journey Matrix'!$P$7:$P$204,A43)</x:f>
        <x:v>6</x:v>
      </x:c>
      <x:c r="C43" s="14" t="n">
        <x:f>SUMIFS('Journey Matrix'!$T$7:$T$204,'Journey Matrix'!$P$7:$P$204,A43)</x:f>
        <x:v>5</x:v>
      </x:c>
      <x:c r="D43" s="14" t="n">
        <x:f>SUMIFS('Journey Matrix'!$R$7:$R$204,'Journey Matrix'!$P$7:$P$204,A43)</x:f>
        <x:v>4</x:v>
      </x:c>
      <x:c r="E43" s="14" t="n">
        <x:f>SUMIFS('Journey Matrix'!$S$7:$S$204,'Journey Matrix'!$P$7:$P$204,A43)</x:f>
        <x:v>0</x:v>
      </x:c>
      <x:c r="F43" s="14" t="n">
        <x:f>COUNTIFS('Journey Matrix'!$P$7:$P$204,A43,'Journey Matrix'!$D$7:$D$204,'Read Me + Evidence'!$H$8)</x:f>
        <x:v>0</x:v>
      </x:c>
      <x:c r="G43" s="14" t="n">
        <x:f>COUNTIFS('Journey Matrix'!$P$7:$P$204,A43,'Journey Matrix'!$D$7:$D$204,'Read Me + Evidence'!$H$9)</x:f>
        <x:v>4</x:v>
      </x:c>
      <x:c r="H43" s="14" t="n">
        <x:f>COUNTIFS('Journey Matrix'!$P$7:$P$204,A43,'Journey Matrix'!$D$7:$D$204,'Read Me + Evidence'!$H$11)</x:f>
        <x:v>0</x:v>
      </x:c>
      <x:c r="I43" s="14" t="n">
        <x:f>COUNTIFS('Journey Matrix'!$P$7:$P$204,A43,'Journey Matrix'!$D$7:$D$204,'Read Me + Evidence'!$H$10)</x:f>
        <x:v>1</x:v>
      </x:c>
      <x:c r="J43" s="3" t="str">
        <x:v>Yes</x:v>
      </x:c>
      <x:c r="K43" s="14" t="n">
        <x:f>COUNTIF('Control Index'!$B$7:$B$255,A43)</x:f>
        <x:v>3</x:v>
      </x:c>
    </x:row>
    <x:row r="44" ht="25.5" customHeight="1">
      <x:c r="A44" s="3" t="str">
        <x:v>system</x:v>
      </x:c>
      <x:c r="B44" s="14" t="n">
        <x:f>COUNTIF('Journey Matrix'!$P$7:$P$204,A44)</x:f>
        <x:v>14</x:v>
      </x:c>
      <x:c r="C44" s="14" t="n">
        <x:f>SUMIFS('Journey Matrix'!$T$7:$T$204,'Journey Matrix'!$P$7:$P$204,A44)</x:f>
        <x:v>14</x:v>
      </x:c>
      <x:c r="D44" s="14" t="n">
        <x:f>SUMIFS('Journey Matrix'!$R$7:$R$204,'Journey Matrix'!$P$7:$P$204,A44)</x:f>
        <x:v>10</x:v>
      </x:c>
      <x:c r="E44" s="14" t="n">
        <x:f>SUMIFS('Journey Matrix'!$S$7:$S$204,'Journey Matrix'!$P$7:$P$204,A44)</x:f>
        <x:v>2</x:v>
      </x:c>
      <x:c r="F44" s="14" t="n">
        <x:f>COUNTIFS('Journey Matrix'!$P$7:$P$204,A44,'Journey Matrix'!$D$7:$D$204,'Read Me + Evidence'!$H$8)</x:f>
        <x:v>2</x:v>
      </x:c>
      <x:c r="G44" s="14" t="n">
        <x:f>COUNTIFS('Journey Matrix'!$P$7:$P$204,A44,'Journey Matrix'!$D$7:$D$204,'Read Me + Evidence'!$H$9)</x:f>
        <x:v>6</x:v>
      </x:c>
      <x:c r="H44" s="14" t="n">
        <x:f>COUNTIFS('Journey Matrix'!$P$7:$P$204,A44,'Journey Matrix'!$D$7:$D$204,'Read Me + Evidence'!$H$11)</x:f>
        <x:v>0</x:v>
      </x:c>
      <x:c r="I44" s="14" t="n">
        <x:f>COUNTIFS('Journey Matrix'!$P$7:$P$204,A44,'Journey Matrix'!$D$7:$D$204,'Read Me + Evidence'!$H$10)</x:f>
        <x:v>4</x:v>
      </x:c>
      <x:c r="J44" s="3" t="str">
        <x:v>Yes</x:v>
      </x:c>
      <x:c r="K44" s="14" t="n">
        <x:f>COUNTIF('Control Index'!$B$7:$B$255,A44)</x:f>
        <x:v>37</x:v>
      </x:c>
    </x:row>
    <x:row r="45" ht="25.5" customHeight="1">
      <x:c r="A45" s="3" t="str">
        <x:v>wallet</x:v>
      </x:c>
      <x:c r="B45" s="14" t="n">
        <x:f>COUNTIF('Journey Matrix'!$P$7:$P$204,A45)</x:f>
        <x:v>15</x:v>
      </x:c>
      <x:c r="C45" s="14" t="n">
        <x:f>SUMIFS('Journey Matrix'!$T$7:$T$204,'Journey Matrix'!$P$7:$P$204,A45)</x:f>
        <x:v>15</x:v>
      </x:c>
      <x:c r="D45" s="14" t="n">
        <x:f>SUMIFS('Journey Matrix'!$R$7:$R$204,'Journey Matrix'!$P$7:$P$204,A45)</x:f>
        <x:v>7</x:v>
      </x:c>
      <x:c r="E45" s="14" t="n">
        <x:f>SUMIFS('Journey Matrix'!$S$7:$S$204,'Journey Matrix'!$P$7:$P$204,A45)</x:f>
        <x:v>0</x:v>
      </x:c>
      <x:c r="F45" s="14" t="n">
        <x:f>COUNTIFS('Journey Matrix'!$P$7:$P$204,A45,'Journey Matrix'!$D$7:$D$204,'Read Me + Evidence'!$H$8)</x:f>
        <x:v>0</x:v>
      </x:c>
      <x:c r="G45" s="14" t="n">
        <x:f>COUNTIFS('Journey Matrix'!$P$7:$P$204,A45,'Journey Matrix'!$D$7:$D$204,'Read Me + Evidence'!$H$9)</x:f>
        <x:v>7</x:v>
      </x:c>
      <x:c r="H45" s="14" t="n">
        <x:f>COUNTIFS('Journey Matrix'!$P$7:$P$204,A45,'Journey Matrix'!$D$7:$D$204,'Read Me + Evidence'!$H$11)</x:f>
        <x:v>0</x:v>
      </x:c>
      <x:c r="I45" s="14" t="n">
        <x:f>COUNTIFS('Journey Matrix'!$P$7:$P$204,A45,'Journey Matrix'!$D$7:$D$204,'Read Me + Evidence'!$H$10)</x:f>
        <x:v>8</x:v>
      </x:c>
      <x:c r="J45" s="3" t="str">
        <x:v>Yes</x:v>
      </x:c>
      <x:c r="K45" s="14" t="n">
        <x:f>COUNTIF('Control Index'!$B$7:$B$255,A45)</x:f>
        <x:v>16</x:v>
      </x:c>
    </x:row>
    <x:row r="46" ht="25.5" customHeight="1">
      <x:c r="A46" s="3" t="str">
        <x:v>wallet-metamask</x:v>
      </x:c>
      <x:c r="B46" s="14" t="n">
        <x:f>COUNTIF('Journey Matrix'!$P$7:$P$204,A46)</x:f>
        <x:v>3</x:v>
      </x:c>
      <x:c r="C46" s="14" t="n">
        <x:f>SUMIFS('Journey Matrix'!$T$7:$T$204,'Journey Matrix'!$P$7:$P$204,A46)</x:f>
        <x:v>3</x:v>
      </x:c>
      <x:c r="D46" s="14" t="n">
        <x:f>SUMIFS('Journey Matrix'!$R$7:$R$204,'Journey Matrix'!$P$7:$P$204,A46)</x:f>
        <x:v>1</x:v>
      </x:c>
      <x:c r="E46" s="14" t="n">
        <x:f>SUMIFS('Journey Matrix'!$S$7:$S$204,'Journey Matrix'!$P$7:$P$204,A46)</x:f>
        <x:v>0</x:v>
      </x:c>
      <x:c r="F46" s="14" t="n">
        <x:f>COUNTIFS('Journey Matrix'!$P$7:$P$204,A46,'Journey Matrix'!$D$7:$D$204,'Read Me + Evidence'!$H$8)</x:f>
        <x:v>0</x:v>
      </x:c>
      <x:c r="G46" s="14" t="n">
        <x:f>COUNTIFS('Journey Matrix'!$P$7:$P$204,A46,'Journey Matrix'!$D$7:$D$204,'Read Me + Evidence'!$H$9)</x:f>
        <x:v>1</x:v>
      </x:c>
      <x:c r="H46" s="14" t="n">
        <x:f>COUNTIFS('Journey Matrix'!$P$7:$P$204,A46,'Journey Matrix'!$D$7:$D$204,'Read Me + Evidence'!$H$11)</x:f>
        <x:v>0</x:v>
      </x:c>
      <x:c r="I46" s="14" t="n">
        <x:f>COUNTIFS('Journey Matrix'!$P$7:$P$204,A46,'Journey Matrix'!$D$7:$D$204,'Read Me + Evidence'!$H$10)</x:f>
        <x:v>2</x:v>
      </x:c>
      <x:c r="J46" s="3" t="str">
        <x:v>Yes</x:v>
      </x:c>
      <x:c r="K46" s="14" t="n">
        <x:f>COUNTIF('Control Index'!$B$7:$B$255,A46)</x:f>
        <x:v>1</x:v>
      </x:c>
    </x:row>
    <x:row r="47" ht="25.5" customHeight="1">
      <x:c r="A47" s="3" t="str">
        <x:v>wallet-unisat</x:v>
      </x:c>
      <x:c r="B47" s="14" t="n">
        <x:f>COUNTIF('Journey Matrix'!$P$7:$P$204,A47)</x:f>
        <x:v>3</x:v>
      </x:c>
      <x:c r="C47" s="14" t="n">
        <x:f>SUMIFS('Journey Matrix'!$T$7:$T$204,'Journey Matrix'!$P$7:$P$204,A47)</x:f>
        <x:v>3</x:v>
      </x:c>
      <x:c r="D47" s="14" t="n">
        <x:f>SUMIFS('Journey Matrix'!$R$7:$R$204,'Journey Matrix'!$P$7:$P$204,A47)</x:f>
        <x:v>1</x:v>
      </x:c>
      <x:c r="E47" s="14" t="n">
        <x:f>SUMIFS('Journey Matrix'!$S$7:$S$204,'Journey Matrix'!$P$7:$P$204,A47)</x:f>
        <x:v>0</x:v>
      </x:c>
      <x:c r="F47" s="14" t="n">
        <x:f>COUNTIFS('Journey Matrix'!$P$7:$P$204,A47,'Journey Matrix'!$D$7:$D$204,'Read Me + Evidence'!$H$8)</x:f>
        <x:v>0</x:v>
      </x:c>
      <x:c r="G47" s="14" t="n">
        <x:f>COUNTIFS('Journey Matrix'!$P$7:$P$204,A47,'Journey Matrix'!$D$7:$D$204,'Read Me + Evidence'!$H$9)</x:f>
        <x:v>1</x:v>
      </x:c>
      <x:c r="H47" s="14" t="n">
        <x:f>COUNTIFS('Journey Matrix'!$P$7:$P$204,A47,'Journey Matrix'!$D$7:$D$204,'Read Me + Evidence'!$H$11)</x:f>
        <x:v>0</x:v>
      </x:c>
      <x:c r="I47" s="14" t="n">
        <x:f>COUNTIFS('Journey Matrix'!$P$7:$P$204,A47,'Journey Matrix'!$D$7:$D$204,'Read Me + Evidence'!$H$10)</x:f>
        <x:v>2</x:v>
      </x:c>
      <x:c r="J47" s="3" t="str">
        <x:v>Yes</x:v>
      </x:c>
      <x:c r="K47" s="14" t="n">
        <x:f>COUNTIF('Control Index'!$B$7:$B$255,A47)</x:f>
        <x:v>1</x:v>
      </x:c>
    </x:row>
    <x:row r="48" ht="25.5" customHeight="1">
      <x:c r="A48" s="3" t="str">
        <x:v>wallet-walletconnect</x:v>
      </x:c>
      <x:c r="B48" s="14" t="n">
        <x:f>COUNTIF('Journey Matrix'!$P$7:$P$204,A48)</x:f>
        <x:v>3</x:v>
      </x:c>
      <x:c r="C48" s="14" t="n">
        <x:f>SUMIFS('Journey Matrix'!$T$7:$T$204,'Journey Matrix'!$P$7:$P$204,A48)</x:f>
        <x:v>3</x:v>
      </x:c>
      <x:c r="D48" s="14" t="n">
        <x:f>SUMIFS('Journey Matrix'!$R$7:$R$204,'Journey Matrix'!$P$7:$P$204,A48)</x:f>
        <x:v>0</x:v>
      </x:c>
      <x:c r="E48" s="14" t="n">
        <x:f>SUMIFS('Journey Matrix'!$S$7:$S$204,'Journey Matrix'!$P$7:$P$204,A48)</x:f>
        <x:v>0</x:v>
      </x:c>
      <x:c r="F48" s="14" t="n">
        <x:f>COUNTIFS('Journey Matrix'!$P$7:$P$204,A48,'Journey Matrix'!$D$7:$D$204,'Read Me + Evidence'!$H$8)</x:f>
        <x:v>0</x:v>
      </x:c>
      <x:c r="G48" s="14" t="n">
        <x:f>COUNTIFS('Journey Matrix'!$P$7:$P$204,A48,'Journey Matrix'!$D$7:$D$204,'Read Me + Evidence'!$H$9)</x:f>
        <x:v>0</x:v>
      </x:c>
      <x:c r="H48" s="14" t="n">
        <x:f>COUNTIFS('Journey Matrix'!$P$7:$P$204,A48,'Journey Matrix'!$D$7:$D$204,'Read Me + Evidence'!$H$11)</x:f>
        <x:v>0</x:v>
      </x:c>
      <x:c r="I48" s="14" t="n">
        <x:f>COUNTIFS('Journey Matrix'!$P$7:$P$204,A48,'Journey Matrix'!$D$7:$D$204,'Read Me + Evidence'!$H$10)</x:f>
        <x:v>3</x:v>
      </x:c>
      <x:c r="J48" s="3" t="str">
        <x:v>Yes</x:v>
      </x:c>
      <x:c r="K48" s="14" t="n">
        <x:f>COUNTIF('Control Index'!$B$7:$B$255,A48)</x:f>
        <x:v>1</x:v>
      </x:c>
    </x:row>
    <x:row r="49" ht="25.5" customHeight="1">
      <x:c r="A49" s="3" t="str">
        <x:v>model-provider</x:v>
      </x:c>
      <x:c r="B49" s="14" t="n">
        <x:f>COUNTIF('Journey Matrix'!$P$7:$P$204,A49)</x:f>
        <x:v>6</x:v>
      </x:c>
      <x:c r="C49" s="14" t="n">
        <x:f>SUMIFS('Journey Matrix'!$T$7:$T$204,'Journey Matrix'!$P$7:$P$204,A49)</x:f>
        <x:v>0</x:v>
      </x:c>
      <x:c r="D49" s="14" t="n">
        <x:f>SUMIFS('Journey Matrix'!$R$7:$R$204,'Journey Matrix'!$P$7:$P$204,A49)</x:f>
        <x:v>0</x:v>
      </x:c>
      <x:c r="E49" s="14" t="n">
        <x:f>SUMIFS('Journey Matrix'!$S$7:$S$204,'Journey Matrix'!$P$7:$P$204,A49)</x:f>
        <x:v>0</x:v>
      </x:c>
      <x:c r="F49" s="14" t="n">
        <x:f>COUNTIFS('Journey Matrix'!$P$7:$P$204,A49,'Journey Matrix'!$D$7:$D$204,'Read Me + Evidence'!$H$8)</x:f>
        <x:v>0</x:v>
      </x:c>
      <x:c r="G49" s="14" t="n">
        <x:f>COUNTIFS('Journey Matrix'!$P$7:$P$204,A49,'Journey Matrix'!$D$7:$D$204,'Read Me + Evidence'!$H$9)</x:f>
        <x:v>1</x:v>
      </x:c>
      <x:c r="H49" s="14" t="n">
        <x:f>COUNTIFS('Journey Matrix'!$P$7:$P$204,A49,'Journey Matrix'!$D$7:$D$204,'Read Me + Evidence'!$H$11)</x:f>
        <x:v>0</x:v>
      </x:c>
      <x:c r="I49" s="14" t="n">
        <x:f>COUNTIFS('Journey Matrix'!$P$7:$P$204,A49,'Journey Matrix'!$D$7:$D$204,'Read Me + Evidence'!$H$10)</x:f>
        <x:v>1</x:v>
      </x:c>
      <x:c r="J49" s="3" t="str">
        <x:v>No</x:v>
      </x:c>
      <x:c r="K49" s="14" t="n">
        <x:f>COUNTIF('Control Index'!$B$7:$B$255,A49)</x:f>
        <x:v>0</x:v>
      </x:c>
    </x:row>
    <x:row r="50" ht="25.5" customHeight="1">
      <x:c r="A50" s="3" t="str">
        <x:v>runtime-services</x:v>
      </x:c>
      <x:c r="B50" s="14" t="n">
        <x:f>COUNTIF('Journey Matrix'!$P$7:$P$204,A50)</x:f>
        <x:v>6</x:v>
      </x:c>
      <x:c r="C50" s="14" t="n">
        <x:f>SUMIFS('Journey Matrix'!$T$7:$T$204,'Journey Matrix'!$P$7:$P$204,A50)</x:f>
        <x:v>0</x:v>
      </x:c>
      <x:c r="D50" s="14" t="n">
        <x:f>SUMIFS('Journey Matrix'!$R$7:$R$204,'Journey Matrix'!$P$7:$P$204,A50)</x:f>
        <x:v>0</x:v>
      </x:c>
      <x:c r="E50" s="14" t="n">
        <x:f>SUMIFS('Journey Matrix'!$S$7:$S$204,'Journey Matrix'!$P$7:$P$204,A50)</x:f>
        <x:v>0</x:v>
      </x:c>
      <x:c r="F50" s="14" t="n">
        <x:f>COUNTIFS('Journey Matrix'!$P$7:$P$204,A50,'Journey Matrix'!$D$7:$D$204,'Read Me + Evidence'!$H$8)</x:f>
        <x:v>1</x:v>
      </x:c>
      <x:c r="G50" s="14" t="n">
        <x:f>COUNTIFS('Journey Matrix'!$P$7:$P$204,A50,'Journey Matrix'!$D$7:$D$204,'Read Me + Evidence'!$H$9)</x:f>
        <x:v>2</x:v>
      </x:c>
      <x:c r="H50" s="14" t="n">
        <x:f>COUNTIFS('Journey Matrix'!$P$7:$P$204,A50,'Journey Matrix'!$D$7:$D$204,'Read Me + Evidence'!$H$11)</x:f>
        <x:v>0</x:v>
      </x:c>
      <x:c r="I50" s="14" t="n">
        <x:f>COUNTIFS('Journey Matrix'!$P$7:$P$204,A50,'Journey Matrix'!$D$7:$D$204,'Read Me + Evidence'!$H$10)</x:f>
        <x:v>3</x:v>
      </x:c>
      <x:c r="J50" s="3" t="str">
        <x:v>No</x:v>
      </x:c>
      <x:c r="K50" s="14" t="n">
        <x:f>COUNTIF('Control Index'!$B$7:$B$255,A50)</x:f>
        <x:v>0</x:v>
      </x:c>
    </x:row>
    <x:row r="51" ht="25.5" customHeight="1">
      <x:c r="A51" s="3" t="str">
        <x:v>shared</x:v>
      </x:c>
      <x:c r="B51" s="14" t="n">
        <x:f>COUNTIF('Journey Matrix'!$P$7:$P$204,A51)</x:f>
        <x:v>3</x:v>
      </x:c>
      <x:c r="C51" s="14" t="n">
        <x:f>SUMIFS('Journey Matrix'!$T$7:$T$204,'Journey Matrix'!$P$7:$P$204,A51)</x:f>
        <x:v>3</x:v>
      </x:c>
      <x:c r="D51" s="14" t="n">
        <x:f>SUMIFS('Journey Matrix'!$R$7:$R$204,'Journey Matrix'!$P$7:$P$204,A51)</x:f>
        <x:v>3</x:v>
      </x:c>
      <x:c r="E51" s="14" t="n">
        <x:f>SUMIFS('Journey Matrix'!$S$7:$S$204,'Journey Matrix'!$P$7:$P$204,A51)</x:f>
        <x:v>0</x:v>
      </x:c>
      <x:c r="F51" s="14" t="n">
        <x:f>COUNTIFS('Journey Matrix'!$P$7:$P$204,A51,'Journey Matrix'!$D$7:$D$204,'Read Me + Evidence'!$H$8)</x:f>
        <x:v>3</x:v>
      </x:c>
      <x:c r="G51" s="14" t="n">
        <x:f>COUNTIFS('Journey Matrix'!$P$7:$P$204,A51,'Journey Matrix'!$D$7:$D$204,'Read Me + Evidence'!$H$9)</x:f>
        <x:v>0</x:v>
      </x:c>
      <x:c r="H51" s="14" t="n">
        <x:f>COUNTIFS('Journey Matrix'!$P$7:$P$204,A51,'Journey Matrix'!$D$7:$D$204,'Read Me + Evidence'!$H$11)</x:f>
        <x:v>0</x:v>
      </x:c>
      <x:c r="I51" s="14" t="n">
        <x:f>COUNTIFS('Journey Matrix'!$P$7:$P$204,A51,'Journey Matrix'!$D$7:$D$204,'Read Me + Evidence'!$H$10)</x:f>
        <x:v>0</x:v>
      </x:c>
      <x:c r="J51" s="3" t="str">
        <x:v>No</x:v>
      </x:c>
      <x:c r="K51" s="14" t="n">
        <x:f>COUNTIF('Control Index'!$B$7:$B$255,A51)</x:f>
        <x:v>0</x:v>
      </x:c>
    </x:row>
    <x:row r="52">
      <x:c r="A52" s="3"/>
      <x:c r="B52" s="3"/>
      <x:c r="C52" s="3"/>
      <x:c r="D52" s="3"/>
      <x:c r="E52" s="3"/>
      <x:c r="F52" s="3"/>
      <x:c r="G52" s="3"/>
      <x:c r="H52" s="3"/>
      <x:c r="I52" s="3"/>
      <x:c r="J52" s="3"/>
      <x:c r="K52" s="3"/>
    </x:row>
  </x:sheetData>
  <x:mergeCells>
    <x:mergeCell ref="A1:F1"/>
    <x:mergeCell ref="A2:F3"/>
    <x:mergeCell ref="A5:B5"/>
    <x:mergeCell ref="D5:K5"/>
    <x:mergeCell ref="A6:B6"/>
    <x:mergeCell ref="D6:K6"/>
    <x:mergeCell ref="A7:B7"/>
    <x:mergeCell ref="D7:K7"/>
    <x:mergeCell ref="A8:B8"/>
    <x:mergeCell ref="D8:K8"/>
    <x:mergeCell ref="A9:B9"/>
    <x:mergeCell ref="D9:K9"/>
    <x:mergeCell ref="A10:B10"/>
    <x:mergeCell ref="D10:K10"/>
    <x:mergeCell ref="A11:B11"/>
    <x:mergeCell ref="D11:K11"/>
    <x:mergeCell ref="A12:B12"/>
    <x:mergeCell ref="D12:K12"/>
    <x:mergeCell ref="A13:B13"/>
    <x:mergeCell ref="D13:K13"/>
    <x:mergeCell ref="A14:B14"/>
    <x:mergeCell ref="D14:K14"/>
    <x:mergeCell ref="A15:B15"/>
    <x:mergeCell ref="D15:K15"/>
    <x:mergeCell ref="A16:B16"/>
    <x:mergeCell ref="D16:K16"/>
    <x:mergeCell ref="A17:B17"/>
    <x:mergeCell ref="D17:K17"/>
    <x:mergeCell ref="A18:B18"/>
    <x:mergeCell ref="D18:K18"/>
    <x:mergeCell ref="A19:B19"/>
    <x:mergeCell ref="D19:K19"/>
    <x:mergeCell ref="A20:B20"/>
    <x:mergeCell ref="D20:K20"/>
    <x:mergeCell ref="A21:B21"/>
    <x:mergeCell ref="D21:K21"/>
    <x:mergeCell ref="A23:K24"/>
  </x:mergeCells>
  <x:pageMargins left="0.7" right="0.7" top="0.75" bottom="0.75" header="0.3" footer="0.3"/>
  <x:tableParts count="1">
    <x:tablePart xmlns:r="http://schemas.openxmlformats.org/officeDocument/2006/relationships" r:id="R2cf337f3dcdb4cf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4399995803833" hidden="0" customWidth="1"/>
    <x:col min="2" max="2" width="17.329999923706055" hidden="0" customWidth="1"/>
    <x:col min="3" max="3" width="23.559999465942383" hidden="0" customWidth="1"/>
    <x:col min="4" max="4" width="14.670000076293945" hidden="0" customWidth="1"/>
    <x:col min="5" max="5" width="38.88999938964844" hidden="0" customWidth="1"/>
    <x:col min="6" max="6" width="38.88999938964844" hidden="0" customWidth="1"/>
    <x:col min="7" max="7" width="16.219999313354492" hidden="0" customWidth="1"/>
    <x:col min="8" max="8" width="19.329999923706055" hidden="0" customWidth="1"/>
    <x:col min="9" max="9" width="27.110000610351562" hidden="0" customWidth="1"/>
    <x:col min="10" max="10" width="36.66999816894531" hidden="0" customWidth="1"/>
    <x:col min="11" max="11" width="29.559999465942383" hidden="0" customWidth="1"/>
    <x:col min="12" max="12" width="11.670000076293945" hidden="0" customWidth="1"/>
    <x:col min="13" max="13" width="38.33000183105469" hidden="0" customWidth="1"/>
    <x:col min="14" max="14" width="20.559999465942383" hidden="0" customWidth="1"/>
    <x:col min="15" max="15" width="18.889999389648438" hidden="0" customWidth="1"/>
    <x:col min="16" max="16" width="16.889999389648438" hidden="0" customWidth="1"/>
    <x:col min="17" max="17" width="12.4399995803833" hidden="0" customWidth="1"/>
    <x:col min="18" max="18" width="10.4399995803833" hidden="0" customWidth="1"/>
    <x:col min="19" max="19" width="8.890000343322754" hidden="0" customWidth="1"/>
    <x:col min="20" max="20" width="11.670000076293945" hidden="0" customWidth="1"/>
    <x:col min="21" max="21" width="40.560001373291016" hidden="0" customWidth="1"/>
  </x:cols>
  <x:sheetData>
    <x:row r="1" ht="31.5" customHeight="1">
      <x:c r="A1" s="6" t="str">
        <x:v>Journey Matrix</x:v>
      </x:c>
      <x:c r="B1" s="6" t="str">
        <x:v>Journey Matrix</x:v>
      </x:c>
      <x:c r="C1" s="6" t="str">
        <x:v>Journey Matrix</x:v>
      </x:c>
      <x:c r="D1" s="6" t="str">
        <x:v>Journey Matrix</x:v>
      </x:c>
      <x:c r="E1" s="6" t="str">
        <x:v>Journey Matrix</x:v>
      </x:c>
      <x:c r="F1" s="6" t="str">
        <x:v>Journey Matrix</x:v>
      </x:c>
      <x:c r="G1" s="3"/>
      <x:c r="H1" s="3"/>
      <x:c r="I1" s="3"/>
      <x:c r="J1" s="3"/>
      <x:c r="K1" s="3"/>
      <x:c r="L1" s="3"/>
      <x:c r="M1" s="3"/>
      <x:c r="N1" s="3"/>
      <x:c r="O1" s="3"/>
      <x:c r="P1" s="3"/>
      <x:c r="Q1" s="3"/>
      <x:c r="R1" s="3"/>
      <x:c r="S1" s="3"/>
      <x:c r="T1" s="3"/>
      <x:c r="U1" s="3"/>
    </x:row>
    <x:row r="2" ht="16.5" customHeight="1">
      <x:c r="A2" s="9" t="str">
        <x:v>PARTIAL LIVE AUDIT / BASELINE | Filter Area, Live status or Safety. Expected behavior is separate from current defects and proposed flows.</x:v>
      </x:c>
      <x:c r="B2" s="9" t="str">
        <x:v>PARTIAL LIVE AUDIT / BASELINE | Filter Area, Live status or Safety. Expected behavior is separate from current defects and proposed flows.</x:v>
      </x:c>
      <x:c r="C2" s="9" t="str">
        <x:v>PARTIAL LIVE AUDIT / BASELINE | Filter Area, Live status or Safety. Expected behavior is separate from current defects and proposed flows.</x:v>
      </x:c>
      <x:c r="D2" s="9" t="str">
        <x:v>PARTIAL LIVE AUDIT / BASELINE | Filter Area, Live status or Safety. Expected behavior is separate from current defects and proposed flows.</x:v>
      </x:c>
      <x:c r="E2" s="9" t="str">
        <x:v>PARTIAL LIVE AUDIT / BASELINE | Filter Area, Live status or Safety. Expected behavior is separate from current defects and proposed flows.</x:v>
      </x:c>
      <x:c r="F2" s="9" t="str">
        <x:v>PARTIAL LIVE AUDIT / BASELINE | Filter Area, Live status or Safety. Expected behavior is separate from current defects and proposed flows.</x:v>
      </x:c>
      <x:c r="G2" s="3"/>
      <x:c r="H2" s="3"/>
      <x:c r="I2" s="3"/>
      <x:c r="J2" s="3"/>
      <x:c r="K2" s="3"/>
      <x:c r="L2" s="3"/>
      <x:c r="M2" s="3"/>
      <x:c r="N2" s="3"/>
      <x:c r="O2" s="3"/>
      <x:c r="P2" s="3"/>
      <x:c r="Q2" s="3"/>
      <x:c r="R2" s="3"/>
      <x:c r="S2" s="3"/>
      <x:c r="T2" s="3"/>
      <x:c r="U2" s="3"/>
    </x:row>
    <x:row r="3" ht="16.5" customHeight="1">
      <x:c r="A3" s="9" t="str">
        <x:v>PARTIAL LIVE AUDIT / BASELINE | Filter Area, Live status or Safety. Expected behavior is separate from current defects and proposed flows.</x:v>
      </x:c>
      <x:c r="B3" s="9" t="str">
        <x:v>PARTIAL LIVE AUDIT / BASELINE | Filter Area, Live status or Safety. Expected behavior is separate from current defects and proposed flows.</x:v>
      </x:c>
      <x:c r="C3" s="9" t="str">
        <x:v>PARTIAL LIVE AUDIT / BASELINE | Filter Area, Live status or Safety. Expected behavior is separate from current defects and proposed flows.</x:v>
      </x:c>
      <x:c r="D3" s="9" t="str">
        <x:v>PARTIAL LIVE AUDIT / BASELINE | Filter Area, Live status or Safety. Expected behavior is separate from current defects and proposed flows.</x:v>
      </x:c>
      <x:c r="E3" s="9" t="str">
        <x:v>PARTIAL LIVE AUDIT / BASELINE | Filter Area, Live status or Safety. Expected behavior is separate from current defects and proposed flows.</x:v>
      </x:c>
      <x:c r="F3" s="9" t="str">
        <x:v>PARTIAL LIVE AUDIT / BASELINE | Filter Area, Live status or Safety. Expected behavior is separate from current defects and proposed flows.</x:v>
      </x:c>
      <x:c r="G3" s="3"/>
      <x:c r="H3" s="3"/>
      <x:c r="I3" s="3"/>
      <x:c r="J3" s="3"/>
      <x:c r="K3" s="3"/>
      <x:c r="L3" s="3"/>
      <x:c r="M3" s="3"/>
      <x:c r="N3" s="3"/>
      <x:c r="O3" s="3"/>
      <x:c r="P3" s="3"/>
      <x:c r="Q3" s="3"/>
      <x:c r="R3" s="3"/>
      <x:c r="S3" s="3"/>
      <x:c r="T3" s="3"/>
      <x:c r="U3" s="3"/>
    </x:row>
    <x:row r="4" ht="9" customHeight="1">
      <x:c r="A4" s="3"/>
      <x:c r="B4" s="3"/>
      <x:c r="C4" s="3"/>
      <x:c r="D4" s="3"/>
      <x:c r="E4" s="3"/>
      <x:c r="F4" s="3"/>
      <x:c r="G4" s="3"/>
      <x:c r="H4" s="3"/>
      <x:c r="I4" s="3"/>
      <x:c r="J4" s="3"/>
      <x:c r="K4" s="3"/>
      <x:c r="L4" s="3"/>
      <x:c r="M4" s="3"/>
      <x:c r="N4" s="3"/>
      <x:c r="O4" s="3"/>
      <x:c r="P4" s="3"/>
      <x:c r="Q4" s="3"/>
      <x:c r="R4" s="3"/>
      <x:c r="S4" s="3"/>
      <x:c r="T4" s="3"/>
      <x:c r="U4" s="3"/>
    </x:row>
    <x:row r="5">
      <x:c r="A5" s="3"/>
      <x:c r="B5" s="3"/>
      <x:c r="C5" s="3"/>
      <x:c r="D5" s="3"/>
      <x:c r="E5" s="3"/>
      <x:c r="F5" s="3"/>
      <x:c r="G5" s="3"/>
      <x:c r="H5" s="3"/>
      <x:c r="I5" s="3"/>
      <x:c r="J5" s="3"/>
      <x:c r="K5" s="3"/>
      <x:c r="L5" s="3"/>
      <x:c r="M5" s="3"/>
      <x:c r="N5" s="3"/>
      <x:c r="O5" s="3"/>
      <x:c r="P5" s="3"/>
      <x:c r="Q5" s="3"/>
      <x:c r="R5" s="3"/>
      <x:c r="S5" s="3"/>
      <x:c r="T5" s="3"/>
      <x:c r="U5" s="3"/>
    </x:row>
    <x:row r="6" ht="28.5" customHeight="1">
      <x:c r="A6" s="11" t="str">
        <x:v>ID</x:v>
      </x:c>
      <x:c r="B6" s="11" t="str">
        <x:v>Area</x:v>
      </x:c>
      <x:c r="C6" s="11" t="str">
        <x:v>Journey</x:v>
      </x:c>
      <x:c r="D6" s="11" t="str">
        <x:v>Live status</x:v>
      </x:c>
      <x:c r="E6" s="11" t="str">
        <x:v>Expected behavior</x:v>
      </x:c>
      <x:c r="F6" s="11" t="str">
        <x:v>Actual / exact scope</x:v>
      </x:c>
      <x:c r="G6" s="11" t="str">
        <x:v>Safety</x:v>
      </x:c>
      <x:c r="H6" s="11" t="str">
        <x:v>Source state</x:v>
      </x:c>
      <x:c r="I6" s="11" t="str">
        <x:v>Controls / branches</x:v>
      </x:c>
      <x:c r="J6" s="11" t="str">
        <x:v>Steps</x:v>
      </x:c>
      <x:c r="K6" s="11" t="str">
        <x:v>Prerequisites</x:v>
      </x:c>
      <x:c r="L6" s="11" t="str">
        <x:v>Findings</x:v>
      </x:c>
      <x:c r="M6" s="11" t="str">
        <x:v>Prior evidence only</x:v>
      </x:c>
      <x:c r="N6" s="11" t="str">
        <x:v>Live evidence</x:v>
      </x:c>
      <x:c r="O6" s="11" t="str">
        <x:v>Source refs</x:v>
      </x:c>
      <x:c r="P6" s="11" t="str">
        <x:v>Capsule</x:v>
      </x:c>
      <x:c r="Q6" s="11" t="str">
        <x:v>Scope</x:v>
      </x:c>
      <x:c r="R6" s="11" t="str">
        <x:v>Observed?</x:v>
      </x:c>
      <x:c r="S6" s="11" t="str">
        <x:v>Pass?</x:v>
      </x:c>
      <x:c r="T6" s="11" t="str">
        <x:v>GUI base?</x:v>
      </x:c>
      <x:c r="U6" s="11" t="str">
        <x:v>Source notes / current gap</x:v>
      </x:c>
    </x:row>
    <x:row r="7" ht="153" customHeight="1">
      <x:c r="A7" s="3" t="str">
        <x:v>AUTH-01</x:v>
      </x:c>
      <x:c r="B7" s="3" t="str">
        <x:v>Home / sign-in</x:v>
      </x:c>
      <x:c r="C7" s="3" t="str">
        <x:v>First account</x:v>
      </x:c>
      <x:c r="D7" s="13" t="str">
        <x:v>Blocked prerequisite</x:v>
      </x:c>
      <x:c r="E7" s="3" t="str">
        <x:v>Home separates a passkey account label from the later public Profile. Runtime creates the account only after user passkey consent.</x:v>
      </x:c>
      <x:c r="F7" s="12" t="str">
        <x:v>Creating a first account needs a fresh target and a user-operated passkey. Existing accounts and passkeys were preserved.</x:v>
      </x:c>
      <x:c r="G7" s="3" t="str">
        <x:v>controlled-identity</x:v>
      </x:c>
      <x:c r="H7" s="3" t="str">
        <x:v>implemented-source</x:v>
      </x:c>
      <x:c r="I7" s="3" t="str">
        <x:v>Name; Create admin passkey</x:v>
      </x:c>
      <x:c r="J7" s="3" t="str">
        <x:v>1. Open Home signed out
2. Enter name
3. Inspect creation prompt</x:v>
      </x:c>
      <x:c r="K7" s="3" t="str">
        <x:v>Fresh Home; User-operated passkey</x:v>
      </x:c>
      <x:c r="L7" s="3" t="str"/>
      <x:c r="M7" s="3" t="str">
        <x:v>User independently viewed the new Home setup and passkey screen in Brave. [User report: real localhost:61380 window and screenshot reviewed. No account record inspected by inventory author.]</x:v>
      </x:c>
      <x:c r="N7" s="3" t="str">
        <x:v>E-043; E-053</x:v>
      </x:c>
      <x:c r="O7" s="3" t="str">
        <x:v>S-001</x:v>
      </x:c>
      <x:c r="P7" s="3" t="str">
        <x:v>home</x:v>
      </x:c>
      <x:c r="Q7" s="3" t="str">
        <x:f>IF(OR(H7='Read Me + Evidence'!$K$6,H7='Read Me + Evidence'!$K$7,H7='Read Me + Evidence'!$K$8,P7='Read Me + Evidence'!$K$9,P7='Read Me + Evidence'!$K$10),'Read Me + Evidence'!$K$12,'Read Me + Evidence'!$K$11)</x:f>
        <x:v>GUI</x:v>
      </x:c>
      <x:c r="R7" s="14" t="n">
        <x:f>IF(AND(Q7='Read Me + Evidence'!$K$11,OR(D7='Read Me + Evidence'!$H$7,D7='Read Me + Evidence'!$H$8,D7='Read Me + Evidence'!$H$9)),1,0)</x:f>
        <x:v>0</x:v>
      </x:c>
      <x:c r="S7" s="14" t="n">
        <x:f>IF(AND(Q7='Read Me + Evidence'!$K$11,D7='Read Me + Evidence'!$H$7),1,0)</x:f>
        <x:v>0</x:v>
      </x:c>
      <x:c r="T7" s="14" t="n">
        <x:f>IF(AND(Q7='Read Me + Evidence'!$K$11,D7&lt;&gt;'Read Me + Evidence'!$H$12),1,0)</x:f>
        <x:v>1</x:v>
      </x:c>
      <x:c r="U7" s="3" t="str">
        <x:v>Source 145fec2b, eb25f747, 43b8f830: exact RP/origin ceremony; secure credential persistence; one durable owner operation. Gateway 60, direct handlers 10, owner 7 and identity 48 tests pass. Installed first-owner proof remains open.</x:v>
      </x:c>
    </x:row>
    <x:row r="8" ht="153" customHeight="1">
      <x:c r="A8" s="3" t="str">
        <x:v>AUTH-02</x:v>
      </x:c>
      <x:c r="B8" s="3" t="str">
        <x:v>Home / sign-in</x:v>
      </x:c>
      <x:c r="C8" s="3" t="str">
        <x:v>Returning sign-in</x:v>
      </x:c>
      <x:c r="D8" s="13" t="str">
        <x:v>Blocked prerequisite</x:v>
      </x:c>
      <x:c r="E8" s="3" t="str">
        <x:v>People and agents can find the passkey control. A valid passkey opens the same principal's shell; cancellation leaves Home locked.</x:v>
      </x:c>
      <x:c r="F8" s="12" t="str">
        <x:v>Brave resumes the existing authenticated session. A fresh passkey sign-in was not forced because it would disturb the current session.</x:v>
      </x:c>
      <x:c r="G8" s="3" t="str">
        <x:v>controlled-identity</x:v>
      </x:c>
      <x:c r="H8" s="3" t="str">
        <x:v>Isolated B01 Brave sign-in passed. Full Home qualification remains open.</x:v>
      </x:c>
      <x:c r="I8" s="3" t="str">
        <x:v>Use passkey; Account picker</x:v>
      </x:c>
      <x:c r="J8" s="3" t="str">
        <x:v>1. Open signed-out Home
2. Find the passkey control by its accessible role and label
3. Use passkey
4. Verify the same principal's shell</x:v>
      </x:c>
      <x:c r="K8" s="3" t="str">
        <x:v>Existing disposable test account</x:v>
      </x:c>
      <x:c r="L8" s="3" t="str"/>
      <x:c r="M8" s="3" t="str"/>
      <x:c r="N8" s="3" t="str">
        <x:v>E-043; E-053</x:v>
      </x:c>
      <x:c r="O8" s="3" t="str">
        <x:v>S-002</x:v>
      </x:c>
      <x:c r="P8" s="3" t="str">
        <x:v>home</x:v>
      </x:c>
      <x:c r="Q8" s="3" t="str">
        <x:f>IF(OR(H8='Read Me + Evidence'!$K$6,H8='Read Me + Evidence'!$K$7,H8='Read Me + Evidence'!$K$8,P8='Read Me + Evidence'!$K$9,P8='Read Me + Evidence'!$K$10),'Read Me + Evidence'!$K$12,'Read Me + Evidence'!$K$11)</x:f>
        <x:v>GUI</x:v>
      </x:c>
      <x:c r="R8" s="14" t="n">
        <x:f>IF(AND(Q8='Read Me + Evidence'!$K$11,OR(D8='Read Me + Evidence'!$H$7,D8='Read Me + Evidence'!$H$8,D8='Read Me + Evidence'!$H$9)),1,0)</x:f>
        <x:v>0</x:v>
      </x:c>
      <x:c r="S8" s="14" t="n">
        <x:f>IF(AND(Q8='Read Me + Evidence'!$K$11,D8='Read Me + Evidence'!$H$7),1,0)</x:f>
        <x:v>0</x:v>
      </x:c>
      <x:c r="T8" s="14" t="n">
        <x:f>IF(AND(Q8='Read Me + Evidence'!$K$11,D8&lt;&gt;'Read Me + Evidence'!$H$12),1,0)</x:f>
        <x:v>1</x:v>
      </x:c>
      <x:c r="U8" s="3" t="str">
        <x:v>Source 43b8f830: sign-in resolves an existing active proof binding; orphan credentials cannot create authority. Expired terminal enrollment grants require normal sign-in. Installed verdict unchanged.</x:v>
      </x:c>
    </x:row>
    <x:row r="9" ht="153" customHeight="1">
      <x:c r="A9" s="3" t="str">
        <x:v>AUTH-03</x:v>
      </x:c>
      <x:c r="B9" s="3" t="str">
        <x:v>Home / sign-in</x:v>
      </x:c>
      <x:c r="C9" s="3" t="str">
        <x:v>Guest admission</x:v>
      </x:c>
      <x:c r="D9" s="13" t="str">
        <x:v>Blocked prerequisite</x:v>
      </x:c>
      <x:c r="E9" s="3" t="str">
        <x:v>Operator guest policy controls admission; unavailable registration is explained.</x:v>
      </x:c>
      <x:c r="F9" s="12" t="str">
        <x:v>System shows guest admission disabled. Enabled/disabled signed-out admission needs explicit administrator policy testing on a disposable target.</x:v>
      </x:c>
      <x:c r="G9" s="3" t="str">
        <x:v>controlled-identity</x:v>
      </x:c>
      <x:c r="H9" s="3" t="str">
        <x:v>implemented-source</x:v>
      </x:c>
      <x:c r="I9" s="3" t="str">
        <x:v>Create guest passkey</x:v>
      </x:c>
      <x:c r="J9" s="3" t="str">
        <x:v>1. Inspect guest choice enabled and disabled
2. Cancel before creation</x:v>
      </x:c>
      <x:c r="K9" s="3" t="str">
        <x:v>Owner-configured guest policy</x:v>
      </x:c>
      <x:c r="L9" s="3" t="str"/>
      <x:c r="M9" s="3" t="str"/>
      <x:c r="N9" s="3" t="str">
        <x:v>E-043; E-053</x:v>
      </x:c>
      <x:c r="O9" s="3" t="str">
        <x:v>S-003</x:v>
      </x:c>
      <x:c r="P9" s="3" t="str">
        <x:v>home</x:v>
      </x:c>
      <x:c r="Q9" s="3" t="str">
        <x:f>IF(OR(H9='Read Me + Evidence'!$K$6,H9='Read Me + Evidence'!$K$7,H9='Read Me + Evidence'!$K$8,P9='Read Me + Evidence'!$K$9,P9='Read Me + Evidence'!$K$10),'Read Me + Evidence'!$K$12,'Read Me + Evidence'!$K$11)</x:f>
        <x:v>GUI</x:v>
      </x:c>
      <x:c r="R9" s="14" t="n">
        <x:f>IF(AND(Q9='Read Me + Evidence'!$K$11,OR(D9='Read Me + Evidence'!$H$7,D9='Read Me + Evidence'!$H$8,D9='Read Me + Evidence'!$H$9)),1,0)</x:f>
        <x:v>0</x:v>
      </x:c>
      <x:c r="S9" s="14" t="n">
        <x:f>IF(AND(Q9='Read Me + Evidence'!$K$11,D9='Read Me + Evidence'!$H$7),1,0)</x:f>
        <x:v>0</x:v>
      </x:c>
      <x:c r="T9" s="14" t="n">
        <x:f>IF(AND(Q9='Read Me + Evidence'!$K$11,D9&lt;&gt;'Read Me + Evidence'!$H$12),1,0)</x:f>
        <x:v>1</x:v>
      </x:c>
      <x:c r="U9" s="3" t="str">
        <x:v>Source 43b8f830: both registration routes require enabled guest policy and a live Admin before credential effects. Revocation after begin is denied with unchanged stored credentials. Installed policy proof remains open.</x:v>
      </x:c>
    </x:row>
    <x:row r="10" ht="153" customHeight="1">
      <x:c r="A10" s="3" t="str">
        <x:v>AUTH-04</x:v>
      </x:c>
      <x:c r="B10" s="3" t="str">
        <x:v>Home / sign-in</x:v>
      </x:c>
      <x:c r="C10" s="3" t="str">
        <x:v>Shell handoff</x:v>
      </x:c>
      <x:c r="D10" s="13" t="str">
        <x:v>Partially observed</x:v>
      </x:c>
      <x:c r="E10" s="3" t="str">
        <x:v>Home mounts the selected shell with Runtime authority; a broken shell gets an explicit recovery surface.</x:v>
      </x:c>
      <x:c r="F10" s="12" t="str">
        <x:v>Existing authenticated Home mounts Desktop in Brave, including after shell recovery and fresh audit-tab load. F44 deliberate Desktop/Terminal switch shows blank host frame until one reload; original Desktop and signed account restored through q plus reload. Admission/identity changes remain excluded.</x:v>
      </x:c>
      <x:c r="G10" s="3" t="str">
        <x:v>safe-read-only</x:v>
      </x:c>
      <x:c r="H10" s="3" t="str">
        <x:v>implemented-source</x:v>
      </x:c>
      <x:c r="I10" s="3" t="str">
        <x:v>Desktop recovery; Reload Home</x:v>
      </x:c>
      <x:c r="J10" s="3" t="str">
        <x:v>1. Inspect shell load
2. Use recovery only if shell fails</x:v>
      </x:c>
      <x:c r="K10" s="3" t="str">
        <x:v>Signed-in Home</x:v>
      </x:c>
      <x:c r="L10" s="3" t="str"/>
      <x:c r="M10" s="3" t="str"/>
      <x:c r="N10" s="3" t="str">
        <x:v>E-053; E-058</x:v>
      </x:c>
      <x:c r="O10" s="3" t="str">
        <x:v>S-004</x:v>
      </x:c>
      <x:c r="P10" s="3" t="str">
        <x:v>home</x:v>
      </x:c>
      <x:c r="Q10" s="3" t="str">
        <x:f>IF(OR(H10='Read Me + Evidence'!$K$6,H10='Read Me + Evidence'!$K$7,H10='Read Me + Evidence'!$K$8,P10='Read Me + Evidence'!$K$9,P10='Read Me + Evidence'!$K$10),'Read Me + Evidence'!$K$12,'Read Me + Evidence'!$K$11)</x:f>
        <x:v>GUI</x:v>
      </x:c>
      <x:c r="R10" s="14" t="n">
        <x:f>IF(AND(Q10='Read Me + Evidence'!$K$11,OR(D10='Read Me + Evidence'!$H$7,D10='Read Me + Evidence'!$H$8,D10='Read Me + Evidence'!$H$9)),1,0)</x:f>
        <x:v>1</x:v>
      </x:c>
      <x:c r="S10" s="14" t="n">
        <x:f>IF(AND(Q10='Read Me + Evidence'!$K$11,D10='Read Me + Evidence'!$H$7),1,0)</x:f>
        <x:v>0</x:v>
      </x:c>
      <x:c r="T10" s="14" t="n">
        <x:f>IF(AND(Q10='Read Me + Evidence'!$K$11,D10&lt;&gt;'Read Me + Evidence'!$H$12),1,0)</x:f>
        <x:v>1</x:v>
      </x:c>
      <x:c r="U10" s="3" t="str"/>
    </x:row>
    <x:row r="11" ht="153" customHeight="1">
      <x:c r="A11" s="3" t="str">
        <x:v>AUTH-05</x:v>
      </x:c>
      <x:c r="B11" s="3" t="str">
        <x:v>Home / sign-in</x:v>
      </x:c>
      <x:c r="C11" s="3" t="str">
        <x:v>Sign-out and relock</x:v>
      </x:c>
      <x:c r="D11" s="13" t="str">
        <x:v>Blocked prerequisite</x:v>
      </x:c>
      <x:c r="E11" s="3" t="str">
        <x:v>Session authority ends and app frames cannot retain privileged access.</x:v>
      </x:c>
      <x:c r="F11" s="12" t="str">
        <x:v>Sign-out/relock would end the shared authenticated Home session. A disposable sign-in target is required; existing user tabs stay authenticated.</x:v>
      </x:c>
      <x:c r="G11" s="3" t="str">
        <x:v>controlled-session</x:v>
      </x:c>
      <x:c r="H11" s="3" t="str">
        <x:v>implemented-source</x:v>
      </x:c>
      <x:c r="I11" s="3" t="str">
        <x:v>Sign out; Lock</x:v>
      </x:c>
      <x:c r="J11" s="3" t="str">
        <x:v>1. Save disposable work
2. Sign out
3. Revisit prior frame</x:v>
      </x:c>
      <x:c r="K11" s="3" t="str">
        <x:v>Disposable signed-in session</x:v>
      </x:c>
      <x:c r="L11" s="3" t="str"/>
      <x:c r="M11" s="3" t="str"/>
      <x:c r="N11" s="3" t="str">
        <x:v>E-043; E-053</x:v>
      </x:c>
      <x:c r="O11" s="3" t="str">
        <x:v>S-005</x:v>
      </x:c>
      <x:c r="P11" s="3" t="str">
        <x:v>home</x:v>
      </x:c>
      <x:c r="Q11" s="3" t="str">
        <x:f>IF(OR(H11='Read Me + Evidence'!$K$6,H11='Read Me + Evidence'!$K$7,H11='Read Me + Evidence'!$K$8,P11='Read Me + Evidence'!$K$9,P11='Read Me + Evidence'!$K$10),'Read Me + Evidence'!$K$12,'Read Me + Evidence'!$K$11)</x:f>
        <x:v>GUI</x:v>
      </x:c>
      <x:c r="R11" s="14" t="n">
        <x:f>IF(AND(Q11='Read Me + Evidence'!$K$11,OR(D11='Read Me + Evidence'!$H$7,D11='Read Me + Evidence'!$H$8,D11='Read Me + Evidence'!$H$9)),1,0)</x:f>
        <x:v>0</x:v>
      </x:c>
      <x:c r="S11" s="14" t="n">
        <x:f>IF(AND(Q11='Read Me + Evidence'!$K$11,D11='Read Me + Evidence'!$H$7),1,0)</x:f>
        <x:v>0</x:v>
      </x:c>
      <x:c r="T11" s="14" t="n">
        <x:f>IF(AND(Q11='Read Me + Evidence'!$K$11,D11&lt;&gt;'Read Me + Evidence'!$H$12),1,0)</x:f>
        <x:v>1</x:v>
      </x:c>
      <x:c r="U11" s="3" t="str"/>
    </x:row>
    <x:row r="12" ht="153" customHeight="1">
      <x:c r="A12" s="3" t="str">
        <x:v>AUTH-06</x:v>
      </x:c>
      <x:c r="B12" s="3" t="str">
        <x:v>Home / sign-in</x:v>
      </x:c>
      <x:c r="C12" s="3" t="str">
        <x:v>Cancelled or failed authentication</x:v>
      </x:c>
      <x:c r="D12" s="13" t="str">
        <x:v>Blocked prerequisite</x:v>
      </x:c>
      <x:c r="E12" s="3" t="str">
        <x:v>Failure remains locked, preserves understandable feedback, and does not silently create another account.</x:v>
      </x:c>
      <x:c r="F12" s="12" t="str">
        <x:v>Passkey cancellation/failure requires a user-operated disposable authentication attempt. No passkey prompt or account creation was forced.</x:v>
      </x:c>
      <x:c r="G12" s="3" t="str">
        <x:v>controlled-identity</x:v>
      </x:c>
      <x:c r="H12" s="3" t="str">
        <x:v>implemented-source</x:v>
      </x:c>
      <x:c r="I12" s="3" t="str">
        <x:v>Passkey dialog; Error state</x:v>
      </x:c>
      <x:c r="J12" s="3" t="str">
        <x:v>1. Cancel passkey prompt
2. Retry deliberately</x:v>
      </x:c>
      <x:c r="K12" s="3" t="str">
        <x:v>Disposable sign-in attempt</x:v>
      </x:c>
      <x:c r="L12" s="3" t="str"/>
      <x:c r="M12" s="3" t="str"/>
      <x:c r="N12" s="3" t="str">
        <x:v>E-043; E-053</x:v>
      </x:c>
      <x:c r="O12" s="3" t="str">
        <x:v>S-002</x:v>
      </x:c>
      <x:c r="P12" s="3" t="str">
        <x:v>home</x:v>
      </x:c>
      <x:c r="Q12" s="3" t="str">
        <x:f>IF(OR(H12='Read Me + Evidence'!$K$6,H12='Read Me + Evidence'!$K$7,H12='Read Me + Evidence'!$K$8,P12='Read Me + Evidence'!$K$9,P12='Read Me + Evidence'!$K$10),'Read Me + Evidence'!$K$12,'Read Me + Evidence'!$K$11)</x:f>
        <x:v>GUI</x:v>
      </x:c>
      <x:c r="R12" s="14" t="n">
        <x:f>IF(AND(Q12='Read Me + Evidence'!$K$11,OR(D12='Read Me + Evidence'!$H$7,D12='Read Me + Evidence'!$H$8,D12='Read Me + Evidence'!$H$9)),1,0)</x:f>
        <x:v>0</x:v>
      </x:c>
      <x:c r="S12" s="14" t="n">
        <x:f>IF(AND(Q12='Read Me + Evidence'!$K$11,D12='Read Me + Evidence'!$H$7),1,0)</x:f>
        <x:v>0</x:v>
      </x:c>
      <x:c r="T12" s="14" t="n">
        <x:f>IF(AND(Q12='Read Me + Evidence'!$K$11,D12&lt;&gt;'Read Me + Evidence'!$H$12),1,0)</x:f>
        <x:v>1</x:v>
      </x:c>
      <x:c r="U12" s="3" t="str">
        <x:v>Source 43b8f830: typed 403 denials; exact claimant recovery after response loss; expiry, revoked binding, concurrent claimant and restart fixtures pass. Installed cancellation/recovery proof remains open.</x:v>
      </x:c>
    </x:row>
    <x:row r="13" ht="153" customHeight="1">
      <x:c r="A13" s="3" t="str">
        <x:v>AUTH-07</x:v>
      </x:c>
      <x:c r="B13" s="3" t="str">
        <x:v>Home / sign-in</x:v>
      </x:c>
      <x:c r="C13" s="3" t="str">
        <x:v>Host clipboard consent</x:v>
      </x:c>
      <x:c r="D13" s="13" t="str">
        <x:v>Blocked prerequisite</x:v>
      </x:c>
      <x:c r="E13" s="3" t="str">
        <x:v>Only the exact authenticated app intent reaches host Clipboard; cancellation has no clipboard effect.</x:v>
      </x:c>
      <x:c r="F13" s="12" t="str">
        <x:v>A controlled consent/cancel fixture is still needed. Recovered Desktop is usable after the separate F-44 reload workaround. Host Clipboard contents remain preserved; the inspected headless fixture uses the real Clipboard and was not run.</x:v>
      </x:c>
      <x:c r="G13" s="3" t="str">
        <x:v>controlled-clipboard</x:v>
      </x:c>
      <x:c r="H13" s="3" t="str">
        <x:v>implemented-source</x:v>
      </x:c>
      <x:c r="I13" s="3" t="str">
        <x:v>Continue; Cancel</x:v>
      </x:c>
      <x:c r="J13" s="3" t="str">
        <x:v>1. Request test-text clipboard action from app
2. Inspect host consent
3. Cancel/allow explicitly</x:v>
      </x:c>
      <x:c r="K13" s="3" t="str">
        <x:v>Harmless test text</x:v>
      </x:c>
      <x:c r="L13" s="3" t="str"/>
      <x:c r="M13" s="3" t="str"/>
      <x:c r="N13" s="3" t="str">
        <x:v>E-054</x:v>
      </x:c>
      <x:c r="O13" s="3" t="str">
        <x:v>S-006</x:v>
      </x:c>
      <x:c r="P13" s="3" t="str">
        <x:v>home</x:v>
      </x:c>
      <x:c r="Q13" s="3" t="str">
        <x:f>IF(OR(H13='Read Me + Evidence'!$K$6,H13='Read Me + Evidence'!$K$7,H13='Read Me + Evidence'!$K$8,P13='Read Me + Evidence'!$K$9,P13='Read Me + Evidence'!$K$10),'Read Me + Evidence'!$K$12,'Read Me + Evidence'!$K$11)</x:f>
        <x:v>GUI</x:v>
      </x:c>
      <x:c r="R13" s="14" t="n">
        <x:f>IF(AND(Q13='Read Me + Evidence'!$K$11,OR(D13='Read Me + Evidence'!$H$7,D13='Read Me + Evidence'!$H$8,D13='Read Me + Evidence'!$H$9)),1,0)</x:f>
        <x:v>0</x:v>
      </x:c>
      <x:c r="S13" s="14" t="n">
        <x:f>IF(AND(Q13='Read Me + Evidence'!$K$11,D13='Read Me + Evidence'!$H$7),1,0)</x:f>
        <x:v>0</x:v>
      </x:c>
      <x:c r="T13" s="14" t="n">
        <x:f>IF(AND(Q13='Read Me + Evidence'!$K$11,D13&lt;&gt;'Read Me + Evidence'!$H$12),1,0)</x:f>
        <x:v>1</x:v>
      </x:c>
      <x:c r="U13" s="3" t="str"/>
    </x:row>
    <x:row r="14" ht="153" customHeight="1">
      <x:c r="A14" s="3" t="str">
        <x:v>GUI-01</x:v>
      </x:c>
      <x:c r="B14" s="3" t="str">
        <x:v>Home / desktop and windows</x:v>
      </x:c>
      <x:c r="C14" s="3" t="str">
        <x:v>Setup progression</x:v>
      </x:c>
      <x:c r="D14" s="13" t="str">
        <x:v>Blocked prerequisite</x:v>
      </x:c>
      <x:c r="E14" s="3" t="str">
        <x:v>Setup reflects actual recovery/Profile readiness; completion must not overstate coverage of the downloaded kit.</x:v>
      </x:c>
      <x:c r="F14" s="12" t="str">
        <x:v>Current setup/readiness was inspected earlier; full progression requires the user to export recovery data and create an approved public Profile. No recovery secret or identity mutation was made.</x:v>
      </x:c>
      <x:c r="G14" s="3" t="str">
        <x:v>controlled-identity</x:v>
      </x:c>
      <x:c r="H14" s="3" t="str">
        <x:v>source-defect</x:v>
      </x:c>
      <x:c r="I14" s="3" t="str">
        <x:v>Save Recovery Kit; Create Profile; Close setup</x:v>
      </x:c>
      <x:c r="J14" s="3" t="str">
        <x:v>1. Open setup sheet
2. Inspect current next step
3. Close/reopen</x:v>
      </x:c>
      <x:c r="K14" s="3" t="str">
        <x:v>New principal; User controls recovery data</x:v>
      </x:c>
      <x:c r="L14" s="3" t="str">
        <x:v>F-01; F-03; F-04</x:v>
      </x:c>
      <x:c r="M14" s="3" t="str"/>
      <x:c r="N14" s="3" t="str">
        <x:v>E-043; E-053</x:v>
      </x:c>
      <x:c r="O14" s="3" t="str">
        <x:v>S-007</x:v>
      </x:c>
      <x:c r="P14" s="3" t="str">
        <x:v>home-gui</x:v>
      </x:c>
      <x:c r="Q14" s="3" t="str">
        <x:f>IF(OR(H14='Read Me + Evidence'!$K$6,H14='Read Me + Evidence'!$K$7,H14='Read Me + Evidence'!$K$8,P14='Read Me + Evidence'!$K$9,P14='Read Me + Evidence'!$K$10),'Read Me + Evidence'!$K$12,'Read Me + Evidence'!$K$11)</x:f>
        <x:v>GUI</x:v>
      </x:c>
      <x:c r="R14" s="14" t="n">
        <x:f>IF(AND(Q14='Read Me + Evidence'!$K$11,OR(D14='Read Me + Evidence'!$H$7,D14='Read Me + Evidence'!$H$8,D14='Read Me + Evidence'!$H$9)),1,0)</x:f>
        <x:v>0</x:v>
      </x:c>
      <x:c r="S14" s="14" t="n">
        <x:f>IF(AND(Q14='Read Me + Evidence'!$K$11,D14='Read Me + Evidence'!$H$7),1,0)</x:f>
        <x:v>0</x:v>
      </x:c>
      <x:c r="T14" s="14" t="n">
        <x:f>IF(AND(Q14='Read Me + Evidence'!$K$11,D14&lt;&gt;'Read Me + Evidence'!$H$12),1,0)</x:f>
        <x:v>1</x:v>
      </x:c>
      <x:c r="U14" s="3" t="str"/>
    </x:row>
    <x:row r="15" ht="153" customHeight="1">
      <x:c r="A15" s="3" t="str">
        <x:v>GUI-02</x:v>
      </x:c>
      <x:c r="B15" s="3" t="str">
        <x:v>Home / desktop and windows</x:v>
      </x:c>
      <x:c r="C15" s="3" t="str">
        <x:v>Desktop first layout</x:v>
      </x:c>
      <x:c r="D15" s="13" t="str">
        <x:v>Partially observed</x:v>
      </x:c>
      <x:c r="E15" s="3" t="str">
        <x:v>Admitted content shows its capsule icon and a compact visible layout. Hidden entries do not leave unexplained gaps.</x:v>
      </x:c>
      <x:c r="F15" s="12" t="str">
        <x:v>2026-08-30 Brave: both Nonogram Advance and uCity icons render on desktop and launcher. Existing saved positions remain sparse and untouched. First-run layout needs a fresh disposable principal, so this journey remains partial.</x:v>
      </x:c>
      <x:c r="G15" s="3" t="str">
        <x:v>safe-read-only</x:v>
      </x:c>
      <x:c r="H15" s="3" t="str">
        <x:v>source-defect</x:v>
      </x:c>
      <x:c r="I15" s="3" t="str">
        <x:v>uCity; Nonogram; Trash</x:v>
      </x:c>
      <x:c r="J15" s="3" t="str">
        <x:v>1. Inspect initial icons and positions without moving them</x:v>
      </x:c>
      <x:c r="K15" s="3" t="str">
        <x:v>Signed-in Home</x:v>
      </x:c>
      <x:c r="L15" s="3" t="str">
        <x:v>F-06; F-07</x:v>
      </x:c>
      <x:c r="M15" s="3" t="str">
        <x:v>User reports broken game icons and scattered first-run placement. [User report; source roots F-06/F-07.]</x:v>
      </x:c>
      <x:c r="N15" s="3" t="str">
        <x:v>E-033</x:v>
      </x:c>
      <x:c r="O15" s="3" t="str">
        <x:v>S-008, S-009</x:v>
      </x:c>
      <x:c r="P15" s="3" t="str">
        <x:v>home-gui</x:v>
      </x:c>
      <x:c r="Q15" s="3" t="str">
        <x:f>IF(OR(H15='Read Me + Evidence'!$K$6,H15='Read Me + Evidence'!$K$7,H15='Read Me + Evidence'!$K$8,P15='Read Me + Evidence'!$K$9,P15='Read Me + Evidence'!$K$10),'Read Me + Evidence'!$K$12,'Read Me + Evidence'!$K$11)</x:f>
        <x:v>GUI</x:v>
      </x:c>
      <x:c r="R15" s="14" t="n">
        <x:f>IF(AND(Q15='Read Me + Evidence'!$K$11,OR(D15='Read Me + Evidence'!$H$7,D15='Read Me + Evidence'!$H$8,D15='Read Me + Evidence'!$H$9)),1,0)</x:f>
        <x:v>1</x:v>
      </x:c>
      <x:c r="S15" s="14" t="n">
        <x:f>IF(AND(Q15='Read Me + Evidence'!$K$11,D15='Read Me + Evidence'!$H$7),1,0)</x:f>
        <x:v>0</x:v>
      </x:c>
      <x:c r="T15" s="14" t="n">
        <x:f>IF(AND(Q15='Read Me + Evidence'!$K$11,D15&lt;&gt;'Read Me + Evidence'!$H$12),1,0)</x:f>
        <x:v>1</x:v>
      </x:c>
      <x:c r="U15" s="3" t="str"/>
    </x:row>
    <x:row r="16" ht="153" customHeight="1">
      <x:c r="A16" s="3" t="str">
        <x:v>GUI-03</x:v>
      </x:c>
      <x:c r="B16" s="3" t="str">
        <x:v>Home / desktop and windows</x:v>
      </x:c>
      <x:c r="C16" s="3" t="str">
        <x:v>Launcher browse and search</x:v>
      </x:c>
      <x:c r="D16" s="13" t="str">
        <x:v>Pass</x:v>
      </x:c>
      <x:c r="E16" s="3" t="str">
        <x:v>Catalog items retain names/icons, keyboard focus, and honest no-result state.</x:v>
      </x:c>
      <x:c r="F16" s="12" t="str">
        <x:v>Launcher browsing exposes 16 named apps. Grid/list, Search, Escape, and focus return have prior live proof. E-108 confirms that every current launcher target opens through Home search on the isolated candidate install.</x:v>
      </x:c>
      <x:c r="G16" s="3" t="str">
        <x:v>safe-read-only</x:v>
      </x:c>
      <x:c r="H16" s="3" t="str">
        <x:v>implemented-source</x:v>
      </x:c>
      <x:c r="I16" s="3" t="str">
        <x:v>Apps; Search; Grid/List</x:v>
      </x:c>
      <x:c r="J16" s="3" t="str">
        <x:v>1. Open launcher
2. Search matching and absent names
3. Switch grid/list
4. Escape</x:v>
      </x:c>
      <x:c r="K16" s="3" t="str">
        <x:v>Signed-in Home</x:v>
      </x:c>
      <x:c r="L16" s="3" t="str"/>
      <x:c r="M16" s="3" t="str"/>
      <x:c r="N16" s="3" t="str">
        <x:v>E-033; E-037; E-108</x:v>
      </x:c>
      <x:c r="O16" s="3" t="str">
        <x:v>S-010</x:v>
      </x:c>
      <x:c r="P16" s="3" t="str">
        <x:v>home-gui</x:v>
      </x:c>
      <x:c r="Q16" s="3" t="str">
        <x:f>IF(OR(H16='Read Me + Evidence'!$K$6,H16='Read Me + Evidence'!$K$7,H16='Read Me + Evidence'!$K$8,P16='Read Me + Evidence'!$K$9,P16='Read Me + Evidence'!$K$10),'Read Me + Evidence'!$K$12,'Read Me + Evidence'!$K$11)</x:f>
        <x:v>GUI</x:v>
      </x:c>
      <x:c r="R16" s="14" t="n">
        <x:f>IF(AND(Q16='Read Me + Evidence'!$K$11,OR(D16='Read Me + Evidence'!$H$7,D16='Read Me + Evidence'!$H$8,D16='Read Me + Evidence'!$H$9)),1,0)</x:f>
        <x:v>1</x:v>
      </x:c>
      <x:c r="S16" s="14" t="n">
        <x:f>IF(AND(Q16='Read Me + Evidence'!$K$11,D16='Read Me + Evidence'!$H$7),1,0)</x:f>
        <x:v>1</x:v>
      </x:c>
      <x:c r="T16" s="14" t="n">
        <x:f>IF(AND(Q16='Read Me + Evidence'!$K$11,D16&lt;&gt;'Read Me + Evidence'!$H$12),1,0)</x:f>
        <x:v>1</x:v>
      </x:c>
      <x:c r="U16" s="3" t="str"/>
    </x:row>
    <x:row r="17" ht="153" customHeight="1">
      <x:c r="A17" s="3" t="str">
        <x:v>GUI-04</x:v>
      </x:c>
      <x:c r="B17" s="3" t="str">
        <x:v>Home / desktop and windows</x:v>
      </x:c>
      <x:c r="C17" s="3" t="str">
        <x:v>Spotlight sections</x:v>
      </x:c>
      <x:c r="D17" s="13" t="str">
        <x:v>Fail</x:v>
      </x:c>
      <x:c r="E17" s="3" t="str">
        <x:v>Results use Runtime-projected targets; launch opens the intended app/object.</x:v>
      </x:c>
      <x:c r="F17" s="12" t="str">
        <x:v>F15 Search interaction repair passes for apps. Current6edc667b saved audit document is visible in Documents/Library but neither au.md nor Audit yields a Home Search result. Source document consumer lacks a Home summary producer (F49).</x:v>
      </x:c>
      <x:c r="G17" s="3" t="str">
        <x:v>controlled-session</x:v>
      </x:c>
      <x:c r="H17" s="3" t="str">
        <x:v>implemented-source</x:v>
      </x:c>
      <x:c r="I17" s="3" t="str">
        <x:v>Search; Running; Recent; Apps; Library</x:v>
      </x:c>
      <x:c r="J17" s="3" t="str">
        <x:v>1. Search an installed app and harmless file
2. Select result
3. Return</x:v>
      </x:c>
      <x:c r="K17" s="3" t="str">
        <x:v>Signed-in Home; Optional disposable file</x:v>
      </x:c>
      <x:c r="L17" s="3" t="str">
        <x:v>F-15; F-49</x:v>
      </x:c>
      <x:c r="M17" s="3" t="str"/>
      <x:c r="N17" s="3" t="str">
        <x:v>E-033; E-036; E-037; E-061</x:v>
      </x:c>
      <x:c r="O17" s="3" t="str">
        <x:v>S-011</x:v>
      </x:c>
      <x:c r="P17" s="3" t="str">
        <x:v>home-gui</x:v>
      </x:c>
      <x:c r="Q17" s="3" t="str">
        <x:f>IF(OR(H17='Read Me + Evidence'!$K$6,H17='Read Me + Evidence'!$K$7,H17='Read Me + Evidence'!$K$8,P17='Read Me + Evidence'!$K$9,P17='Read Me + Evidence'!$K$10),'Read Me + Evidence'!$K$12,'Read Me + Evidence'!$K$11)</x:f>
        <x:v>GUI</x:v>
      </x:c>
      <x:c r="R17" s="14" t="n">
        <x:f>IF(AND(Q17='Read Me + Evidence'!$K$11,OR(D17='Read Me + Evidence'!$H$7,D17='Read Me + Evidence'!$H$8,D17='Read Me + Evidence'!$H$9)),1,0)</x:f>
        <x:v>1</x:v>
      </x:c>
      <x:c r="S17" s="14" t="n">
        <x:f>IF(AND(Q17='Read Me + Evidence'!$K$11,D17='Read Me + Evidence'!$H$7),1,0)</x:f>
        <x:v>0</x:v>
      </x:c>
      <x:c r="T17" s="14" t="n">
        <x:f>IF(AND(Q17='Read Me + Evidence'!$K$11,D17&lt;&gt;'Read Me + Evidence'!$H$12),1,0)</x:f>
        <x:v>1</x:v>
      </x:c>
      <x:c r="U17" s="3" t="str"/>
    </x:row>
    <x:row r="18" ht="153" customHeight="1">
      <x:c r="A18" s="3" t="str">
        <x:v>GUI-05</x:v>
      </x:c>
      <x:c r="B18" s="3" t="str">
        <x:v>Home / desktop and windows</x:v>
      </x:c>
      <x:c r="C18" s="3" t="str">
        <x:v>Window lifecycle</x:v>
      </x:c>
      <x:c r="D18" s="13" t="str">
        <x:v>Fail</x:v>
      </x:c>
      <x:c r="E18" s="3" t="str">
        <x:v>Home owns one chrome layer and exact focus/close lifecycle; content stays inside its window.</x:v>
      </x:c>
      <x:c r="F18" s="12" t="str">
        <x:v>Two audit app windows coexist with Home-owned chrome. Focus changes the active menu. Documents minimizes to the dock, restores, enters/exits fullscreen, closes and reopens; saved content survives. Existing browser tabs and other Runtime app sessions are preserved. E-081 adds F-56: Tab leaves the active Documents close dialog and focuses a Home launcher button. The earlier pointer/window and saved-content checks remain valid.</x:v>
      </x:c>
      <x:c r="G18" s="3" t="str">
        <x:v>controlled-session</x:v>
      </x:c>
      <x:c r="H18" s="3" t="str">
        <x:v>implemented-source</x:v>
      </x:c>
      <x:c r="I18" s="3" t="str">
        <x:v>Close; Minimize; Maximize/fullscreen</x:v>
      </x:c>
      <x:c r="J18" s="3" t="str">
        <x:v>1. Open two apps
2. Focus each
3. Minimize/restore
4. Maximize/restore
5. Close</x:v>
      </x:c>
      <x:c r="K18" s="3" t="str">
        <x:v>Disposable app windows</x:v>
      </x:c>
      <x:c r="L18" s="3" t="str">
        <x:v>F-27; F-56</x:v>
      </x:c>
      <x:c r="M18" s="3" t="str"/>
      <x:c r="N18" s="3" t="str">
        <x:v>E-044; E-045; E-081</x:v>
      </x:c>
      <x:c r="O18" s="3" t="str">
        <x:v>S-012</x:v>
      </x:c>
      <x:c r="P18" s="3" t="str">
        <x:v>home-gui</x:v>
      </x:c>
      <x:c r="Q18" s="3" t="str">
        <x:f>IF(OR(H18='Read Me + Evidence'!$K$6,H18='Read Me + Evidence'!$K$7,H18='Read Me + Evidence'!$K$8,P18='Read Me + Evidence'!$K$9,P18='Read Me + Evidence'!$K$10),'Read Me + Evidence'!$K$12,'Read Me + Evidence'!$K$11)</x:f>
        <x:v>GUI</x:v>
      </x:c>
      <x:c r="R18" s="14" t="n">
        <x:f>IF(AND(Q18='Read Me + Evidence'!$K$11,OR(D18='Read Me + Evidence'!$H$7,D18='Read Me + Evidence'!$H$8,D18='Read Me + Evidence'!$H$9)),1,0)</x:f>
        <x:v>1</x:v>
      </x:c>
      <x:c r="S18" s="14" t="n">
        <x:f>IF(AND(Q18='Read Me + Evidence'!$K$11,D18='Read Me + Evidence'!$H$7),1,0)</x:f>
        <x:v>0</x:v>
      </x:c>
      <x:c r="T18" s="14" t="n">
        <x:f>IF(AND(Q18='Read Me + Evidence'!$K$11,D18&lt;&gt;'Read Me + Evidence'!$H$12),1,0)</x:f>
        <x:v>1</x:v>
      </x:c>
      <x:c r="U18" s="3" t="str"/>
    </x:row>
    <x:row r="19" ht="153" customHeight="1">
      <x:c r="A19" s="3" t="str">
        <x:v>GUI-06</x:v>
      </x:c>
      <x:c r="B19" s="3" t="str">
        <x:v>Home / desktop and windows</x:v>
      </x:c>
      <x:c r="C19" s="3" t="str">
        <x:v>Window movement and narrow layout</x:v>
      </x:c>
      <x:c r="D19" s="13" t="str">
        <x:v>Fail</x:v>
      </x:c>
      <x:c r="E19" s="3" t="str">
        <x:v>Controls remain reachable; text and titlebars do not overlap; focus returns to selected window.</x:v>
      </x:c>
      <x:c r="F19" s="12" t="str">
        <x:v>An audit Library window resizes from about 1040×660 to 680×544 and moves through its Home title strip; controls remain reachable. Bounds are restored before close. F-57 records compact Details headers whose corresponding values are hidden.</x:v>
      </x:c>
      <x:c r="G19" s="3" t="str">
        <x:v>controlled-layout</x:v>
      </x:c>
      <x:c r="H19" s="3" t="str">
        <x:v>implemented-source</x:v>
      </x:c>
      <x:c r="I19" s="3" t="str">
        <x:v>Titlebar; Resize edges; Overview</x:v>
      </x:c>
      <x:c r="J19" s="3" t="str">
        <x:v>1. Move/resize test windows
2. Enter overview
3. Choose one
4. Inspect narrow viewport</x:v>
      </x:c>
      <x:c r="K19" s="3" t="str">
        <x:v>Disposable windows</x:v>
      </x:c>
      <x:c r="L19" s="3" t="str">
        <x:v>F-51; F-57</x:v>
      </x:c>
      <x:c r="M19" s="3" t="str"/>
      <x:c r="N19" s="3" t="str">
        <x:v>E-045; E-083</x:v>
      </x:c>
      <x:c r="O19" s="3" t="str">
        <x:v>S-013</x:v>
      </x:c>
      <x:c r="P19" s="3" t="str">
        <x:v>home-gui</x:v>
      </x:c>
      <x:c r="Q19" s="3" t="str">
        <x:f>IF(OR(H19='Read Me + Evidence'!$K$6,H19='Read Me + Evidence'!$K$7,H19='Read Me + Evidence'!$K$8,P19='Read Me + Evidence'!$K$9,P19='Read Me + Evidence'!$K$10),'Read Me + Evidence'!$K$12,'Read Me + Evidence'!$K$11)</x:f>
        <x:v>GUI</x:v>
      </x:c>
      <x:c r="R19" s="14" t="n">
        <x:f>IF(AND(Q19='Read Me + Evidence'!$K$11,OR(D19='Read Me + Evidence'!$H$7,D19='Read Me + Evidence'!$H$8,D19='Read Me + Evidence'!$H$9)),1,0)</x:f>
        <x:v>1</x:v>
      </x:c>
      <x:c r="S19" s="14" t="n">
        <x:f>IF(AND(Q19='Read Me + Evidence'!$K$11,D19='Read Me + Evidence'!$H$7),1,0)</x:f>
        <x:v>0</x:v>
      </x:c>
      <x:c r="T19" s="14" t="n">
        <x:f>IF(AND(Q19='Read Me + Evidence'!$K$11,D19&lt;&gt;'Read Me + Evidence'!$H$12),1,0)</x:f>
        <x:v>1</x:v>
      </x:c>
      <x:c r="U19" s="3" t="str"/>
    </x:row>
    <x:row r="20" ht="153" customHeight="1">
      <x:c r="A20" s="3" t="str">
        <x:v>GUI-07</x:v>
      </x:c>
      <x:c r="B20" s="3" t="str">
        <x:v>Home / desktop and windows</x:v>
      </x:c>
      <x:c r="C20" s="3" t="str">
        <x:v>Application menu handoff</x:v>
      </x:c>
      <x:c r="D20" s="13" t="str">
        <x:v>Pass</x:v>
      </x:c>
      <x:c r="E20" s="3" t="str">
        <x:v>Menu belongs to the focused app and uses admitted commands; stale app menus do not act on another window.</x:v>
      </x:c>
      <x:c r="F20" s="12" t="str">
        <x:v>Focused Library menu provides Refresh/Search/Icon/List; Icon View changes Library. Focused Documents menu provides New/Save/SaveAs/Publish/Delete plus its own View commands. Safe mode command verification continues under DOC-03; no stale Library command shown.</x:v>
      </x:c>
      <x:c r="G20" s="3" t="str">
        <x:v>safe-read-only</x:v>
      </x:c>
      <x:c r="H20" s="3" t="str">
        <x:v>implemented-source</x:v>
      </x:c>
      <x:c r="I20" s="3" t="str">
        <x:v>File; View; Close Window</x:v>
      </x:c>
      <x:c r="J20" s="3" t="str">
        <x:v>1. Focus Library then Documents
2. Inspect active menu
3. Use safe view command</x:v>
      </x:c>
      <x:c r="K20" s="3" t="str">
        <x:v>Signed-in Home</x:v>
      </x:c>
      <x:c r="L20" s="3" t="str"/>
      <x:c r="M20" s="3" t="str"/>
      <x:c r="N20" s="3" t="str">
        <x:v>E-044; E-045</x:v>
      </x:c>
      <x:c r="O20" s="3" t="str">
        <x:v>S-014</x:v>
      </x:c>
      <x:c r="P20" s="3" t="str">
        <x:v>home-gui</x:v>
      </x:c>
      <x:c r="Q20" s="3" t="str">
        <x:f>IF(OR(H20='Read Me + Evidence'!$K$6,H20='Read Me + Evidence'!$K$7,H20='Read Me + Evidence'!$K$8,P20='Read Me + Evidence'!$K$9,P20='Read Me + Evidence'!$K$10),'Read Me + Evidence'!$K$12,'Read Me + Evidence'!$K$11)</x:f>
        <x:v>GUI</x:v>
      </x:c>
      <x:c r="R20" s="14" t="n">
        <x:f>IF(AND(Q20='Read Me + Evidence'!$K$11,OR(D20='Read Me + Evidence'!$H$7,D20='Read Me + Evidence'!$H$8,D20='Read Me + Evidence'!$H$9)),1,0)</x:f>
        <x:v>1</x:v>
      </x:c>
      <x:c r="S20" s="14" t="n">
        <x:f>IF(AND(Q20='Read Me + Evidence'!$K$11,D20='Read Me + Evidence'!$H$7),1,0)</x:f>
        <x:v>1</x:v>
      </x:c>
      <x:c r="T20" s="14" t="n">
        <x:f>IF(AND(Q20='Read Me + Evidence'!$K$11,D20&lt;&gt;'Read Me + Evidence'!$H$12),1,0)</x:f>
        <x:v>1</x:v>
      </x:c>
      <x:c r="U20" s="3" t="str"/>
    </x:row>
    <x:row r="21" ht="153" customHeight="1">
      <x:c r="A21" s="3" t="str">
        <x:v>GUI-08</x:v>
      </x:c>
      <x:c r="B21" s="3" t="str">
        <x:v>Home / desktop and windows</x:v>
      </x:c>
      <x:c r="C21" s="3" t="str">
        <x:v>Home menu</x:v>
      </x:c>
      <x:c r="D21" s="13" t="str">
        <x:v>Pass</x:v>
      </x:c>
      <x:c r="E21" s="3" t="str">
        <x:v>Home routes to the named destination; focus returns to the invoking control.</x:v>
      </x:c>
      <x:c r="F21" s="12" t="str">
        <x:v>All non-destructive Home menu destinations verified: About/More Info/Shortcuts E056; Apps→Marketplace, Show Desktop→window hidden and retained, taskbar restore, System Settings→Accounts E061. Escape returns focus to Home menu. Lock/Sign Out excluded to preserve session.</x:v>
      </x:c>
      <x:c r="G21" s="3" t="str">
        <x:v>safe-read-only</x:v>
      </x:c>
      <x:c r="H21" s="3" t="str">
        <x:v>implemented-source</x:v>
      </x:c>
      <x:c r="I21" s="3" t="str">
        <x:v>About; System Settings; Apps; Show Desktop; Shortcuts</x:v>
      </x:c>
      <x:c r="J21" s="3" t="str">
        <x:v>1. Open each non-destructive destination
2. Close menu with Escape</x:v>
      </x:c>
      <x:c r="K21" s="3" t="str">
        <x:v>Signed-in Home</x:v>
      </x:c>
      <x:c r="L21" s="3" t="str">
        <x:v>F-18</x:v>
      </x:c>
      <x:c r="M21" s="3" t="str"/>
      <x:c r="N21" s="3" t="str">
        <x:v>E-042; E-055; E-056; E-061</x:v>
      </x:c>
      <x:c r="O21" s="3" t="str">
        <x:v>S-015</x:v>
      </x:c>
      <x:c r="P21" s="3" t="str">
        <x:v>home-gui</x:v>
      </x:c>
      <x:c r="Q21" s="3" t="str">
        <x:f>IF(OR(H21='Read Me + Evidence'!$K$6,H21='Read Me + Evidence'!$K$7,H21='Read Me + Evidence'!$K$8,P21='Read Me + Evidence'!$K$9,P21='Read Me + Evidence'!$K$10),'Read Me + Evidence'!$K$12,'Read Me + Evidence'!$K$11)</x:f>
        <x:v>GUI</x:v>
      </x:c>
      <x:c r="R21" s="14" t="n">
        <x:f>IF(AND(Q21='Read Me + Evidence'!$K$11,OR(D21='Read Me + Evidence'!$H$7,D21='Read Me + Evidence'!$H$8,D21='Read Me + Evidence'!$H$9)),1,0)</x:f>
        <x:v>1</x:v>
      </x:c>
      <x:c r="S21" s="14" t="n">
        <x:f>IF(AND(Q21='Read Me + Evidence'!$K$11,D21='Read Me + Evidence'!$H$7),1,0)</x:f>
        <x:v>1</x:v>
      </x:c>
      <x:c r="T21" s="14" t="n">
        <x:f>IF(AND(Q21='Read Me + Evidence'!$K$11,D21&lt;&gt;'Read Me + Evidence'!$H$12),1,0)</x:f>
        <x:v>1</x:v>
      </x:c>
      <x:c r="U21" s="3" t="str"/>
    </x:row>
    <x:row r="22" ht="153" customHeight="1">
      <x:c r="A22" s="3" t="str">
        <x:v>GUI-09</x:v>
      </x:c>
      <x:c r="B22" s="3" t="str">
        <x:v>Home / desktop and windows</x:v>
      </x:c>
      <x:c r="C22" s="3" t="str">
        <x:v>Desktop shortcut menu</x:v>
      </x:c>
      <x:c r="D22" s="13" t="str">
        <x:v>Partially observed</x:v>
      </x:c>
      <x:c r="E22" s="3" t="str">
        <x:v>Shortcut presentation changes do not delete capsule/content; renamed shortcuts remain identifiable.</x:v>
      </x:c>
      <x:c r="F22" s="12" t="str">
        <x:v>Shortcut menu distinguishes Open/Rename/Remove from Desktop/Pin to Shelf. Rename enters inline editor; Escape preserves original label. Existing shortcut membership and positions preserved.</x:v>
      </x:c>
      <x:c r="G22" s="3" t="str">
        <x:v>controlled-layout</x:v>
      </x:c>
      <x:c r="H22" s="3" t="str">
        <x:v>implemented-source</x:v>
      </x:c>
      <x:c r="I22" s="3" t="str">
        <x:v>Open; Rename; Remove from Desktop; Add to Desktop</x:v>
      </x:c>
      <x:c r="J22" s="3" t="str">
        <x:v>1. Inspect shortcut menu
2. Cancel rename
3. Add/remove only a disposable shortcut</x:v>
      </x:c>
      <x:c r="K22" s="3" t="str">
        <x:v>Disposable shortcut</x:v>
      </x:c>
      <x:c r="L22" s="3" t="str"/>
      <x:c r="M22" s="3" t="str"/>
      <x:c r="N22" s="3" t="str">
        <x:v>E-051</x:v>
      </x:c>
      <x:c r="O22" s="3" t="str">
        <x:v>S-016</x:v>
      </x:c>
      <x:c r="P22" s="3" t="str">
        <x:v>home-gui</x:v>
      </x:c>
      <x:c r="Q22" s="3" t="str">
        <x:f>IF(OR(H22='Read Me + Evidence'!$K$6,H22='Read Me + Evidence'!$K$7,H22='Read Me + Evidence'!$K$8,P22='Read Me + Evidence'!$K$9,P22='Read Me + Evidence'!$K$10),'Read Me + Evidence'!$K$12,'Read Me + Evidence'!$K$11)</x:f>
        <x:v>GUI</x:v>
      </x:c>
      <x:c r="R22" s="14" t="n">
        <x:f>IF(AND(Q22='Read Me + Evidence'!$K$11,OR(D22='Read Me + Evidence'!$H$7,D22='Read Me + Evidence'!$H$8,D22='Read Me + Evidence'!$H$9)),1,0)</x:f>
        <x:v>1</x:v>
      </x:c>
      <x:c r="S22" s="14" t="n">
        <x:f>IF(AND(Q22='Read Me + Evidence'!$K$11,D22='Read Me + Evidence'!$H$7),1,0)</x:f>
        <x:v>0</x:v>
      </x:c>
      <x:c r="T22" s="14" t="n">
        <x:f>IF(AND(Q22='Read Me + Evidence'!$K$11,D22&lt;&gt;'Read Me + Evidence'!$H$12),1,0)</x:f>
        <x:v>1</x:v>
      </x:c>
      <x:c r="U22" s="3" t="str"/>
    </x:row>
    <x:row r="23" ht="153" customHeight="1">
      <x:c r="A23" s="3" t="str">
        <x:v>GUI-10</x:v>
      </x:c>
      <x:c r="B23" s="3" t="str">
        <x:v>Home / desktop and windows</x:v>
      </x:c>
      <x:c r="C23" s="3" t="str">
        <x:v>Desktop file menu</x:v>
      </x:c>
      <x:c r="D23" s="13" t="str">
        <x:v>Partially observed</x:v>
      </x:c>
      <x:c r="E23" s="3" t="str">
        <x:v>Runtime file operations stay distinct from shortcut edits and preserve confirmation/error behavior.</x:v>
      </x:c>
      <x:c r="F23" s="12" t="str">
        <x:v>Disposable Desktop copy exposes Open, Show in Library, Rename, Move to Trash, Download and Properties. Rename preview was cancelled; no user desktop file changed.</x:v>
      </x:c>
      <x:c r="G23" s="3" t="str">
        <x:v>controlled-files</x:v>
      </x:c>
      <x:c r="H23" s="3" t="str">
        <x:v>implemented-source</x:v>
      </x:c>
      <x:c r="I23" s="3" t="str">
        <x:v>Open; Rename; Trash</x:v>
      </x:c>
      <x:c r="J23" s="3" t="str">
        <x:v>1. Inspect a disposable desktop file menu
2. Cancel edit/delete</x:v>
      </x:c>
      <x:c r="K23" s="3" t="str">
        <x:v>Disposable desktop file</x:v>
      </x:c>
      <x:c r="L23" s="3" t="str"/>
      <x:c r="M23" s="3" t="str"/>
      <x:c r="N23" s="3" t="str">
        <x:v>E-051</x:v>
      </x:c>
      <x:c r="O23" s="3" t="str">
        <x:v>S-017</x:v>
      </x:c>
      <x:c r="P23" s="3" t="str">
        <x:v>home-gui</x:v>
      </x:c>
      <x:c r="Q23" s="3" t="str">
        <x:f>IF(OR(H23='Read Me + Evidence'!$K$6,H23='Read Me + Evidence'!$K$7,H23='Read Me + Evidence'!$K$8,P23='Read Me + Evidence'!$K$9,P23='Read Me + Evidence'!$K$10),'Read Me + Evidence'!$K$12,'Read Me + Evidence'!$K$11)</x:f>
        <x:v>GUI</x:v>
      </x:c>
      <x:c r="R23" s="14" t="n">
        <x:f>IF(AND(Q23='Read Me + Evidence'!$K$11,OR(D23='Read Me + Evidence'!$H$7,D23='Read Me + Evidence'!$H$8,D23='Read Me + Evidence'!$H$9)),1,0)</x:f>
        <x:v>1</x:v>
      </x:c>
      <x:c r="S23" s="14" t="n">
        <x:f>IF(AND(Q23='Read Me + Evidence'!$K$11,D23='Read Me + Evidence'!$H$7),1,0)</x:f>
        <x:v>0</x:v>
      </x:c>
      <x:c r="T23" s="14" t="n">
        <x:f>IF(AND(Q23='Read Me + Evidence'!$K$11,D23&lt;&gt;'Read Me + Evidence'!$H$12),1,0)</x:f>
        <x:v>1</x:v>
      </x:c>
      <x:c r="U23" s="3" t="str"/>
    </x:row>
    <x:row r="24" ht="153" customHeight="1">
      <x:c r="A24" s="3" t="str">
        <x:v>GUI-11</x:v>
      </x:c>
      <x:c r="B24" s="3" t="str">
        <x:v>Home / desktop and windows</x:v>
      </x:c>
      <x:c r="C24" s="3" t="str">
        <x:v>Arrange and select desktop</x:v>
      </x:c>
      <x:c r="D24" s="13" t="str">
        <x:v>Partially observed</x:v>
      </x:c>
      <x:c r="E24" s="3" t="str">
        <x:v>Visible items stay in bounds; explicit arrangement is deterministic and saved positions survive reload.</x:v>
      </x:c>
      <x:c r="F24" s="12" t="str">
        <x:v>Desktop selection and context menu work; Auto-arrange and Hide Desktop Icons are available. Existing icon positions/layout were preserved; drag/arrange persistence remains unexecuted.</x:v>
      </x:c>
      <x:c r="G24" s="3" t="str">
        <x:v>controlled-layout</x:v>
      </x:c>
      <x:c r="H24" s="3" t="str">
        <x:v>implemented-source</x:v>
      </x:c>
      <x:c r="I24" s="3" t="str">
        <x:v>Multi-select; Drag; Auto arrange</x:v>
      </x:c>
      <x:c r="J24" s="3" t="str">
        <x:v>1. Inspect selection and drag preview
2. Arrange only with owner consent</x:v>
      </x:c>
      <x:c r="K24" s="3" t="str">
        <x:v>Consent to alter test layout</x:v>
      </x:c>
      <x:c r="L24" s="3" t="str">
        <x:v>F-07</x:v>
      </x:c>
      <x:c r="M24" s="3" t="str"/>
      <x:c r="N24" s="3" t="str">
        <x:v>E-051</x:v>
      </x:c>
      <x:c r="O24" s="3" t="str">
        <x:v>S-018</x:v>
      </x:c>
      <x:c r="P24" s="3" t="str">
        <x:v>home-gui</x:v>
      </x:c>
      <x:c r="Q24" s="3" t="str">
        <x:f>IF(OR(H24='Read Me + Evidence'!$K$6,H24='Read Me + Evidence'!$K$7,H24='Read Me + Evidence'!$K$8,P24='Read Me + Evidence'!$K$9,P24='Read Me + Evidence'!$K$10),'Read Me + Evidence'!$K$12,'Read Me + Evidence'!$K$11)</x:f>
        <x:v>GUI</x:v>
      </x:c>
      <x:c r="R24" s="14" t="n">
        <x:f>IF(AND(Q24='Read Me + Evidence'!$K$11,OR(D24='Read Me + Evidence'!$H$7,D24='Read Me + Evidence'!$H$8,D24='Read Me + Evidence'!$H$9)),1,0)</x:f>
        <x:v>1</x:v>
      </x:c>
      <x:c r="S24" s="14" t="n">
        <x:f>IF(AND(Q24='Read Me + Evidence'!$K$11,D24='Read Me + Evidence'!$H$7),1,0)</x:f>
        <x:v>0</x:v>
      </x:c>
      <x:c r="T24" s="14" t="n">
        <x:f>IF(AND(Q24='Read Me + Evidence'!$K$11,D24&lt;&gt;'Read Me + Evidence'!$H$12),1,0)</x:f>
        <x:v>1</x:v>
      </x:c>
      <x:c r="U24" s="3" t="str"/>
    </x:row>
    <x:row r="25" ht="153" customHeight="1">
      <x:c r="A25" s="3" t="str">
        <x:v>GUI-12</x:v>
      </x:c>
      <x:c r="B25" s="3" t="str">
        <x:v>Home / desktop and windows</x:v>
      </x:c>
      <x:c r="C25" s="3" t="str">
        <x:v>Dock controls</x:v>
      </x:c>
      <x:c r="D25" s="13" t="str">
        <x:v>Partially observed</x:v>
      </x:c>
      <x:c r="E25" s="3" t="str">
        <x:v>Dock and desktop membership remain independent; group window actions target only that app.</x:v>
      </x:c>
      <x:c r="F25" s="12" t="str">
        <x:v>Pinned Library context menu offers New Window and Remove from Shelf. New Window works. Existing dock membership/order preserved; grouped-window actions/reorder need a disposable pin fixture.</x:v>
      </x:c>
      <x:c r="G25" s="3" t="str">
        <x:v>controlled-layout</x:v>
      </x:c>
      <x:c r="H25" s="3" t="str">
        <x:v>implemented-source</x:v>
      </x:c>
      <x:c r="I25" s="3" t="str">
        <x:v>Pin/unpin; Drag reorder; Show/Hide/Close all windows</x:v>
      </x:c>
      <x:c r="J25" s="3" t="str">
        <x:v>1. Inspect dock context menu
2. Reorder test pin
3. Restore</x:v>
      </x:c>
      <x:c r="K25" s="3" t="str">
        <x:v>Disposable windows/pins</x:v>
      </x:c>
      <x:c r="L25" s="3" t="str"/>
      <x:c r="M25" s="3" t="str"/>
      <x:c r="N25" s="3" t="str">
        <x:v>E-051</x:v>
      </x:c>
      <x:c r="O25" s="3" t="str">
        <x:v>S-019, S-020</x:v>
      </x:c>
      <x:c r="P25" s="3" t="str">
        <x:v>home-gui</x:v>
      </x:c>
      <x:c r="Q25" s="3" t="str">
        <x:f>IF(OR(H25='Read Me + Evidence'!$K$6,H25='Read Me + Evidence'!$K$7,H25='Read Me + Evidence'!$K$8,P25='Read Me + Evidence'!$K$9,P25='Read Me + Evidence'!$K$10),'Read Me + Evidence'!$K$12,'Read Me + Evidence'!$K$11)</x:f>
        <x:v>GUI</x:v>
      </x:c>
      <x:c r="R25" s="14" t="n">
        <x:f>IF(AND(Q25='Read Me + Evidence'!$K$11,OR(D25='Read Me + Evidence'!$H$7,D25='Read Me + Evidence'!$H$8,D25='Read Me + Evidence'!$H$9)),1,0)</x:f>
        <x:v>1</x:v>
      </x:c>
      <x:c r="S25" s="14" t="n">
        <x:f>IF(AND(Q25='Read Me + Evidence'!$K$11,D25='Read Me + Evidence'!$H$7),1,0)</x:f>
        <x:v>0</x:v>
      </x:c>
      <x:c r="T25" s="14" t="n">
        <x:f>IF(AND(Q25='Read Me + Evidence'!$K$11,D25&lt;&gt;'Read Me + Evidence'!$H$12),1,0)</x:f>
        <x:v>1</x:v>
      </x:c>
      <x:c r="U25" s="3" t="str"/>
    </x:row>
    <x:row r="26" ht="153" customHeight="1">
      <x:c r="A26" s="3" t="str">
        <x:v>GUI-13</x:v>
      </x:c>
      <x:c r="B26" s="3" t="str">
        <x:v>Home / desktop and windows</x:v>
      </x:c>
      <x:c r="C26" s="3" t="str">
        <x:v>Status and quick settings</x:v>
      </x:c>
      <x:c r="D26" s="13" t="str">
        <x:v>Fail</x:v>
      </x:c>
      <x:c r="E26" s="3" t="str">
        <x:v>Quick settings agree with System; effectful approvals open the trusted review path.</x:v>
      </x:c>
      <x:c r="F26" s="12" t="str">
        <x:v>Status panel shows Dark/Blue, Focus on, discovery off, sounds off, auto-hide dock off and desktop icons on. Light selection visibly changes checked state; Dark is restored. Identity/network and layout controls remain unchanged. F-30: theme switching exposes missing light-logo asset and a broken bar image.</x:v>
      </x:c>
      <x:c r="G26" s="3" t="str">
        <x:v>controlled-layout</x:v>
      </x:c>
      <x:c r="H26" s="3" t="str">
        <x:v>implemented-source</x:v>
      </x:c>
      <x:c r="I26" s="3" t="str">
        <x:v>Theme; Accent; Focus; Approvals; Sounds; Dock auto-hide; Desktop icons</x:v>
      </x:c>
      <x:c r="J26" s="3" t="str">
        <x:v>1. Open status panel
2. Inspect each control
3. Change and restore presentation options</x:v>
      </x:c>
      <x:c r="K26" s="3" t="str">
        <x:v>Restore original presentation values</x:v>
      </x:c>
      <x:c r="L26" s="3" t="str">
        <x:v>F-30</x:v>
      </x:c>
      <x:c r="M26" s="3" t="str"/>
      <x:c r="N26" s="3" t="str">
        <x:v>E-046</x:v>
      </x:c>
      <x:c r="O26" s="3" t="str">
        <x:v>S-021</x:v>
      </x:c>
      <x:c r="P26" s="3" t="str">
        <x:v>home-gui</x:v>
      </x:c>
      <x:c r="Q26" s="3" t="str">
        <x:f>IF(OR(H26='Read Me + Evidence'!$K$6,H26='Read Me + Evidence'!$K$7,H26='Read Me + Evidence'!$K$8,P26='Read Me + Evidence'!$K$9,P26='Read Me + Evidence'!$K$10),'Read Me + Evidence'!$K$12,'Read Me + Evidence'!$K$11)</x:f>
        <x:v>GUI</x:v>
      </x:c>
      <x:c r="R26" s="14" t="n">
        <x:f>IF(AND(Q26='Read Me + Evidence'!$K$11,OR(D26='Read Me + Evidence'!$H$7,D26='Read Me + Evidence'!$H$8,D26='Read Me + Evidence'!$H$9)),1,0)</x:f>
        <x:v>1</x:v>
      </x:c>
      <x:c r="S26" s="14" t="n">
        <x:f>IF(AND(Q26='Read Me + Evidence'!$K$11,D26='Read Me + Evidence'!$H$7),1,0)</x:f>
        <x:v>0</x:v>
      </x:c>
      <x:c r="T26" s="14" t="n">
        <x:f>IF(AND(Q26='Read Me + Evidence'!$K$11,D26&lt;&gt;'Read Me + Evidence'!$H$12),1,0)</x:f>
        <x:v>1</x:v>
      </x:c>
      <x:c r="U26" s="3" t="str"/>
    </x:row>
    <x:row r="27" ht="153" customHeight="1">
      <x:c r="A27" s="3" t="str">
        <x:v>GUI-14</x:v>
      </x:c>
      <x:c r="B27" s="3" t="str">
        <x:v>Home / desktop and windows</x:v>
      </x:c>
      <x:c r="C27" s="3" t="str">
        <x:v>Wallet and Inbox rails</x:v>
      </x:c>
      <x:c r="D27" s="13" t="str">
        <x:v>Pass</x:v>
      </x:c>
      <x:c r="E27" s="3" t="str">
        <x:v>Rail and full app show the same Runtime state and close without losing focus.</x:v>
      </x:c>
      <x:c r="F27" s="12" t="str">
        <x:v>Installed 26388f8d: Wallet and Inbox top-bar panels open, show matching state, close with focus return, and hand off to full windows. Wallet Settings, Activity and privacy restoration pass. Inbox refresh preserves one pending request.</x:v>
      </x:c>
      <x:c r="G27" s="3" t="str">
        <x:v>safe-read-only</x:v>
      </x:c>
      <x:c r="H27" s="3" t="str">
        <x:v>implemented-source</x:v>
      </x:c>
      <x:c r="I27" s="3" t="str">
        <x:v>Wallet; Inbox; Approval focus</x:v>
      </x:c>
      <x:c r="J27" s="3" t="str">
        <x:v>1. Open rails
2. Inspect empty/content state
3. Open full app</x:v>
      </x:c>
      <x:c r="K27" s="3" t="str">
        <x:v>Signed-in Home</x:v>
      </x:c>
      <x:c r="L27" s="3" t="str">
        <x:v>F-29</x:v>
      </x:c>
      <x:c r="M27" s="3" t="str"/>
      <x:c r="N27" s="3" t="str">
        <x:v>E-046; E-098; E-099; E-100</x:v>
      </x:c>
      <x:c r="O27" s="3" t="str">
        <x:v>S-022</x:v>
      </x:c>
      <x:c r="P27" s="3" t="str">
        <x:v>home-gui</x:v>
      </x:c>
      <x:c r="Q27" s="3" t="str">
        <x:f>IF(OR(H27='Read Me + Evidence'!$K$6,H27='Read Me + Evidence'!$K$7,H27='Read Me + Evidence'!$K$8,P27='Read Me + Evidence'!$K$9,P27='Read Me + Evidence'!$K$10),'Read Me + Evidence'!$K$12,'Read Me + Evidence'!$K$11)</x:f>
        <x:v>GUI</x:v>
      </x:c>
      <x:c r="R27" s="14" t="n">
        <x:f>IF(AND(Q27='Read Me + Evidence'!$K$11,OR(D27='Read Me + Evidence'!$H$7,D27='Read Me + Evidence'!$H$8,D27='Read Me + Evidence'!$H$9)),1,0)</x:f>
        <x:v>1</x:v>
      </x:c>
      <x:c r="S27" s="14" t="n">
        <x:f>IF(AND(Q27='Read Me + Evidence'!$K$11,D27='Read Me + Evidence'!$H$7),1,0)</x:f>
        <x:v>1</x:v>
      </x:c>
      <x:c r="T27" s="14" t="n">
        <x:f>IF(AND(Q27='Read Me + Evidence'!$K$11,D27&lt;&gt;'Read Me + Evidence'!$H$12),1,0)</x:f>
        <x:v>1</x:v>
      </x:c>
      <x:c r="U27" s="3" t="str"/>
    </x:row>
    <x:row r="28" ht="153" customHeight="1">
      <x:c r="A28" s="3" t="str">
        <x:v>GUI-15</x:v>
      </x:c>
      <x:c r="B28" s="3" t="str">
        <x:v>Home / desktop and windows</x:v>
      </x:c>
      <x:c r="C28" s="3" t="str">
        <x:v>Notifications</x:v>
      </x:c>
      <x:c r="D28" s="13" t="str">
        <x:v>Partially observed</x:v>
      </x:c>
      <x:c r="E28" s="3" t="str">
        <x:v>Review leads to the owning app; dismissal changes notification presentation, not approval authority.</x:v>
      </x:c>
      <x:c r="F28" s="12" t="str">
        <x:v>Clock history and Status → Approvals now open the same pending Inbox request. Calendar, history and request remain intact. Empty-state and dismissal checks need a disposable notification; approval and Clear history were untouched.</x:v>
      </x:c>
      <x:c r="G28" s="3" t="str">
        <x:v>controlled-notification</x:v>
      </x:c>
      <x:c r="H28" s="3" t="str">
        <x:v>implemented-source</x:v>
      </x:c>
      <x:c r="I28" s="3" t="str">
        <x:v>Clock; Review; Dismiss; Clear history</x:v>
      </x:c>
      <x:c r="J28" s="3" t="str">
        <x:v>1. Inspect empty and populated panel
2. Open test request
3. Dismiss only test notice</x:v>
      </x:c>
      <x:c r="K28" s="3" t="str">
        <x:v>Disposable notification</x:v>
      </x:c>
      <x:c r="L28" s="3" t="str">
        <x:v>F-29</x:v>
      </x:c>
      <x:c r="M28" s="3" t="str"/>
      <x:c r="N28" s="3" t="str">
        <x:v>E-046; E-098; E-099; E-100</x:v>
      </x:c>
      <x:c r="O28" s="3" t="str">
        <x:v>S-023</x:v>
      </x:c>
      <x:c r="P28" s="3" t="str">
        <x:v>home-gui</x:v>
      </x:c>
      <x:c r="Q28" s="3" t="str">
        <x:f>IF(OR(H28='Read Me + Evidence'!$K$6,H28='Read Me + Evidence'!$K$7,H28='Read Me + Evidence'!$K$8,P28='Read Me + Evidence'!$K$9,P28='Read Me + Evidence'!$K$10),'Read Me + Evidence'!$K$12,'Read Me + Evidence'!$K$11)</x:f>
        <x:v>GUI</x:v>
      </x:c>
      <x:c r="R28" s="14" t="n">
        <x:f>IF(AND(Q28='Read Me + Evidence'!$K$11,OR(D28='Read Me + Evidence'!$H$7,D28='Read Me + Evidence'!$H$8,D28='Read Me + Evidence'!$H$9)),1,0)</x:f>
        <x:v>1</x:v>
      </x:c>
      <x:c r="S28" s="14" t="n">
        <x:f>IF(AND(Q28='Read Me + Evidence'!$K$11,D28='Read Me + Evidence'!$H$7),1,0)</x:f>
        <x:v>0</x:v>
      </x:c>
      <x:c r="T28" s="14" t="n">
        <x:f>IF(AND(Q28='Read Me + Evidence'!$K$11,D28&lt;&gt;'Read Me + Evidence'!$H$12),1,0)</x:f>
        <x:v>1</x:v>
      </x:c>
      <x:c r="U28" s="3" t="str"/>
    </x:row>
    <x:row r="29" ht="153" customHeight="1">
      <x:c r="A29" s="3" t="str">
        <x:v>GUI-16</x:v>
      </x:c>
      <x:c r="B29" s="3" t="str">
        <x:v>Home / desktop and windows</x:v>
      </x:c>
      <x:c r="C29" s="3" t="str">
        <x:v>Clipboard across apps</x:v>
      </x:c>
      <x:c r="D29" s="13" t="str">
        <x:v>Blocked prerequisite</x:v>
      </x:c>
      <x:c r="E29" s="3" t="str">
        <x:v>Home mediates clipboard per app/session and reports denied/unavailable state honestly.</x:v>
      </x:c>
      <x:c r="F29" s="12" t="str">
        <x:v>Cross-app Clipboard still needs harmless staged text and explicit native transfer consent. Recovered Desktop is usable after the separate F-44 reload workaround. Host Clipboard contents remain unchanged.</x:v>
      </x:c>
      <x:c r="G29" s="3" t="str">
        <x:v>controlled-clipboard</x:v>
      </x:c>
      <x:c r="H29" s="3" t="str">
        <x:v>implemented-source</x:v>
      </x:c>
      <x:c r="I29" s="3" t="str">
        <x:v>Copy; Paste; Host consent</x:v>
      </x:c>
      <x:c r="J29" s="3" t="str">
        <x:v>1. Copy harmless text from People/Documents
2. Paste into disposable editor
3. Cancel one consent</x:v>
      </x:c>
      <x:c r="K29" s="3" t="str">
        <x:v>Harmless text only</x:v>
      </x:c>
      <x:c r="L29" s="3" t="str"/>
      <x:c r="M29" s="3" t="str"/>
      <x:c r="N29" s="3" t="str">
        <x:v>E-054</x:v>
      </x:c>
      <x:c r="O29" s="3" t="str">
        <x:v>S-006, S-024</x:v>
      </x:c>
      <x:c r="P29" s="3" t="str">
        <x:v>home-gui</x:v>
      </x:c>
      <x:c r="Q29" s="3" t="str">
        <x:f>IF(OR(H29='Read Me + Evidence'!$K$6,H29='Read Me + Evidence'!$K$7,H29='Read Me + Evidence'!$K$8,P29='Read Me + Evidence'!$K$9,P29='Read Me + Evidence'!$K$10),'Read Me + Evidence'!$K$12,'Read Me + Evidence'!$K$11)</x:f>
        <x:v>GUI</x:v>
      </x:c>
      <x:c r="R29" s="14" t="n">
        <x:f>IF(AND(Q29='Read Me + Evidence'!$K$11,OR(D29='Read Me + Evidence'!$H$7,D29='Read Me + Evidence'!$H$8,D29='Read Me + Evidence'!$H$9)),1,0)</x:f>
        <x:v>0</x:v>
      </x:c>
      <x:c r="S29" s="14" t="n">
        <x:f>IF(AND(Q29='Read Me + Evidence'!$K$11,D29='Read Me + Evidence'!$H$7),1,0)</x:f>
        <x:v>0</x:v>
      </x:c>
      <x:c r="T29" s="14" t="n">
        <x:f>IF(AND(Q29='Read Me + Evidence'!$K$11,D29&lt;&gt;'Read Me + Evidence'!$H$12),1,0)</x:f>
        <x:v>1</x:v>
      </x:c>
      <x:c r="U29" s="3" t="str"/>
    </x:row>
    <x:row r="30" ht="153" customHeight="1">
      <x:c r="A30" s="3" t="str">
        <x:v>SYS-01</x:v>
      </x:c>
      <x:c r="B30" s="3" t="str">
        <x:v>System</x:v>
      </x:c>
      <x:c r="C30" s="3" t="str">
        <x:v>Sections and search</x:v>
      </x:c>
      <x:c r="D30" s="13" t="str">
        <x:v>Pass</x:v>
      </x:c>
      <x:c r="E30" s="3" t="str">
        <x:v>Selected section and search results remain understandable; unrelated account details stay private.</x:v>
      </x:c>
      <x:c r="F30" s="12" t="str">
        <x:v>All six System sections render. Typing shell filters to Appearance (copy contains shell) and Shell; clearing restores all sections. Search works with per-key input; previous fill failure was a tool-input gap.</x:v>
      </x:c>
      <x:c r="G30" s="3" t="str">
        <x:v>safe-read-only</x:v>
      </x:c>
      <x:c r="H30" s="3" t="str">
        <x:v>implemented-source</x:v>
      </x:c>
      <x:c r="I30" s="3" t="str">
        <x:v>Accounts; Appearance; Shell; Security; Apps &amp; Services; About; Search</x:v>
      </x:c>
      <x:c r="J30" s="3" t="str">
        <x:v>1. Open each section
2. Search matching and absent settings</x:v>
      </x:c>
      <x:c r="K30" s="3" t="str">
        <x:v>Signed-in Home</x:v>
      </x:c>
      <x:c r="L30" s="3" t="str"/>
      <x:c r="M30" s="3" t="str"/>
      <x:c r="N30" s="3" t="str">
        <x:v>E-043; E-054</x:v>
      </x:c>
      <x:c r="O30" s="3" t="str">
        <x:v>S-025</x:v>
      </x:c>
      <x:c r="P30" s="3" t="str">
        <x:v>system</x:v>
      </x:c>
      <x:c r="Q30" s="3" t="str">
        <x:f>IF(OR(H30='Read Me + Evidence'!$K$6,H30='Read Me + Evidence'!$K$7,H30='Read Me + Evidence'!$K$8,P30='Read Me + Evidence'!$K$9,P30='Read Me + Evidence'!$K$10),'Read Me + Evidence'!$K$12,'Read Me + Evidence'!$K$11)</x:f>
        <x:v>GUI</x:v>
      </x:c>
      <x:c r="R30" s="14" t="n">
        <x:f>IF(AND(Q30='Read Me + Evidence'!$K$11,OR(D30='Read Me + Evidence'!$H$7,D30='Read Me + Evidence'!$H$8,D30='Read Me + Evidence'!$H$9)),1,0)</x:f>
        <x:v>1</x:v>
      </x:c>
      <x:c r="S30" s="14" t="n">
        <x:f>IF(AND(Q30='Read Me + Evidence'!$K$11,D30='Read Me + Evidence'!$H$7),1,0)</x:f>
        <x:v>1</x:v>
      </x:c>
      <x:c r="T30" s="14" t="n">
        <x:f>IF(AND(Q30='Read Me + Evidence'!$K$11,D30&lt;&gt;'Read Me + Evidence'!$H$12),1,0)</x:f>
        <x:v>1</x:v>
      </x:c>
      <x:c r="U30" s="3" t="str"/>
    </x:row>
    <x:row r="31" ht="153" customHeight="1">
      <x:c r="A31" s="3" t="str">
        <x:v>SYS-02</x:v>
      </x:c>
      <x:c r="B31" s="3" t="str">
        <x:v>System</x:v>
      </x:c>
      <x:c r="C31" s="3" t="str">
        <x:v>Security deep link</x:v>
      </x:c>
      <x:c r="D31" s="13" t="str">
        <x:v>Blocked prerequisite</x:v>
      </x:c>
      <x:c r="E31" s="3" t="str">
        <x:v>The deep link should open Security directly rather than default Accounts.</x:v>
      </x:c>
      <x:c r="F31" s="12" t="str">
        <x:v>Current principal is established and the new-account Save kit setup step is absent. Needs a disposable new principal to test the exact setup deep link.</x:v>
      </x:c>
      <x:c r="G31" s="3" t="str">
        <x:v>safe-read-only</x:v>
      </x:c>
      <x:c r="H31" s="3" t="str">
        <x:v>source-defect</x:v>
      </x:c>
      <x:c r="I31" s="3" t="str">
        <x:v>Save kit from Home</x:v>
      </x:c>
      <x:c r="J31" s="3" t="str">
        <x:v>1. Activate setup Save kit
2. Observe selected System section</x:v>
      </x:c>
      <x:c r="K31" s="3" t="str">
        <x:v>New principal</x:v>
      </x:c>
      <x:c r="L31" s="3" t="str">
        <x:v>F-03</x:v>
      </x:c>
      <x:c r="M31" s="3" t="str">
        <x:v>User reports Save kit opened Accounts rather than Security. [User-reported screenshot/flow; matching source deep-link gap F-03.]</x:v>
      </x:c>
      <x:c r="N31" s="3" t="str">
        <x:v>E-043</x:v>
      </x:c>
      <x:c r="O31" s="3" t="str">
        <x:v>S-026, S-025</x:v>
      </x:c>
      <x:c r="P31" s="3" t="str">
        <x:v>system</x:v>
      </x:c>
      <x:c r="Q31" s="3" t="str">
        <x:f>IF(OR(H31='Read Me + Evidence'!$K$6,H31='Read Me + Evidence'!$K$7,H31='Read Me + Evidence'!$K$8,P31='Read Me + Evidence'!$K$9,P31='Read Me + Evidence'!$K$10),'Read Me + Evidence'!$K$12,'Read Me + Evidence'!$K$11)</x:f>
        <x:v>GUI</x:v>
      </x:c>
      <x:c r="R31" s="14" t="n">
        <x:f>IF(AND(Q31='Read Me + Evidence'!$K$11,OR(D31='Read Me + Evidence'!$H$7,D31='Read Me + Evidence'!$H$8,D31='Read Me + Evidence'!$H$9)),1,0)</x:f>
        <x:v>0</x:v>
      </x:c>
      <x:c r="S31" s="14" t="n">
        <x:f>IF(AND(Q31='Read Me + Evidence'!$K$11,D31='Read Me + Evidence'!$H$7),1,0)</x:f>
        <x:v>0</x:v>
      </x:c>
      <x:c r="T31" s="14" t="n">
        <x:f>IF(AND(Q31='Read Me + Evidence'!$K$11,D31&lt;&gt;'Read Me + Evidence'!$H$12),1,0)</x:f>
        <x:v>1</x:v>
      </x:c>
      <x:c r="U31" s="3" t="str"/>
    </x:row>
    <x:row r="32" ht="153" customHeight="1">
      <x:c r="A32" s="3" t="str">
        <x:v>SYS-03</x:v>
      </x:c>
      <x:c r="B32" s="3" t="str">
        <x:v>System</x:v>
      </x:c>
      <x:c r="C32" s="3" t="str">
        <x:v>Account list and roles</x:v>
      </x:c>
      <x:c r="D32" s="13" t="str">
        <x:v>Partially observed</x:v>
      </x:c>
      <x:c r="E32" s="3" t="str">
        <x:v>Current account/role are clear. Runtime authorizes sensitive changes and protects account ownership.</x:v>
      </x:c>
      <x:c r="F32" s="12" t="str">
        <x:v>Accounts shows the existing current passkey account and role. Role/removal dispatch is excluded to preserve ownership; disposable-account authorization required for remaining branches.</x:v>
      </x:c>
      <x:c r="G32" s="3" t="str">
        <x:v>controlled-identity</x:v>
      </x:c>
      <x:c r="H32" s="3" t="str">
        <x:v>implemented-source</x:v>
      </x:c>
      <x:c r="I32" s="3" t="str">
        <x:v>Make admin; Make guest; Remove</x:v>
      </x:c>
      <x:c r="J32" s="3" t="str">
        <x:v>1. Inspect test-account controls
2. Cancel role/removal actions</x:v>
      </x:c>
      <x:c r="K32" s="3" t="str">
        <x:v>Disposable accounts; Explicit owner approval</x:v>
      </x:c>
      <x:c r="L32" s="3" t="str"/>
      <x:c r="M32" s="3" t="str"/>
      <x:c r="N32" s="3" t="str">
        <x:v>E-043</x:v>
      </x:c>
      <x:c r="O32" s="3" t="str">
        <x:v>S-027</x:v>
      </x:c>
      <x:c r="P32" s="3" t="str">
        <x:v>system</x:v>
      </x:c>
      <x:c r="Q32" s="3" t="str">
        <x:f>IF(OR(H32='Read Me + Evidence'!$K$6,H32='Read Me + Evidence'!$K$7,H32='Read Me + Evidence'!$K$8,P32='Read Me + Evidence'!$K$9,P32='Read Me + Evidence'!$K$10),'Read Me + Evidence'!$K$12,'Read Me + Evidence'!$K$11)</x:f>
        <x:v>GUI</x:v>
      </x:c>
      <x:c r="R32" s="14" t="n">
        <x:f>IF(AND(Q32='Read Me + Evidence'!$K$11,OR(D32='Read Me + Evidence'!$H$7,D32='Read Me + Evidence'!$H$8,D32='Read Me + Evidence'!$H$9)),1,0)</x:f>
        <x:v>1</x:v>
      </x:c>
      <x:c r="S32" s="14" t="n">
        <x:f>IF(AND(Q32='Read Me + Evidence'!$K$11,D32='Read Me + Evidence'!$H$7),1,0)</x:f>
        <x:v>0</x:v>
      </x:c>
      <x:c r="T32" s="14" t="n">
        <x:f>IF(AND(Q32='Read Me + Evidence'!$K$11,D32&lt;&gt;'Read Me + Evidence'!$H$12),1,0)</x:f>
        <x:v>1</x:v>
      </x:c>
      <x:c r="U32" s="3" t="str"/>
    </x:row>
    <x:row r="33" ht="153" customHeight="1">
      <x:c r="A33" s="3" t="str">
        <x:v>SYS-04</x:v>
      </x:c>
      <x:c r="B33" s="3" t="str">
        <x:v>System</x:v>
      </x:c>
      <x:c r="C33" s="3" t="str">
        <x:v>Guest policy</x:v>
      </x:c>
      <x:c r="D33" s="13" t="str">
        <x:v>Partially observed</x:v>
      </x:c>
      <x:c r="E33" s="3" t="str">
        <x:v>Runtime persists the intended guest admission setting and displays failures.</x:v>
      </x:c>
      <x:c r="F33" s="12" t="str">
        <x:v>Security displays Allow new guest accounts unchecked. Current guest policy preserved; policy-change test needs owner approval.</x:v>
      </x:c>
      <x:c r="G33" s="3" t="str">
        <x:v>controlled-identity</x:v>
      </x:c>
      <x:c r="H33" s="3" t="str">
        <x:v>implemented-source</x:v>
      </x:c>
      <x:c r="I33" s="3" t="str">
        <x:v>Allow guest registration</x:v>
      </x:c>
      <x:c r="J33" s="3" t="str">
        <x:v>1. Inspect policy
2. Change only with explicit owner approval</x:v>
      </x:c>
      <x:c r="K33" s="3" t="str">
        <x:v>Administrator approval</x:v>
      </x:c>
      <x:c r="L33" s="3" t="str"/>
      <x:c r="M33" s="3" t="str"/>
      <x:c r="N33" s="3" t="str">
        <x:v>E-043</x:v>
      </x:c>
      <x:c r="O33" s="3" t="str">
        <x:v>S-028</x:v>
      </x:c>
      <x:c r="P33" s="3" t="str">
        <x:v>system</x:v>
      </x:c>
      <x:c r="Q33" s="3" t="str">
        <x:f>IF(OR(H33='Read Me + Evidence'!$K$6,H33='Read Me + Evidence'!$K$7,H33='Read Me + Evidence'!$K$8,P33='Read Me + Evidence'!$K$9,P33='Read Me + Evidence'!$K$10),'Read Me + Evidence'!$K$12,'Read Me + Evidence'!$K$11)</x:f>
        <x:v>GUI</x:v>
      </x:c>
      <x:c r="R33" s="14" t="n">
        <x:f>IF(AND(Q33='Read Me + Evidence'!$K$11,OR(D33='Read Me + Evidence'!$H$7,D33='Read Me + Evidence'!$H$8,D33='Read Me + Evidence'!$H$9)),1,0)</x:f>
        <x:v>1</x:v>
      </x:c>
      <x:c r="S33" s="14" t="n">
        <x:f>IF(AND(Q33='Read Me + Evidence'!$K$11,D33='Read Me + Evidence'!$H$7),1,0)</x:f>
        <x:v>0</x:v>
      </x:c>
      <x:c r="T33" s="14" t="n">
        <x:f>IF(AND(Q33='Read Me + Evidence'!$K$11,D33&lt;&gt;'Read Me + Evidence'!$H$12),1,0)</x:f>
        <x:v>1</x:v>
      </x:c>
      <x:c r="U33" s="3" t="str"/>
    </x:row>
    <x:row r="34" ht="153" customHeight="1">
      <x:c r="A34" s="3" t="str">
        <x:v>SYS-05</x:v>
      </x:c>
      <x:c r="B34" s="3" t="str">
        <x:v>System</x:v>
      </x:c>
      <x:c r="C34" s="3" t="str">
        <x:v>Recovery export before/after Profile</x:v>
      </x:c>
      <x:c r="D34" s="13" t="str">
        <x:v>Blocked prerequisite</x:v>
      </x:c>
      <x:c r="E34" s="3" t="str">
        <x:v>Downloaded bundle is an immutable snapshot. A kit exported before Profile lacks its later random signing key.</x:v>
      </x:c>
      <x:c r="F34" s="12" t="str">
        <x:v>Security recovery controls visible. Export before/after Profile requires a disposable principal and private user handling of the recovery kit/password; no kit exported.</x:v>
      </x:c>
      <x:c r="G34" s="3" t="str">
        <x:v>controlled-recovery</x:v>
      </x:c>
      <x:c r="H34" s="3" t="str">
        <x:v>source-defect</x:v>
      </x:c>
      <x:c r="I34" s="3" t="str">
        <x:v>Recovery password; Download Recovery Kit</x:v>
      </x:c>
      <x:c r="J34" s="3" t="str">
        <x:v>1. Compare intended coverage before Profile and after Profile
2. Export only user-owned kit</x:v>
      </x:c>
      <x:c r="K34" s="3" t="str">
        <x:v>User handles kit/password privately</x:v>
      </x:c>
      <x:c r="L34" s="3" t="str">
        <x:v>F-01</x:v>
      </x:c>
      <x:c r="M34" s="3" t="str"/>
      <x:c r="N34" s="3" t="str">
        <x:v>E-043</x:v>
      </x:c>
      <x:c r="O34" s="3" t="str">
        <x:v>S-029</x:v>
      </x:c>
      <x:c r="P34" s="3" t="str">
        <x:v>system</x:v>
      </x:c>
      <x:c r="Q34" s="3" t="str">
        <x:f>IF(OR(H34='Read Me + Evidence'!$K$6,H34='Read Me + Evidence'!$K$7,H34='Read Me + Evidence'!$K$8,P34='Read Me + Evidence'!$K$9,P34='Read Me + Evidence'!$K$10),'Read Me + Evidence'!$K$12,'Read Me + Evidence'!$K$11)</x:f>
        <x:v>GUI</x:v>
      </x:c>
      <x:c r="R34" s="14" t="n">
        <x:f>IF(AND(Q34='Read Me + Evidence'!$K$11,OR(D34='Read Me + Evidence'!$H$7,D34='Read Me + Evidence'!$H$8,D34='Read Me + Evidence'!$H$9)),1,0)</x:f>
        <x:v>0</x:v>
      </x:c>
      <x:c r="S34" s="14" t="n">
        <x:f>IF(AND(Q34='Read Me + Evidence'!$K$11,D34='Read Me + Evidence'!$H$7),1,0)</x:f>
        <x:v>0</x:v>
      </x:c>
      <x:c r="T34" s="14" t="n">
        <x:f>IF(AND(Q34='Read Me + Evidence'!$K$11,D34&lt;&gt;'Read Me + Evidence'!$H$12),1,0)</x:f>
        <x:v>1</x:v>
      </x:c>
      <x:c r="U34" s="3" t="str"/>
    </x:row>
    <x:row r="35" ht="153" customHeight="1">
      <x:c r="A35" s="3" t="str">
        <x:v>SYS-06</x:v>
      </x:c>
      <x:c r="B35" s="3" t="str">
        <x:v>System</x:v>
      </x:c>
      <x:c r="C35" s="3" t="str">
        <x:v>Recovery import and attach</x:v>
      </x:c>
      <x:c r="D35" s="13" t="str">
        <x:v>Blocked prerequisite</x:v>
      </x:c>
      <x:c r="E35" s="3" t="str">
        <x:v>Runtime validates the bundle, explains replacement, and resumes incomplete recovery exactly. Do not test against the active account.</x:v>
      </x:c>
      <x:c r="F35" s="12" t="str">
        <x:v>Recovery import entry visible. Import/wrong-password/wrong-account tests require isolated disposable recovery target and explicit replacement approval.</x:v>
      </x:c>
      <x:c r="G35" s="3" t="str">
        <x:v>destructive-controlled</x:v>
      </x:c>
      <x:c r="H35" s="3" t="str">
        <x:v>implemented-source</x:v>
      </x:c>
      <x:c r="I35" s="3" t="str">
        <x:v>Import Kit; Recover account; Cancel; Retry completion</x:v>
      </x:c>
      <x:c r="J35" s="3" t="str">
        <x:v>1. On disposable recovery target inspect valid/wrong-password/wrong-account branches</x:v>
      </x:c>
      <x:c r="K35" s="3" t="str">
        <x:v>Isolated disposable recovery target; Explicit approval</x:v>
      </x:c>
      <x:c r="L35" s="3" t="str">
        <x:v>F-01</x:v>
      </x:c>
      <x:c r="M35" s="3" t="str"/>
      <x:c r="N35" s="3" t="str">
        <x:v>E-043</x:v>
      </x:c>
      <x:c r="O35" s="3" t="str">
        <x:v>S-030</x:v>
      </x:c>
      <x:c r="P35" s="3" t="str">
        <x:v>system</x:v>
      </x:c>
      <x:c r="Q35" s="3" t="str">
        <x:f>IF(OR(H35='Read Me + Evidence'!$K$6,H35='Read Me + Evidence'!$K$7,H35='Read Me + Evidence'!$K$8,P35='Read Me + Evidence'!$K$9,P35='Read Me + Evidence'!$K$10),'Read Me + Evidence'!$K$12,'Read Me + Evidence'!$K$11)</x:f>
        <x:v>GUI</x:v>
      </x:c>
      <x:c r="R35" s="14" t="n">
        <x:f>IF(AND(Q35='Read Me + Evidence'!$K$11,OR(D35='Read Me + Evidence'!$H$7,D35='Read Me + Evidence'!$H$8,D35='Read Me + Evidence'!$H$9)),1,0)</x:f>
        <x:v>0</x:v>
      </x:c>
      <x:c r="S35" s="14" t="n">
        <x:f>IF(AND(Q35='Read Me + Evidence'!$K$11,D35='Read Me + Evidence'!$H$7),1,0)</x:f>
        <x:v>0</x:v>
      </x:c>
      <x:c r="T35" s="14" t="n">
        <x:f>IF(AND(Q35='Read Me + Evidence'!$K$11,D35&lt;&gt;'Read Me + Evidence'!$H$12),1,0)</x:f>
        <x:v>1</x:v>
      </x:c>
      <x:c r="U35" s="3" t="str"/>
    </x:row>
    <x:row r="36" ht="153" customHeight="1">
      <x:c r="A36" s="3" t="str">
        <x:v>SYS-07</x:v>
      </x:c>
      <x:c r="B36" s="3" t="str">
        <x:v>System</x:v>
      </x:c>
      <x:c r="C36" s="3" t="str">
        <x:v>Recovery UI readiness</x:v>
      </x:c>
      <x:c r="D36" s="13" t="str">
        <x:v>Blocked prerequisite</x:v>
      </x:c>
      <x:c r="E36" s="3" t="str">
        <x:v>Successful export should refresh Home readiness without waiting for unrelated state changes.</x:v>
      </x:c>
      <x:c r="F36" s="12" t="str">
        <x:v>Readiness-after-export requires a user-controlled recovery export. No existing account recovery data changed.</x:v>
      </x:c>
      <x:c r="G36" s="3" t="str">
        <x:v>controlled-recovery</x:v>
      </x:c>
      <x:c r="H36" s="3" t="str">
        <x:v>source-defect</x:v>
      </x:c>
      <x:c r="I36" s="3" t="str">
        <x:v>Download kit &gt; Setup next action</x:v>
      </x:c>
      <x:c r="J36" s="3" t="str">
        <x:v>1. Observe setup immediately after a user export</x:v>
      </x:c>
      <x:c r="K36" s="3" t="str">
        <x:v>User-controlled recovery export</x:v>
      </x:c>
      <x:c r="L36" s="3" t="str">
        <x:v>F-04</x:v>
      </x:c>
      <x:c r="M36" s="3" t="str">
        <x:v>User reports waiting for Create Profile after saving kit. [User-reported delay; matching source refresh gap F-04.]</x:v>
      </x:c>
      <x:c r="N36" s="3" t="str">
        <x:v>E-043</x:v>
      </x:c>
      <x:c r="O36" s="3" t="str">
        <x:v>S-029, S-031</x:v>
      </x:c>
      <x:c r="P36" s="3" t="str">
        <x:v>system</x:v>
      </x:c>
      <x:c r="Q36" s="3" t="str">
        <x:f>IF(OR(H36='Read Me + Evidence'!$K$6,H36='Read Me + Evidence'!$K$7,H36='Read Me + Evidence'!$K$8,P36='Read Me + Evidence'!$K$9,P36='Read Me + Evidence'!$K$10),'Read Me + Evidence'!$K$12,'Read Me + Evidence'!$K$11)</x:f>
        <x:v>GUI</x:v>
      </x:c>
      <x:c r="R36" s="14" t="n">
        <x:f>IF(AND(Q36='Read Me + Evidence'!$K$11,OR(D36='Read Me + Evidence'!$H$7,D36='Read Me + Evidence'!$H$8,D36='Read Me + Evidence'!$H$9)),1,0)</x:f>
        <x:v>0</x:v>
      </x:c>
      <x:c r="S36" s="14" t="n">
        <x:f>IF(AND(Q36='Read Me + Evidence'!$K$11,D36='Read Me + Evidence'!$H$7),1,0)</x:f>
        <x:v>0</x:v>
      </x:c>
      <x:c r="T36" s="14" t="n">
        <x:f>IF(AND(Q36='Read Me + Evidence'!$K$11,D36&lt;&gt;'Read Me + Evidence'!$H$12),1,0)</x:f>
        <x:v>1</x:v>
      </x:c>
      <x:c r="U36" s="3" t="str"/>
    </x:row>
    <x:row r="37" ht="153" customHeight="1">
      <x:c r="A37" s="3" t="str">
        <x:v>SYS-08</x:v>
      </x:c>
      <x:c r="B37" s="3" t="str">
        <x:v>System</x:v>
      </x:c>
      <x:c r="C37" s="3" t="str">
        <x:v>Theme and accent</x:v>
      </x:c>
      <x:c r="D37" s="13" t="str">
        <x:v>Fail</x:v>
      </x:c>
      <x:c r="E37" s="3" t="str">
        <x:v>Appearance remains legible, validates input, and agrees across apps/windows.</x:v>
      </x:c>
      <x:c r="F37" s="12" t="str">
        <x:v>Named accents and Custom input work by keyboard. Invalid hex silently reverts without a hint(F59). Dock toggle works. Dark/Blue and original settings restored.</x:v>
      </x:c>
      <x:c r="G37" s="3" t="str">
        <x:v>controlled-layout</x:v>
      </x:c>
      <x:c r="H37" s="3" t="str">
        <x:v>implemented-source</x:v>
      </x:c>
      <x:c r="I37" s="3" t="str">
        <x:v>Auto; Light; Dark; Swatches; Custom hex</x:v>
      </x:c>
      <x:c r="J37" s="3" t="str">
        <x:v>1. Preview each mode
2. Set valid/invalid custom color
3. Restore</x:v>
      </x:c>
      <x:c r="K37" s="3" t="str">
        <x:v>Restore original values</x:v>
      </x:c>
      <x:c r="L37" s="3" t="str">
        <x:v>F-30; F-59</x:v>
      </x:c>
      <x:c r="M37" s="3" t="str"/>
      <x:c r="N37" s="3" t="str">
        <x:v>E-043; E-097</x:v>
      </x:c>
      <x:c r="O37" s="3" t="str">
        <x:v>S-032</x:v>
      </x:c>
      <x:c r="P37" s="3" t="str">
        <x:v>system</x:v>
      </x:c>
      <x:c r="Q37" s="3" t="str">
        <x:f>IF(OR(H37='Read Me + Evidence'!$K$6,H37='Read Me + Evidence'!$K$7,H37='Read Me + Evidence'!$K$8,P37='Read Me + Evidence'!$K$9,P37='Read Me + Evidence'!$K$10),'Read Me + Evidence'!$K$12,'Read Me + Evidence'!$K$11)</x:f>
        <x:v>GUI</x:v>
      </x:c>
      <x:c r="R37" s="14" t="n">
        <x:f>IF(AND(Q37='Read Me + Evidence'!$K$11,OR(D37='Read Me + Evidence'!$H$7,D37='Read Me + Evidence'!$H$8,D37='Read Me + Evidence'!$H$9)),1,0)</x:f>
        <x:v>1</x:v>
      </x:c>
      <x:c r="S37" s="14" t="n">
        <x:f>IF(AND(Q37='Read Me + Evidence'!$K$11,D37='Read Me + Evidence'!$H$7),1,0)</x:f>
        <x:v>0</x:v>
      </x:c>
      <x:c r="T37" s="14" t="n">
        <x:f>IF(AND(Q37='Read Me + Evidence'!$K$11,D37&lt;&gt;'Read Me + Evidence'!$H$12),1,0)</x:f>
        <x:v>1</x:v>
      </x:c>
      <x:c r="U37" s="3" t="str"/>
    </x:row>
    <x:row r="38" ht="153" customHeight="1">
      <x:c r="A38" s="3" t="str">
        <x:v>SYS-09</x:v>
      </x:c>
      <x:c r="B38" s="3" t="str">
        <x:v>System</x:v>
      </x:c>
      <x:c r="C38" s="3" t="str">
        <x:v>Background and contrast</x:v>
      </x:c>
      <x:c r="D38" s="13" t="str">
        <x:v>Partially observed</x:v>
      </x:c>
      <x:c r="E38" s="3" t="str">
        <x:v>Principal-owned background/overlay remain bounded and do not obscure controls.</x:v>
      </x:c>
      <x:c r="F38" s="12" t="str">
        <x:v>Contrast on exposes55%; keyboard changes60% then restores55%, and off restores original state. Image picker/Reset positive transfer remains fixture-blocked; no image changed.</x:v>
      </x:c>
      <x:c r="G38" s="3" t="str">
        <x:v>controlled-layout</x:v>
      </x:c>
      <x:c r="H38" s="3" t="str">
        <x:v>implemented-source</x:v>
      </x:c>
      <x:c r="I38" s="3" t="str">
        <x:v>Upload background; Reset; Overlay; Strength</x:v>
      </x:c>
      <x:c r="J38" s="3" t="str">
        <x:v>1. Inspect supported image input
2. Preview disposable image
3. Restore</x:v>
      </x:c>
      <x:c r="K38" s="3" t="str">
        <x:v>Disposable image; Restore prior setting</x:v>
      </x:c>
      <x:c r="L38" s="3" t="str"/>
      <x:c r="M38" s="3" t="str"/>
      <x:c r="N38" s="3" t="str">
        <x:v>E-043; E-097</x:v>
      </x:c>
      <x:c r="O38" s="3" t="str">
        <x:v>S-033</x:v>
      </x:c>
      <x:c r="P38" s="3" t="str">
        <x:v>system</x:v>
      </x:c>
      <x:c r="Q38" s="3" t="str">
        <x:f>IF(OR(H38='Read Me + Evidence'!$K$6,H38='Read Me + Evidence'!$K$7,H38='Read Me + Evidence'!$K$8,P38='Read Me + Evidence'!$K$9,P38='Read Me + Evidence'!$K$10),'Read Me + Evidence'!$K$12,'Read Me + Evidence'!$K$11)</x:f>
        <x:v>GUI</x:v>
      </x:c>
      <x:c r="R38" s="14" t="n">
        <x:f>IF(AND(Q38='Read Me + Evidence'!$K$11,OR(D38='Read Me + Evidence'!$H$7,D38='Read Me + Evidence'!$H$8,D38='Read Me + Evidence'!$H$9)),1,0)</x:f>
        <x:v>1</x:v>
      </x:c>
      <x:c r="S38" s="14" t="n">
        <x:f>IF(AND(Q38='Read Me + Evidence'!$K$11,D38='Read Me + Evidence'!$H$7),1,0)</x:f>
        <x:v>0</x:v>
      </x:c>
      <x:c r="T38" s="14" t="n">
        <x:f>IF(AND(Q38='Read Me + Evidence'!$K$11,D38&lt;&gt;'Read Me + Evidence'!$H$12),1,0)</x:f>
        <x:v>1</x:v>
      </x:c>
      <x:c r="U38" s="3" t="str"/>
    </x:row>
    <x:row r="39" ht="153" customHeight="1">
      <x:c r="A39" s="3" t="str">
        <x:v>SYS-10</x:v>
      </x:c>
      <x:c r="B39" s="3" t="str">
        <x:v>System</x:v>
      </x:c>
      <x:c r="C39" s="3" t="str">
        <x:v>Shell selection</x:v>
      </x:c>
      <x:c r="D39" s="13" t="str">
        <x:v>Fail</x:v>
      </x:c>
      <x:c r="E39" s="3" t="str">
        <x:v>Runtime chooses the admitted shell; both share account/session truth and Home owns lifecycle.</x:v>
      </x:c>
      <x:c r="F39" s="12" t="str">
        <x:v>Direct Desktop–Terminal switching still stalls with the debugger attached (F44). Installed 0018ef0d provides persistent recovery and a working Desktop button without 403. Reload opens the selected shell; read-only context and startup replay pass separately. Debugger-independent switching and sign-out remain unverified.</x:v>
      </x:c>
      <x:c r="G39" s="3" t="str">
        <x:v>controlled-session</x:v>
      </x:c>
      <x:c r="H39" s="3" t="str">
        <x:v>implemented-source</x:v>
      </x:c>
      <x:c r="I39" s="3" t="str">
        <x:v>Home GUI; Home CLI</x:v>
      </x:c>
      <x:c r="J39" s="3" t="str">
        <x:v>1. Inspect available shells
2. Switch and return</x:v>
      </x:c>
      <x:c r="K39" s="3" t="str">
        <x:v>Save disposable work</x:v>
      </x:c>
      <x:c r="L39" s="3" t="str">
        <x:v>F-44; F-47</x:v>
      </x:c>
      <x:c r="M39" s="3" t="str"/>
      <x:c r="N39" s="3" t="str">
        <x:v>E-054; E-057; E-058; E-070; E-071; E-076; E-094; E-095; E-096</x:v>
      </x:c>
      <x:c r="O39" s="3" t="str">
        <x:v>S-034</x:v>
      </x:c>
      <x:c r="P39" s="3" t="str">
        <x:v>system</x:v>
      </x:c>
      <x:c r="Q39" s="3" t="str">
        <x:f>IF(OR(H39='Read Me + Evidence'!$K$6,H39='Read Me + Evidence'!$K$7,H39='Read Me + Evidence'!$K$8,P39='Read Me + Evidence'!$K$9,P39='Read Me + Evidence'!$K$10),'Read Me + Evidence'!$K$12,'Read Me + Evidence'!$K$11)</x:f>
        <x:v>GUI</x:v>
      </x:c>
      <x:c r="R39" s="14" t="n">
        <x:f>IF(AND(Q39='Read Me + Evidence'!$K$11,OR(D39='Read Me + Evidence'!$H$7,D39='Read Me + Evidence'!$H$8,D39='Read Me + Evidence'!$H$9)),1,0)</x:f>
        <x:v>1</x:v>
      </x:c>
      <x:c r="S39" s="14" t="n">
        <x:f>IF(AND(Q39='Read Me + Evidence'!$K$11,D39='Read Me + Evidence'!$H$7),1,0)</x:f>
        <x:v>0</x:v>
      </x:c>
      <x:c r="T39" s="14" t="n">
        <x:f>IF(AND(Q39='Read Me + Evidence'!$K$11,D39&lt;&gt;'Read Me + Evidence'!$H$12),1,0)</x:f>
        <x:v>1</x:v>
      </x:c>
      <x:c r="U39" s="3" t="str"/>
    </x:row>
    <x:row r="40" ht="153" customHeight="1">
      <x:c r="A40" s="3" t="str">
        <x:v>SYS-11</x:v>
      </x:c>
      <x:c r="B40" s="3" t="str">
        <x:v>System</x:v>
      </x:c>
      <x:c r="C40" s="3" t="str">
        <x:v>Apps and services inventory</x:v>
      </x:c>
      <x:c r="D40" s="13" t="str">
        <x:v>Pass</x:v>
      </x:c>
      <x:c r="E40" s="3" t="str">
        <x:v>Catalog shows role and available actions; private native targets are not public app entries.</x:v>
      </x:c>
      <x:c r="F40" s="12" t="str">
        <x:v>Catalog33items covers Apps14/Viewers4/Content2/Backgroundservices11/Homeviews2. Native service entries expose no launch action. Enter on Library Open launches exact Library app with preserved audit files. E061. E103 independently verifies read-only Refresh and unchanged inventory.</x:v>
      </x:c>
      <x:c r="G40" s="3" t="str">
        <x:v>safe-read-only</x:v>
      </x:c>
      <x:c r="H40" s="3" t="str">
        <x:v>implemented-source</x:v>
      </x:c>
      <x:c r="I40" s="3" t="str">
        <x:v>Refresh; Group disclosure; Open</x:v>
      </x:c>
      <x:c r="J40" s="3" t="str">
        <x:v>1. Inspect Apps/Viewers/Content/Background services/Home views
2. Open launchable item</x:v>
      </x:c>
      <x:c r="K40" s="3" t="str">
        <x:v>Signed-in Home</x:v>
      </x:c>
      <x:c r="L40" s="3" t="str"/>
      <x:c r="M40" s="3" t="str"/>
      <x:c r="N40" s="3" t="str">
        <x:v>E-043; E-061; E-103</x:v>
      </x:c>
      <x:c r="O40" s="3" t="str">
        <x:v>S-035</x:v>
      </x:c>
      <x:c r="P40" s="3" t="str">
        <x:v>system</x:v>
      </x:c>
      <x:c r="Q40" s="3" t="str">
        <x:f>IF(OR(H40='Read Me + Evidence'!$K$6,H40='Read Me + Evidence'!$K$7,H40='Read Me + Evidence'!$K$8,P40='Read Me + Evidence'!$K$9,P40='Read Me + Evidence'!$K$10),'Read Me + Evidence'!$K$12,'Read Me + Evidence'!$K$11)</x:f>
        <x:v>GUI</x:v>
      </x:c>
      <x:c r="R40" s="14" t="n">
        <x:f>IF(AND(Q40='Read Me + Evidence'!$K$11,OR(D40='Read Me + Evidence'!$H$7,D40='Read Me + Evidence'!$H$8,D40='Read Me + Evidence'!$H$9)),1,0)</x:f>
        <x:v>1</x:v>
      </x:c>
      <x:c r="S40" s="14" t="n">
        <x:f>IF(AND(Q40='Read Me + Evidence'!$K$11,D40='Read Me + Evidence'!$H$7),1,0)</x:f>
        <x:v>1</x:v>
      </x:c>
      <x:c r="T40" s="14" t="n">
        <x:f>IF(AND(Q40='Read Me + Evidence'!$K$11,D40&lt;&gt;'Read Me + Evidence'!$H$12),1,0)</x:f>
        <x:v>1</x:v>
      </x:c>
      <x:c r="U40" s="3" t="str"/>
    </x:row>
    <x:row r="41" ht="153" customHeight="1">
      <x:c r="A41" s="3" t="str">
        <x:v>SYS-12</x:v>
      </x:c>
      <x:c r="B41" s="3" t="str">
        <x:v>System</x:v>
      </x:c>
      <x:c r="C41" s="3" t="str">
        <x:v>Chain controls</x:v>
      </x:c>
      <x:c r="D41" s="13" t="str">
        <x:v>Partially observed</x:v>
      </x:c>
      <x:c r="E41" s="3" t="str">
        <x:v>Configured provider owns network behavior; lifecycle changes require explicit operator control.</x:v>
      </x:c>
      <x:c r="F41" s="12" t="str">
        <x:v>About reports ELA/ESC/Base/Bitcoin online with remote height/block status. Selecting ELA refreshes its height. Source confirms row activation is status refresh, not a lifecycle menu. No lifecycle actions are offered for these remote networks or dispatched.</x:v>
      </x:c>
      <x:c r="G41" s="3" t="str">
        <x:v>privileged-operator</x:v>
      </x:c>
      <x:c r="H41" s="3" t="str">
        <x:v>implemented-source</x:v>
      </x:c>
      <x:c r="I41" s="3" t="str">
        <x:v>Network row; Start; Stop; Restart</x:v>
      </x:c>
      <x:c r="J41" s="3" t="str">
        <x:v>1. Inspect network state and available lifecycle actions without dispatch</x:v>
      </x:c>
      <x:c r="K41" s="3" t="str">
        <x:v>Operator-only; preview now</x:v>
      </x:c>
      <x:c r="L41" s="3" t="str"/>
      <x:c r="M41" s="3" t="str"/>
      <x:c r="N41" s="3" t="str">
        <x:v>E-043</x:v>
      </x:c>
      <x:c r="O41" s="3" t="str">
        <x:v>S-036</x:v>
      </x:c>
      <x:c r="P41" s="3" t="str">
        <x:v>system</x:v>
      </x:c>
      <x:c r="Q41" s="3" t="str">
        <x:f>IF(OR(H41='Read Me + Evidence'!$K$6,H41='Read Me + Evidence'!$K$7,H41='Read Me + Evidence'!$K$8,P41='Read Me + Evidence'!$K$9,P41='Read Me + Evidence'!$K$10),'Read Me + Evidence'!$K$12,'Read Me + Evidence'!$K$11)</x:f>
        <x:v>GUI</x:v>
      </x:c>
      <x:c r="R41" s="14" t="n">
        <x:f>IF(AND(Q41='Read Me + Evidence'!$K$11,OR(D41='Read Me + Evidence'!$H$7,D41='Read Me + Evidence'!$H$8,D41='Read Me + Evidence'!$H$9)),1,0)</x:f>
        <x:v>1</x:v>
      </x:c>
      <x:c r="S41" s="14" t="n">
        <x:f>IF(AND(Q41='Read Me + Evidence'!$K$11,D41='Read Me + Evidence'!$H$7),1,0)</x:f>
        <x:v>0</x:v>
      </x:c>
      <x:c r="T41" s="14" t="n">
        <x:f>IF(AND(Q41='Read Me + Evidence'!$K$11,D41&lt;&gt;'Read Me + Evidence'!$H$12),1,0)</x:f>
        <x:v>1</x:v>
      </x:c>
      <x:c r="U41" s="3" t="str"/>
    </x:row>
    <x:row r="42" ht="153" customHeight="1">
      <x:c r="A42" s="3" t="str">
        <x:v>SYS-13</x:v>
      </x:c>
      <x:c r="B42" s="3" t="str">
        <x:v>System</x:v>
      </x:c>
      <x:c r="C42" s="3" t="str">
        <x:v>Technical inspection</x:v>
      </x:c>
      <x:c r="D42" s="13" t="str">
        <x:v>Partially observed</x:v>
      </x:c>
      <x:c r="E42" s="3" t="str">
        <x:v>Runtime projects exact scope and approval; descriptors are not grants.</x:v>
      </x:c>
      <x:c r="F42" s="12" t="str">
        <x:v>Technical Details expands and lists49objects. Archive Manager is selected with bounded identifier/author/type/role/version and explicit Unverified status. Operator effect preview/approval remains untested; no request dispatched. E103 independently verifies read-only Refresh and unchanged inventory.</x:v>
      </x:c>
      <x:c r="G42" s="3" t="str">
        <x:v>privileged-operator</x:v>
      </x:c>
      <x:c r="H42" s="3" t="str">
        <x:v>implemented-source</x:v>
      </x:c>
      <x:c r="I42" s="3" t="str">
        <x:v>Refresh; Inspect item; Operation; Preview; Request approval</x:v>
      </x:c>
      <x:c r="J42" s="3" t="str">
        <x:v>1. Inspect bounded facts
2. Preview an operation
3. Cancel before requesting</x:v>
      </x:c>
      <x:c r="K42" s="3" t="str">
        <x:v>Admin inspection; No secret capture</x:v>
      </x:c>
      <x:c r="L42" s="3" t="str">
        <x:v>F-61</x:v>
      </x:c>
      <x:c r="M42" s="3" t="str"/>
      <x:c r="N42" s="3" t="str">
        <x:v>E-043; E-103</x:v>
      </x:c>
      <x:c r="O42" s="3" t="str">
        <x:v>S-037</x:v>
      </x:c>
      <x:c r="P42" s="3" t="str">
        <x:v>system</x:v>
      </x:c>
      <x:c r="Q42" s="3" t="str">
        <x:f>IF(OR(H42='Read Me + Evidence'!$K$6,H42='Read Me + Evidence'!$K$7,H42='Read Me + Evidence'!$K$8,P42='Read Me + Evidence'!$K$9,P42='Read Me + Evidence'!$K$10),'Read Me + Evidence'!$K$12,'Read Me + Evidence'!$K$11)</x:f>
        <x:v>GUI</x:v>
      </x:c>
      <x:c r="R42" s="14" t="n">
        <x:f>IF(AND(Q42='Read Me + Evidence'!$K$11,OR(D42='Read Me + Evidence'!$H$7,D42='Read Me + Evidence'!$H$8,D42='Read Me + Evidence'!$H$9)),1,0)</x:f>
        <x:v>1</x:v>
      </x:c>
      <x:c r="S42" s="14" t="n">
        <x:f>IF(AND(Q42='Read Me + Evidence'!$K$11,D42='Read Me + Evidence'!$H$7),1,0)</x:f>
        <x:v>0</x:v>
      </x:c>
      <x:c r="T42" s="14" t="n">
        <x:f>IF(AND(Q42='Read Me + Evidence'!$K$11,D42&lt;&gt;'Read Me + Evidence'!$H$12),1,0)</x:f>
        <x:v>1</x:v>
      </x:c>
      <x:c r="U42" s="3" t="str"/>
    </x:row>
    <x:row r="43" ht="153" customHeight="1">
      <x:c r="A43" s="3" t="str">
        <x:v>SYS-14</x:v>
      </x:c>
      <x:c r="B43" s="3" t="str">
        <x:v>System</x:v>
      </x:c>
      <x:c r="C43" s="3" t="str">
        <x:v>About and device identity</x:v>
      </x:c>
      <x:c r="D43" s="13" t="str">
        <x:v>Partially observed</x:v>
      </x:c>
      <x:c r="E43" s="3" t="str">
        <x:v>Device DID identifies endpoint, distinct from Profile. Version/source facts should describe the running artifact.</x:v>
      </x:c>
      <x:c r="F43" s="12" t="str">
        <x:v>About shows public abbreviated device identity, Version0.6.0-dev, no trusted update source, and four online network status rows. Installed source identity remains unknown in the UI; exact audit receipt is recorded separately. Clipboard untouched.</x:v>
      </x:c>
      <x:c r="G43" s="3" t="str">
        <x:v>controlled-clipboard</x:v>
      </x:c>
      <x:c r="H43" s="3" t="str">
        <x:v>implemented-source</x:v>
      </x:c>
      <x:c r="I43" s="3" t="str">
        <x:v>Device DID copy; Version/source facts</x:v>
      </x:c>
      <x:c r="J43" s="3" t="str">
        <x:v>1. Inspect public version/device facts
2. Copy only with consent</x:v>
      </x:c>
      <x:c r="K43" s="3" t="str">
        <x:v>Public device identity only</x:v>
      </x:c>
      <x:c r="L43" s="3" t="str"/>
      <x:c r="M43" s="3" t="str"/>
      <x:c r="N43" s="3" t="str">
        <x:v>E-043</x:v>
      </x:c>
      <x:c r="O43" s="3" t="str">
        <x:v>S-024</x:v>
      </x:c>
      <x:c r="P43" s="3" t="str">
        <x:v>system</x:v>
      </x:c>
      <x:c r="Q43" s="3" t="str">
        <x:f>IF(OR(H43='Read Me + Evidence'!$K$6,H43='Read Me + Evidence'!$K$7,H43='Read Me + Evidence'!$K$8,P43='Read Me + Evidence'!$K$9,P43='Read Me + Evidence'!$K$10),'Read Me + Evidence'!$K$12,'Read Me + Evidence'!$K$11)</x:f>
        <x:v>GUI</x:v>
      </x:c>
      <x:c r="R43" s="14" t="n">
        <x:f>IF(AND(Q43='Read Me + Evidence'!$K$11,OR(D43='Read Me + Evidence'!$H$7,D43='Read Me + Evidence'!$H$8,D43='Read Me + Evidence'!$H$9)),1,0)</x:f>
        <x:v>1</x:v>
      </x:c>
      <x:c r="S43" s="14" t="n">
        <x:f>IF(AND(Q43='Read Me + Evidence'!$K$11,D43='Read Me + Evidence'!$H$7),1,0)</x:f>
        <x:v>0</x:v>
      </x:c>
      <x:c r="T43" s="14" t="n">
        <x:f>IF(AND(Q43='Read Me + Evidence'!$K$11,D43&lt;&gt;'Read Me + Evidence'!$H$12),1,0)</x:f>
        <x:v>1</x:v>
      </x:c>
      <x:c r="U43" s="3" t="str"/>
    </x:row>
    <x:row r="44" ht="153" customHeight="1">
      <x:c r="A44" s="3" t="str">
        <x:v>PEOPLE-01</x:v>
      </x:c>
      <x:c r="B44" s="3" t="str">
        <x:v>People and Profile</x:v>
      </x:c>
      <x:c r="C44" s="3" t="str">
        <x:v>Create public Profile</x:v>
      </x:c>
      <x:c r="D44" s="13" t="str">
        <x:v>Blocked prerequisite</x:v>
      </x:c>
      <x:c r="E44" s="3" t="str">
        <x:v>Profile is a signed public identity, distinct from passkey label/device DID. Empty input should get immediate clear validation.</x:v>
      </x:c>
      <x:c r="F44" s="12" t="str">
        <x:v>The current principal already has a Profile. Creating another public identity requires a disposable principal and explicit owner choice.</x:v>
      </x:c>
      <x:c r="G44" s="3" t="str">
        <x:v>controlled-identity</x:v>
      </x:c>
      <x:c r="H44" s="3" t="str">
        <x:v>source-defect</x:v>
      </x:c>
      <x:c r="I44" s="3" t="str">
        <x:v>Public name; Create Profile</x:v>
      </x:c>
      <x:c r="J44" s="3" t="str">
        <x:v>1. Inspect suggestion
2. Submit only explicit nonblank test name</x:v>
      </x:c>
      <x:c r="K44" s="3" t="str">
        <x:v>User-controlled Profile creation</x:v>
      </x:c>
      <x:c r="L44" s="3" t="str">
        <x:v>F-05</x:v>
      </x:c>
      <x:c r="M44" s="3" t="str">
        <x:v>User reports suggested public name was placeholder only and empty submit errored. [User-reported flow; matching source input/submit behavior F-05.]</x:v>
      </x:c>
      <x:c r="N44" s="3" t="str">
        <x:v>E-046</x:v>
      </x:c>
      <x:c r="O44" s="3" t="str">
        <x:v>S-038</x:v>
      </x:c>
      <x:c r="P44" s="3" t="str">
        <x:v>people</x:v>
      </x:c>
      <x:c r="Q44" s="3" t="str">
        <x:f>IF(OR(H44='Read Me + Evidence'!$K$6,H44='Read Me + Evidence'!$K$7,H44='Read Me + Evidence'!$K$8,P44='Read Me + Evidence'!$K$9,P44='Read Me + Evidence'!$K$10),'Read Me + Evidence'!$K$12,'Read Me + Evidence'!$K$11)</x:f>
        <x:v>GUI</x:v>
      </x:c>
      <x:c r="R44" s="14" t="n">
        <x:f>IF(AND(Q44='Read Me + Evidence'!$K$11,OR(D44='Read Me + Evidence'!$H$7,D44='Read Me + Evidence'!$H$8,D44='Read Me + Evidence'!$H$9)),1,0)</x:f>
        <x:v>0</x:v>
      </x:c>
      <x:c r="S44" s="14" t="n">
        <x:f>IF(AND(Q44='Read Me + Evidence'!$K$11,D44='Read Me + Evidence'!$H$7),1,0)</x:f>
        <x:v>0</x:v>
      </x:c>
      <x:c r="T44" s="14" t="n">
        <x:f>IF(AND(Q44='Read Me + Evidence'!$K$11,D44&lt;&gt;'Read Me + Evidence'!$H$12),1,0)</x:f>
        <x:v>1</x:v>
      </x:c>
      <x:c r="U44" s="3" t="str"/>
    </x:row>
    <x:row r="45" ht="153" customHeight="1">
      <x:c r="A45" s="3" t="str">
        <x:v>PEOPLE-02</x:v>
      </x:c>
      <x:c r="B45" s="3" t="str">
        <x:v>People and Profile</x:v>
      </x:c>
      <x:c r="C45" s="3" t="str">
        <x:v>Edit Profile</x:v>
      </x:c>
      <x:c r="D45" s="13" t="str">
        <x:v>Partially observed</x:v>
      </x:c>
      <x:c r="E45" s="3" t="str">
        <x:v>Runtime signs the intended name update without changing identity or replacing typed input during refresh.</x:v>
      </x:c>
      <x:c r="F45" s="12" t="str">
        <x:v>My Profile shows the existing display name and Save control. The name remains unchanged; public edits require explicit consent.</x:v>
      </x:c>
      <x:c r="G45" s="3" t="str">
        <x:v>controlled-identity</x:v>
      </x:c>
      <x:c r="H45" s="3" t="str">
        <x:v>implemented-source</x:v>
      </x:c>
      <x:c r="I45" s="3" t="str">
        <x:v>Name; Save Profile</x:v>
      </x:c>
      <x:c r="J45" s="3" t="str">
        <x:v>1. Inspect current public name
2. Edit only with user consent</x:v>
      </x:c>
      <x:c r="K45" s="3" t="str">
        <x:v>Existing Profile</x:v>
      </x:c>
      <x:c r="L45" s="3" t="str"/>
      <x:c r="M45" s="3" t="str"/>
      <x:c r="N45" s="3" t="str">
        <x:v>E-046</x:v>
      </x:c>
      <x:c r="O45" s="3" t="str">
        <x:v>S-039</x:v>
      </x:c>
      <x:c r="P45" s="3" t="str">
        <x:v>people</x:v>
      </x:c>
      <x:c r="Q45" s="3" t="str">
        <x:f>IF(OR(H45='Read Me + Evidence'!$K$6,H45='Read Me + Evidence'!$K$7,H45='Read Me + Evidence'!$K$8,P45='Read Me + Evidence'!$K$9,P45='Read Me + Evidence'!$K$10),'Read Me + Evidence'!$K$12,'Read Me + Evidence'!$K$11)</x:f>
        <x:v>GUI</x:v>
      </x:c>
      <x:c r="R45" s="14" t="n">
        <x:f>IF(AND(Q45='Read Me + Evidence'!$K$11,OR(D45='Read Me + Evidence'!$H$7,D45='Read Me + Evidence'!$H$8,D45='Read Me + Evidence'!$H$9)),1,0)</x:f>
        <x:v>1</x:v>
      </x:c>
      <x:c r="S45" s="14" t="n">
        <x:f>IF(AND(Q45='Read Me + Evidence'!$K$11,D45='Read Me + Evidence'!$H$7),1,0)</x:f>
        <x:v>0</x:v>
      </x:c>
      <x:c r="T45" s="14" t="n">
        <x:f>IF(AND(Q45='Read Me + Evidence'!$K$11,D45&lt;&gt;'Read Me + Evidence'!$H$12),1,0)</x:f>
        <x:v>1</x:v>
      </x:c>
      <x:c r="U45" s="3" t="str"/>
    </x:row>
    <x:row r="46" ht="153" customHeight="1">
      <x:c r="A46" s="3" t="str">
        <x:v>PEOPLE-03</x:v>
      </x:c>
      <x:c r="B46" s="3" t="str">
        <x:v>People and Profile</x:v>
      </x:c>
      <x:c r="C46" s="3" t="str">
        <x:v>Contacts empty/populated</x:v>
      </x:c>
      <x:c r="D46" s="13" t="str">
        <x:v>Partially observed</x:v>
      </x:c>
      <x:c r="E46" s="3" t="str">
        <x:v>People represents Profiles; endpoint identities remain routing details.</x:v>
      </x:c>
      <x:c r="F46" s="12" t="str">
        <x:v>Contacts shows 0 contacts and No contacts yet. A populated conversation needs a consenting test contact.</x:v>
      </x:c>
      <x:c r="G46" s="3" t="str">
        <x:v>controlled-session</x:v>
      </x:c>
      <x:c r="H46" s="3" t="str">
        <x:v>implemented-source</x:v>
      </x:c>
      <x:c r="I46" s="3" t="str">
        <x:v>People tab; Contact cards; Message</x:v>
      </x:c>
      <x:c r="J46" s="3" t="str">
        <x:v>1. Inspect empty state
2. Open approved contact conversation</x:v>
      </x:c>
      <x:c r="K46" s="3" t="str">
        <x:v>Optional approved test contact</x:v>
      </x:c>
      <x:c r="L46" s="3" t="str"/>
      <x:c r="M46" s="3" t="str"/>
      <x:c r="N46" s="3" t="str">
        <x:v>E-046</x:v>
      </x:c>
      <x:c r="O46" s="3" t="str">
        <x:v>S-040</x:v>
      </x:c>
      <x:c r="P46" s="3" t="str">
        <x:v>people</x:v>
      </x:c>
      <x:c r="Q46" s="3" t="str">
        <x:f>IF(OR(H46='Read Me + Evidence'!$K$6,H46='Read Me + Evidence'!$K$7,H46='Read Me + Evidence'!$K$8,P46='Read Me + Evidence'!$K$9,P46='Read Me + Evidence'!$K$10),'Read Me + Evidence'!$K$12,'Read Me + Evidence'!$K$11)</x:f>
        <x:v>GUI</x:v>
      </x:c>
      <x:c r="R46" s="14" t="n">
        <x:f>IF(AND(Q46='Read Me + Evidence'!$K$11,OR(D46='Read Me + Evidence'!$H$7,D46='Read Me + Evidence'!$H$8,D46='Read Me + Evidence'!$H$9)),1,0)</x:f>
        <x:v>1</x:v>
      </x:c>
      <x:c r="S46" s="14" t="n">
        <x:f>IF(AND(Q46='Read Me + Evidence'!$K$11,D46='Read Me + Evidence'!$H$7),1,0)</x:f>
        <x:v>0</x:v>
      </x:c>
      <x:c r="T46" s="14" t="n">
        <x:f>IF(AND(Q46='Read Me + Evidence'!$K$11,D46&lt;&gt;'Read Me + Evidence'!$H$12),1,0)</x:f>
        <x:v>1</x:v>
      </x:c>
      <x:c r="U46" s="3" t="str"/>
    </x:row>
    <x:row r="47" ht="153" customHeight="1">
      <x:c r="A47" s="3" t="str">
        <x:v>PEOPLE-04</x:v>
      </x:c>
      <x:c r="B47" s="3" t="str">
        <x:v>People and Profile</x:v>
      </x:c>
      <x:c r="C47" s="3" t="str">
        <x:v>Discovery and requests</x:v>
      </x:c>
      <x:c r="D47" s="13" t="str">
        <x:v>Partially observed</x:v>
      </x:c>
      <x:c r="E47" s="3" t="str">
        <x:v>Runtime discovery shows verified Profiles; a found advertisement is not contact or service permission.</x:v>
      </x:c>
      <x:c r="F47" s="12" t="str">
        <x:v>Discovery is unavailable because collaboration is not configured. Status, Visible people and Requests explain the prerequisite consistently; 0 visible and 0 requests.</x:v>
      </x:c>
      <x:c r="G47" s="3" t="str">
        <x:v>multi-runtime-controlled</x:v>
      </x:c>
      <x:c r="H47" s="3" t="str">
        <x:v>implemented-source</x:v>
      </x:c>
      <x:c r="I47" s="3" t="str">
        <x:v>Discovery tab; Enable/disable; Refresh; Add contact</x:v>
      </x:c>
      <x:c r="J47" s="3" t="str">
        <x:v>1. Inspect discovery off/empty/found/pending
2. Request only test contact</x:v>
      </x:c>
      <x:c r="K47" s="3" t="str">
        <x:v>Two consenting test Profiles</x:v>
      </x:c>
      <x:c r="L47" s="3" t="str"/>
      <x:c r="M47" s="3" t="str"/>
      <x:c r="N47" s="3" t="str">
        <x:v>E-046</x:v>
      </x:c>
      <x:c r="O47" s="3" t="str">
        <x:v>S-041</x:v>
      </x:c>
      <x:c r="P47" s="3" t="str">
        <x:v>people</x:v>
      </x:c>
      <x:c r="Q47" s="3" t="str">
        <x:f>IF(OR(H47='Read Me + Evidence'!$K$6,H47='Read Me + Evidence'!$K$7,H47='Read Me + Evidence'!$K$8,P47='Read Me + Evidence'!$K$9,P47='Read Me + Evidence'!$K$10),'Read Me + Evidence'!$K$12,'Read Me + Evidence'!$K$11)</x:f>
        <x:v>GUI</x:v>
      </x:c>
      <x:c r="R47" s="14" t="n">
        <x:f>IF(AND(Q47='Read Me + Evidence'!$K$11,OR(D47='Read Me + Evidence'!$H$7,D47='Read Me + Evidence'!$H$8,D47='Read Me + Evidence'!$H$9)),1,0)</x:f>
        <x:v>1</x:v>
      </x:c>
      <x:c r="S47" s="14" t="n">
        <x:f>IF(AND(Q47='Read Me + Evidence'!$K$11,D47='Read Me + Evidence'!$H$7),1,0)</x:f>
        <x:v>0</x:v>
      </x:c>
      <x:c r="T47" s="14" t="n">
        <x:f>IF(AND(Q47='Read Me + Evidence'!$K$11,D47&lt;&gt;'Read Me + Evidence'!$H$12),1,0)</x:f>
        <x:v>1</x:v>
      </x:c>
      <x:c r="U47" s="3" t="str"/>
    </x:row>
    <x:row r="48" ht="153" customHeight="1">
      <x:c r="A48" s="3" t="str">
        <x:v>PEOPLE-05</x:v>
      </x:c>
      <x:c r="B48" s="3" t="str">
        <x:v>People and Profile</x:v>
      </x:c>
      <x:c r="C48" s="3" t="str">
        <x:v>Contact approval</x:v>
      </x:c>
      <x:c r="D48" s="13" t="str">
        <x:v>Blocked prerequisite</x:v>
      </x:c>
      <x:c r="E48" s="3" t="str">
        <x:v>Exact Profile request is approved once; denied request creates no contact authority.</x:v>
      </x:c>
      <x:c r="F48" s="12" t="str">
        <x:v>The installed Home has no configured collaboration or test contact request. Approval requires a consenting peer.</x:v>
      </x:c>
      <x:c r="G48" s="3" t="str">
        <x:v>multi-runtime-controlled</x:v>
      </x:c>
      <x:c r="H48" s="3" t="str">
        <x:v>implemented-source</x:v>
      </x:c>
      <x:c r="I48" s="3" t="str">
        <x:v>Open Inbox; Accept; Decline</x:v>
      </x:c>
      <x:c r="J48" s="3" t="str">
        <x:v>1. Inspect received test request
2. Approve/decline under control</x:v>
      </x:c>
      <x:c r="K48" s="3" t="str">
        <x:v>Consenting peer; Test request</x:v>
      </x:c>
      <x:c r="L48" s="3" t="str"/>
      <x:c r="M48" s="3" t="str"/>
      <x:c r="N48" s="3" t="str">
        <x:v>E-046</x:v>
      </x:c>
      <x:c r="O48" s="3" t="str">
        <x:v>S-042</x:v>
      </x:c>
      <x:c r="P48" s="3" t="str">
        <x:v>people</x:v>
      </x:c>
      <x:c r="Q48" s="3" t="str">
        <x:f>IF(OR(H48='Read Me + Evidence'!$K$6,H48='Read Me + Evidence'!$K$7,H48='Read Me + Evidence'!$K$8,P48='Read Me + Evidence'!$K$9,P48='Read Me + Evidence'!$K$10),'Read Me + Evidence'!$K$12,'Read Me + Evidence'!$K$11)</x:f>
        <x:v>GUI</x:v>
      </x:c>
      <x:c r="R48" s="14" t="n">
        <x:f>IF(AND(Q48='Read Me + Evidence'!$K$11,OR(D48='Read Me + Evidence'!$H$7,D48='Read Me + Evidence'!$H$8,D48='Read Me + Evidence'!$H$9)),1,0)</x:f>
        <x:v>0</x:v>
      </x:c>
      <x:c r="S48" s="14" t="n">
        <x:f>IF(AND(Q48='Read Me + Evidence'!$K$11,D48='Read Me + Evidence'!$H$7),1,0)</x:f>
        <x:v>0</x:v>
      </x:c>
      <x:c r="T48" s="14" t="n">
        <x:f>IF(AND(Q48='Read Me + Evidence'!$K$11,D48&lt;&gt;'Read Me + Evidence'!$H$12),1,0)</x:f>
        <x:v>1</x:v>
      </x:c>
      <x:c r="U48" s="3" t="str"/>
    </x:row>
    <x:row r="49" ht="153" customHeight="1">
      <x:c r="A49" s="3" t="str">
        <x:v>PEOPLE-06</x:v>
      </x:c>
      <x:c r="B49" s="3" t="str">
        <x:v>People and Profile</x:v>
      </x:c>
      <x:c r="C49" s="3" t="str">
        <x:v>Remove contact</x:v>
      </x:c>
      <x:c r="D49" s="13" t="str">
        <x:v>Blocked prerequisite</x:v>
      </x:c>
      <x:c r="E49" s="3" t="str">
        <x:v>Contact removal is explicit and cannot confuse Profile identity with Runtime device identity.</x:v>
      </x:c>
      <x:c r="F49" s="12" t="str">
        <x:v>There are no disposable contacts. Existing identity remains unchanged; removal cannot be exercised.</x:v>
      </x:c>
      <x:c r="G49" s="3" t="str">
        <x:v>controlled-contacts</x:v>
      </x:c>
      <x:c r="H49" s="3" t="str">
        <x:v>implemented-source</x:v>
      </x:c>
      <x:c r="I49" s="3" t="str">
        <x:v>Remove; Confirmation</x:v>
      </x:c>
      <x:c r="J49" s="3" t="str">
        <x:v>1. Open removal for disposable contact
2. Cancel, or remove with consent</x:v>
      </x:c>
      <x:c r="K49" s="3" t="str">
        <x:v>Disposable contact</x:v>
      </x:c>
      <x:c r="L49" s="3" t="str"/>
      <x:c r="M49" s="3" t="str"/>
      <x:c r="N49" s="3" t="str">
        <x:v>E-046</x:v>
      </x:c>
      <x:c r="O49" s="3" t="str">
        <x:v>S-043</x:v>
      </x:c>
      <x:c r="P49" s="3" t="str">
        <x:v>people</x:v>
      </x:c>
      <x:c r="Q49" s="3" t="str">
        <x:f>IF(OR(H49='Read Me + Evidence'!$K$6,H49='Read Me + Evidence'!$K$7,H49='Read Me + Evidence'!$K$8,P49='Read Me + Evidence'!$K$9,P49='Read Me + Evidence'!$K$10),'Read Me + Evidence'!$K$12,'Read Me + Evidence'!$K$11)</x:f>
        <x:v>GUI</x:v>
      </x:c>
      <x:c r="R49" s="14" t="n">
        <x:f>IF(AND(Q49='Read Me + Evidence'!$K$11,OR(D49='Read Me + Evidence'!$H$7,D49='Read Me + Evidence'!$H$8,D49='Read Me + Evidence'!$H$9)),1,0)</x:f>
        <x:v>0</x:v>
      </x:c>
      <x:c r="S49" s="14" t="n">
        <x:f>IF(AND(Q49='Read Me + Evidence'!$K$11,D49='Read Me + Evidence'!$H$7),1,0)</x:f>
        <x:v>0</x:v>
      </x:c>
      <x:c r="T49" s="14" t="n">
        <x:f>IF(AND(Q49='Read Me + Evidence'!$K$11,D49&lt;&gt;'Read Me + Evidence'!$H$12),1,0)</x:f>
        <x:v>1</x:v>
      </x:c>
      <x:c r="U49" s="3" t="str"/>
    </x:row>
    <x:row r="50" ht="153" customHeight="1">
      <x:c r="A50" s="3" t="str">
        <x:v>CHAT-01</x:v>
      </x:c>
      <x:c r="B50" s="3" t="str">
        <x:v>Chat</x:v>
      </x:c>
      <x:c r="C50" s="3" t="str">
        <x:v>Conversation entry and selection</x:v>
      </x:c>
      <x:c r="D50" s="13" t="str">
        <x:v>Partially observed</x:v>
      </x:c>
      <x:c r="E50" s="3" t="str">
        <x:v>Current conversation and members are clear; joining can replace only unused local conversation.</x:v>
      </x:c>
      <x:c r="F50" s="12" t="str">
        <x:v>Chat opens the existing Community room and shows its name and local membership history. One current member is shown. Alternate test conversations require a consenting peer.</x:v>
      </x:c>
      <x:c r="G50" s="3" t="str">
        <x:v>controlled-session</x:v>
      </x:c>
      <x:c r="H50" s="3" t="str">
        <x:v>implemented-source</x:v>
      </x:c>
      <x:c r="I50" s="3" t="str">
        <x:v>Conversation selector; Join code/link; Join</x:v>
      </x:c>
      <x:c r="J50" s="3" t="str">
        <x:v>1. Open Chat empty
2. Inspect existing conversations
3. Select one</x:v>
      </x:c>
      <x:c r="K50" s="3" t="str">
        <x:v>Optional existing test conversation</x:v>
      </x:c>
      <x:c r="L50" s="3" t="str">
        <x:v>F-27</x:v>
      </x:c>
      <x:c r="M50" s="3" t="str"/>
      <x:c r="N50" s="3" t="str">
        <x:v>E-046</x:v>
      </x:c>
      <x:c r="O50" s="3" t="str">
        <x:v>S-044</x:v>
      </x:c>
      <x:c r="P50" s="3" t="str">
        <x:v>chat-room</x:v>
      </x:c>
      <x:c r="Q50" s="3" t="str">
        <x:f>IF(OR(H50='Read Me + Evidence'!$K$6,H50='Read Me + Evidence'!$K$7,H50='Read Me + Evidence'!$K$8,P50='Read Me + Evidence'!$K$9,P50='Read Me + Evidence'!$K$10),'Read Me + Evidence'!$K$12,'Read Me + Evidence'!$K$11)</x:f>
        <x:v>GUI</x:v>
      </x:c>
      <x:c r="R50" s="14" t="n">
        <x:f>IF(AND(Q50='Read Me + Evidence'!$K$11,OR(D50='Read Me + Evidence'!$H$7,D50='Read Me + Evidence'!$H$8,D50='Read Me + Evidence'!$H$9)),1,0)</x:f>
        <x:v>1</x:v>
      </x:c>
      <x:c r="S50" s="14" t="n">
        <x:f>IF(AND(Q50='Read Me + Evidence'!$K$11,D50='Read Me + Evidence'!$H$7),1,0)</x:f>
        <x:v>0</x:v>
      </x:c>
      <x:c r="T50" s="14" t="n">
        <x:f>IF(AND(Q50='Read Me + Evidence'!$K$11,D50&lt;&gt;'Read Me + Evidence'!$H$12),1,0)</x:f>
        <x:v>1</x:v>
      </x:c>
      <x:c r="U50" s="3" t="str"/>
    </x:row>
    <x:row r="51" ht="153" customHeight="1">
      <x:c r="A51" s="3" t="str">
        <x:v>CHAT-02</x:v>
      </x:c>
      <x:c r="B51" s="3" t="str">
        <x:v>Chat</x:v>
      </x:c>
      <x:c r="C51" s="3" t="str">
        <x:v>Guest join request</x:v>
      </x:c>
      <x:c r="D51" s="13" t="str">
        <x:v>Blocked prerequisite</x:v>
      </x:c>
      <x:c r="E51" s="3" t="str">
        <x:v>Host authorizes admission; entering a name alone grants no room access.</x:v>
      </x:c>
      <x:c r="F51" s="12" t="str">
        <x:v>The current signed-in principal is already admitted to Community. Guest admission needs a separate consenting host and disposable guest session.</x:v>
      </x:c>
      <x:c r="G51" s="3" t="str">
        <x:v>multi-runtime-controlled</x:v>
      </x:c>
      <x:c r="H51" s="3" t="str">
        <x:v>implemented-source</x:v>
      </x:c>
      <x:c r="I51" s="3" t="str">
        <x:v>Display name; Ask to join; Start over</x:v>
      </x:c>
      <x:c r="J51" s="3" t="str">
        <x:v>1. Inspect guest branch
2. Submit only to controlled host
3. Inspect pending/denied</x:v>
      </x:c>
      <x:c r="K51" s="3" t="str">
        <x:v>Consenting room host</x:v>
      </x:c>
      <x:c r="L51" s="3" t="str"/>
      <x:c r="M51" s="3" t="str"/>
      <x:c r="N51" s="3" t="str">
        <x:v>E-046</x:v>
      </x:c>
      <x:c r="O51" s="3" t="str">
        <x:v>S-045</x:v>
      </x:c>
      <x:c r="P51" s="3" t="str">
        <x:v>chat-room</x:v>
      </x:c>
      <x:c r="Q51" s="3" t="str">
        <x:f>IF(OR(H51='Read Me + Evidence'!$K$6,H51='Read Me + Evidence'!$K$7,H51='Read Me + Evidence'!$K$8,P51='Read Me + Evidence'!$K$9,P51='Read Me + Evidence'!$K$10),'Read Me + Evidence'!$K$12,'Read Me + Evidence'!$K$11)</x:f>
        <x:v>GUI</x:v>
      </x:c>
      <x:c r="R51" s="14" t="n">
        <x:f>IF(AND(Q51='Read Me + Evidence'!$K$11,OR(D51='Read Me + Evidence'!$H$7,D51='Read Me + Evidence'!$H$8,D51='Read Me + Evidence'!$H$9)),1,0)</x:f>
        <x:v>0</x:v>
      </x:c>
      <x:c r="S51" s="14" t="n">
        <x:f>IF(AND(Q51='Read Me + Evidence'!$K$11,D51='Read Me + Evidence'!$H$7),1,0)</x:f>
        <x:v>0</x:v>
      </x:c>
      <x:c r="T51" s="14" t="n">
        <x:f>IF(AND(Q51='Read Me + Evidence'!$K$11,D51&lt;&gt;'Read Me + Evidence'!$H$12),1,0)</x:f>
        <x:v>1</x:v>
      </x:c>
      <x:c r="U51" s="3" t="str"/>
    </x:row>
    <x:row r="52" ht="153" customHeight="1">
      <x:c r="A52" s="3" t="str">
        <x:v>CHAT-03</x:v>
      </x:c>
      <x:c r="B52" s="3" t="str">
        <x:v>Chat</x:v>
      </x:c>
      <x:c r="C52" s="3" t="str">
        <x:v>Invite</x:v>
      </x:c>
      <x:c r="D52" s="13" t="str">
        <x:v>Blocked prerequisite</x:v>
      </x:c>
      <x:c r="E52" s="3" t="str">
        <x:v>Runtime owns bounded invitation authority; Copy uses Home Clipboard and link is treated as sensitive.</x:v>
      </x:c>
      <x:c r="F52" s="12" t="str">
        <x:v>This Community view exposes no invitation control. A controlled host room is needed; no invitation token was created or copied.</x:v>
      </x:c>
      <x:c r="G52" s="3" t="str">
        <x:v>multi-runtime-controlled</x:v>
      </x:c>
      <x:c r="H52" s="3" t="str">
        <x:v>implemented-source</x:v>
      </x:c>
      <x:c r="I52" s="3" t="str">
        <x:v>People panel; Create join link; Copy</x:v>
      </x:c>
      <x:c r="J52" s="3" t="str">
        <x:v>1. Open access panel
2. Create/copy controlled invitation</x:v>
      </x:c>
      <x:c r="K52" s="3" t="str">
        <x:v>Controlled room; Do not capture invitation token</x:v>
      </x:c>
      <x:c r="L52" s="3" t="str"/>
      <x:c r="M52" s="3" t="str"/>
      <x:c r="N52" s="3" t="str">
        <x:v>E-046</x:v>
      </x:c>
      <x:c r="O52" s="3" t="str">
        <x:v>S-046</x:v>
      </x:c>
      <x:c r="P52" s="3" t="str">
        <x:v>chat-room</x:v>
      </x:c>
      <x:c r="Q52" s="3" t="str">
        <x:f>IF(OR(H52='Read Me + Evidence'!$K$6,H52='Read Me + Evidence'!$K$7,H52='Read Me + Evidence'!$K$8,P52='Read Me + Evidence'!$K$9,P52='Read Me + Evidence'!$K$10),'Read Me + Evidence'!$K$12,'Read Me + Evidence'!$K$11)</x:f>
        <x:v>GUI</x:v>
      </x:c>
      <x:c r="R52" s="14" t="n">
        <x:f>IF(AND(Q52='Read Me + Evidence'!$K$11,OR(D52='Read Me + Evidence'!$H$7,D52='Read Me + Evidence'!$H$8,D52='Read Me + Evidence'!$H$9)),1,0)</x:f>
        <x:v>0</x:v>
      </x:c>
      <x:c r="S52" s="14" t="n">
        <x:f>IF(AND(Q52='Read Me + Evidence'!$K$11,D52='Read Me + Evidence'!$H$7),1,0)</x:f>
        <x:v>0</x:v>
      </x:c>
      <x:c r="T52" s="14" t="n">
        <x:f>IF(AND(Q52='Read Me + Evidence'!$K$11,D52&lt;&gt;'Read Me + Evidence'!$H$12),1,0)</x:f>
        <x:v>1</x:v>
      </x:c>
      <x:c r="U52" s="3" t="str"/>
    </x:row>
    <x:row r="53" ht="153" customHeight="1">
      <x:c r="A53" s="3" t="str">
        <x:v>CHAT-04</x:v>
      </x:c>
      <x:c r="B53" s="3" t="str">
        <x:v>Chat</x:v>
      </x:c>
      <x:c r="C53" s="3" t="str">
        <x:v>Text send and delivery</x:v>
      </x:c>
      <x:c r="D53" s="13" t="str">
        <x:v>Blocked prerequisite</x:v>
      </x:c>
      <x:c r="E53" s="3" t="str">
        <x:v>Signed room messaging keeps Profile authorship distinct from Carrier transport and exposes honest delivery state.</x:v>
      </x:c>
      <x:c r="F53" s="12" t="str">
        <x:v>No message was sent. Delivery/offline tests need a consenting recipient and controlled conversation.</x:v>
      </x:c>
      <x:c r="G53" s="3" t="str">
        <x:v>multi-runtime-controlled</x:v>
      </x:c>
      <x:c r="H53" s="3" t="str">
        <x:v>implemented-source</x:v>
      </x:c>
      <x:c r="I53" s="3" t="str">
        <x:v>Composer; Send; Enter</x:v>
      </x:c>
      <x:c r="J53" s="3" t="str">
        <x:v>1. Send harmless message in controlled room
2. Observe delivery/offline/error</x:v>
      </x:c>
      <x:c r="K53" s="3" t="str">
        <x:v>Consenting test participants</x:v>
      </x:c>
      <x:c r="L53" s="3" t="str"/>
      <x:c r="M53" s="3" t="str"/>
      <x:c r="N53" s="3" t="str">
        <x:v>E-046</x:v>
      </x:c>
      <x:c r="O53" s="3" t="str">
        <x:v>S-047</x:v>
      </x:c>
      <x:c r="P53" s="3" t="str">
        <x:v>chat-room</x:v>
      </x:c>
      <x:c r="Q53" s="3" t="str">
        <x:f>IF(OR(H53='Read Me + Evidence'!$K$6,H53='Read Me + Evidence'!$K$7,H53='Read Me + Evidence'!$K$8,P53='Read Me + Evidence'!$K$9,P53='Read Me + Evidence'!$K$10),'Read Me + Evidence'!$K$12,'Read Me + Evidence'!$K$11)</x:f>
        <x:v>GUI</x:v>
      </x:c>
      <x:c r="R53" s="14" t="n">
        <x:f>IF(AND(Q53='Read Me + Evidence'!$K$11,OR(D53='Read Me + Evidence'!$H$7,D53='Read Me + Evidence'!$H$8,D53='Read Me + Evidence'!$H$9)),1,0)</x:f>
        <x:v>0</x:v>
      </x:c>
      <x:c r="S53" s="14" t="n">
        <x:f>IF(AND(Q53='Read Me + Evidence'!$K$11,D53='Read Me + Evidence'!$H$7),1,0)</x:f>
        <x:v>0</x:v>
      </x:c>
      <x:c r="T53" s="14" t="n">
        <x:f>IF(AND(Q53='Read Me + Evidence'!$K$11,D53&lt;&gt;'Read Me + Evidence'!$H$12),1,0)</x:f>
        <x:v>1</x:v>
      </x:c>
      <x:c r="U53" s="3" t="str"/>
    </x:row>
    <x:row r="54" ht="153" customHeight="1">
      <x:c r="A54" s="3" t="str">
        <x:v>CHAT-05</x:v>
      </x:c>
      <x:c r="B54" s="3" t="str">
        <x:v>Chat</x:v>
      </x:c>
      <x:c r="C54" s="3" t="str">
        <x:v>Emoji and composer</x:v>
      </x:c>
      <x:c r="D54" s="13" t="str">
        <x:v>Pass</x:v>
      </x:c>
      <x:c r="E54" s="3" t="str">
        <x:v>Choices insert into the active composer and preserve caret/focus; disabled state matches admission.</x:v>
      </x:c>
      <x:c r="F54" s="12" t="str">
        <x:v>Emoji opens the named Quick emoji picker. Wave inserts 👋 into the active composer and closes the picker. The unsent draft was then cleared; no send occurred.</x:v>
      </x:c>
      <x:c r="G54" s="3" t="str">
        <x:v>controlled-chat</x:v>
      </x:c>
      <x:c r="H54" s="3" t="str">
        <x:v>implemented-source</x:v>
      </x:c>
      <x:c r="I54" s="3" t="str">
        <x:v>Emoji toggle; All emoji choices; Escape</x:v>
      </x:c>
      <x:c r="J54" s="3" t="str">
        <x:v>1. Open picker
2. Insert representative symbols
3. Cancel/send test message</x:v>
      </x:c>
      <x:c r="K54" s="3" t="str">
        <x:v>Controlled conversation</x:v>
      </x:c>
      <x:c r="L54" s="3" t="str"/>
      <x:c r="M54" s="3" t="str"/>
      <x:c r="N54" s="3" t="str">
        <x:v>E-046</x:v>
      </x:c>
      <x:c r="O54" s="3" t="str">
        <x:v>S-048</x:v>
      </x:c>
      <x:c r="P54" s="3" t="str">
        <x:v>chat-room</x:v>
      </x:c>
      <x:c r="Q54" s="3" t="str">
        <x:f>IF(OR(H54='Read Me + Evidence'!$K$6,H54='Read Me + Evidence'!$K$7,H54='Read Me + Evidence'!$K$8,P54='Read Me + Evidence'!$K$9,P54='Read Me + Evidence'!$K$10),'Read Me + Evidence'!$K$12,'Read Me + Evidence'!$K$11)</x:f>
        <x:v>GUI</x:v>
      </x:c>
      <x:c r="R54" s="14" t="n">
        <x:f>IF(AND(Q54='Read Me + Evidence'!$K$11,OR(D54='Read Me + Evidence'!$H$7,D54='Read Me + Evidence'!$H$8,D54='Read Me + Evidence'!$H$9)),1,0)</x:f>
        <x:v>1</x:v>
      </x:c>
      <x:c r="S54" s="14" t="n">
        <x:f>IF(AND(Q54='Read Me + Evidence'!$K$11,D54='Read Me + Evidence'!$H$7),1,0)</x:f>
        <x:v>1</x:v>
      </x:c>
      <x:c r="T54" s="14" t="n">
        <x:f>IF(AND(Q54='Read Me + Evidence'!$K$11,D54&lt;&gt;'Read Me + Evidence'!$H$12),1,0)</x:f>
        <x:v>1</x:v>
      </x:c>
      <x:c r="U54" s="3" t="str"/>
    </x:row>
    <x:row r="55" ht="153" customHeight="1">
      <x:c r="A55" s="3" t="str">
        <x:v>CHAT-06</x:v>
      </x:c>
      <x:c r="B55" s="3" t="str">
        <x:v>Chat</x:v>
      </x:c>
      <x:c r="C55" s="3" t="str">
        <x:v>Attachments</x:v>
      </x:c>
      <x:c r="D55" s="13" t="str">
        <x:v>Fail</x:v>
      </x:c>
      <x:c r="E55" s="3" t="str">
        <x:v>Library returns a typed object; room authorization owns attachment access.</x:v>
      </x:c>
      <x:c r="F55" s="12" t="str">
        <x:v>The visible plus attachment control has no accessible name in the running Chat DOM; pointer activation produces no picker or feedback. Current static template differs from the rendered WASM UI and needs source-path review.</x:v>
      </x:c>
      <x:c r="G55" s="3" t="str">
        <x:v>multi-runtime-controlled</x:v>
      </x:c>
      <x:c r="H55" s="3" t="str">
        <x:v>implemented-source</x:v>
      </x:c>
      <x:c r="I55" s="3" t="str">
        <x:v>Attach; Library picker; Select; Cancel</x:v>
      </x:c>
      <x:c r="J55" s="3" t="str">
        <x:v>1. Select disposable file
2. Cancel once
3. Attach in controlled room</x:v>
      </x:c>
      <x:c r="K55" s="3" t="str">
        <x:v>Disposable file; Consenting recipient</x:v>
      </x:c>
      <x:c r="L55" s="3" t="str">
        <x:v>F-28</x:v>
      </x:c>
      <x:c r="M55" s="3" t="str"/>
      <x:c r="N55" s="3" t="str">
        <x:v>E-046</x:v>
      </x:c>
      <x:c r="O55" s="3" t="str">
        <x:v>S-049</x:v>
      </x:c>
      <x:c r="P55" s="3" t="str">
        <x:v>chat-room</x:v>
      </x:c>
      <x:c r="Q55" s="3" t="str">
        <x:f>IF(OR(H55='Read Me + Evidence'!$K$6,H55='Read Me + Evidence'!$K$7,H55='Read Me + Evidence'!$K$8,P55='Read Me + Evidence'!$K$9,P55='Read Me + Evidence'!$K$10),'Read Me + Evidence'!$K$12,'Read Me + Evidence'!$K$11)</x:f>
        <x:v>GUI</x:v>
      </x:c>
      <x:c r="R55" s="14" t="n">
        <x:f>IF(AND(Q55='Read Me + Evidence'!$K$11,OR(D55='Read Me + Evidence'!$H$7,D55='Read Me + Evidence'!$H$8,D55='Read Me + Evidence'!$H$9)),1,0)</x:f>
        <x:v>1</x:v>
      </x:c>
      <x:c r="S55" s="14" t="n">
        <x:f>IF(AND(Q55='Read Me + Evidence'!$K$11,D55='Read Me + Evidence'!$H$7),1,0)</x:f>
        <x:v>0</x:v>
      </x:c>
      <x:c r="T55" s="14" t="n">
        <x:f>IF(AND(Q55='Read Me + Evidence'!$K$11,D55&lt;&gt;'Read Me + Evidence'!$H$12),1,0)</x:f>
        <x:v>1</x:v>
      </x:c>
      <x:c r="U55" s="3" t="str"/>
    </x:row>
    <x:row r="56" ht="153" customHeight="1">
      <x:c r="A56" s="3" t="str">
        <x:v>CHAT-07</x:v>
      </x:c>
      <x:c r="B56" s="3" t="str">
        <x:v>Chat</x:v>
      </x:c>
      <x:c r="C56" s="3" t="str">
        <x:v>Participants and requests</x:v>
      </x:c>
      <x:c r="D56" s="13" t="str">
        <x:v>Partially observed</x:v>
      </x:c>
      <x:c r="E56" s="3" t="str">
        <x:v>Profile names, room access, and pending guests are distinct and permission changes are explicit.</x:v>
      </x:c>
      <x:c r="F56" s="12" t="str">
        <x:v>People panel opens and closes, showing one member, the current Profile marked You and active now. Requests/approval need a controlled peer.</x:v>
      </x:c>
      <x:c r="G56" s="3" t="str">
        <x:v>multi-runtime-controlled</x:v>
      </x:c>
      <x:c r="H56" s="3" t="str">
        <x:v>implemented-source</x:v>
      </x:c>
      <x:c r="I56" s="3" t="str">
        <x:v>People toggle; Close; Access settings; Join requests</x:v>
      </x:c>
      <x:c r="J56" s="3" t="str">
        <x:v>1. Inspect membership
2. Review test request in owning approval surface</x:v>
      </x:c>
      <x:c r="K56" s="3" t="str">
        <x:v>Controlled room</x:v>
      </x:c>
      <x:c r="L56" s="3" t="str"/>
      <x:c r="M56" s="3" t="str"/>
      <x:c r="N56" s="3" t="str">
        <x:v>E-046</x:v>
      </x:c>
      <x:c r="O56" s="3" t="str">
        <x:v>S-050</x:v>
      </x:c>
      <x:c r="P56" s="3" t="str">
        <x:v>chat-room</x:v>
      </x:c>
      <x:c r="Q56" s="3" t="str">
        <x:f>IF(OR(H56='Read Me + Evidence'!$K$6,H56='Read Me + Evidence'!$K$7,H56='Read Me + Evidence'!$K$8,P56='Read Me + Evidence'!$K$9,P56='Read Me + Evidence'!$K$10),'Read Me + Evidence'!$K$12,'Read Me + Evidence'!$K$11)</x:f>
        <x:v>GUI</x:v>
      </x:c>
      <x:c r="R56" s="14" t="n">
        <x:f>IF(AND(Q56='Read Me + Evidence'!$K$11,OR(D56='Read Me + Evidence'!$H$7,D56='Read Me + Evidence'!$H$8,D56='Read Me + Evidence'!$H$9)),1,0)</x:f>
        <x:v>1</x:v>
      </x:c>
      <x:c r="S56" s="14" t="n">
        <x:f>IF(AND(Q56='Read Me + Evidence'!$K$11,D56='Read Me + Evidence'!$H$7),1,0)</x:f>
        <x:v>0</x:v>
      </x:c>
      <x:c r="T56" s="14" t="n">
        <x:f>IF(AND(Q56='Read Me + Evidence'!$K$11,D56&lt;&gt;'Read Me + Evidence'!$H$12),1,0)</x:f>
        <x:v>1</x:v>
      </x:c>
      <x:c r="U56" s="3" t="str"/>
    </x:row>
    <x:row r="57" ht="153" customHeight="1">
      <x:c r="A57" s="3" t="str">
        <x:v>CHAT-08</x:v>
      </x:c>
      <x:c r="B57" s="3" t="str">
        <x:v>Chat</x:v>
      </x:c>
      <x:c r="C57" s="3" t="str">
        <x:v>Reopen and unavailable room</x:v>
      </x:c>
      <x:c r="D57" s="13" t="str">
        <x:v>Blocked prerequisite</x:v>
      </x:c>
      <x:c r="E57" s="3" t="str">
        <x:v>Existing history remains bound to the room; invalid admission fails clearly without joining another room.</x:v>
      </x:c>
      <x:c r="F57" s="12" t="str">
        <x:v>Room reopen and invalid/expired invitations need a controlled invitation; this audit preserved the existing Community history.</x:v>
      </x:c>
      <x:c r="G57" s="3" t="str">
        <x:v>multi-runtime-controlled</x:v>
      </x:c>
      <x:c r="H57" s="3" t="str">
        <x:v>implemented-source</x:v>
      </x:c>
      <x:c r="I57" s="3" t="str">
        <x:v>Close window; Reopen; Join invalid code</x:v>
      </x:c>
      <x:c r="J57" s="3" t="str">
        <x:v>1. Reopen test conversation
2. Inspect invalid/expired invite error</x:v>
      </x:c>
      <x:c r="K57" s="3" t="str">
        <x:v>Controlled conversation/invite</x:v>
      </x:c>
      <x:c r="L57" s="3" t="str"/>
      <x:c r="M57" s="3" t="str"/>
      <x:c r="N57" s="3" t="str">
        <x:v>E-046</x:v>
      </x:c>
      <x:c r="O57" s="3" t="str">
        <x:v>S-044</x:v>
      </x:c>
      <x:c r="P57" s="3" t="str">
        <x:v>chat-room</x:v>
      </x:c>
      <x:c r="Q57" s="3" t="str">
        <x:f>IF(OR(H57='Read Me + Evidence'!$K$6,H57='Read Me + Evidence'!$K$7,H57='Read Me + Evidence'!$K$8,P57='Read Me + Evidence'!$K$9,P57='Read Me + Evidence'!$K$10),'Read Me + Evidence'!$K$12,'Read Me + Evidence'!$K$11)</x:f>
        <x:v>GUI</x:v>
      </x:c>
      <x:c r="R57" s="14" t="n">
        <x:f>IF(AND(Q57='Read Me + Evidence'!$K$11,OR(D57='Read Me + Evidence'!$H$7,D57='Read Me + Evidence'!$H$8,D57='Read Me + Evidence'!$H$9)),1,0)</x:f>
        <x:v>0</x:v>
      </x:c>
      <x:c r="S57" s="14" t="n">
        <x:f>IF(AND(Q57='Read Me + Evidence'!$K$11,D57='Read Me + Evidence'!$H$7),1,0)</x:f>
        <x:v>0</x:v>
      </x:c>
      <x:c r="T57" s="14" t="n">
        <x:f>IF(AND(Q57='Read Me + Evidence'!$K$11,D57&lt;&gt;'Read Me + Evidence'!$H$12),1,0)</x:f>
        <x:v>1</x:v>
      </x:c>
      <x:c r="U57" s="3" t="str"/>
    </x:row>
    <x:row r="58" ht="153" customHeight="1">
      <x:c r="A58" s="3" t="str">
        <x:v>INBOX-01</x:v>
      </x:c>
      <x:c r="B58" s="3" t="str">
        <x:v>Inbox and approvals</x:v>
      </x:c>
      <x:c r="C58" s="3" t="str">
        <x:v>Empty/list/detail</x:v>
      </x:c>
      <x:c r="D58" s="13" t="str">
        <x:v>Partially observed</x:v>
      </x:c>
      <x:c r="E58" s="3" t="str">
        <x:v>List, detail, counts and empty states agree; selecting an entry does not approve it.</x:v>
      </x:c>
      <x:c r="F58" s="12" t="str">
        <x:v>Full Inbox shows one pending/needs-review Wallet price request with matching count and detail. Needs Review filter and Refresh keep the same selected item. Empty-state fixture is unavailable.</x:v>
      </x:c>
      <x:c r="G58" s="3" t="str">
        <x:v>safe-read-only</x:v>
      </x:c>
      <x:c r="H58" s="3" t="str">
        <x:v>implemented-source</x:v>
      </x:c>
      <x:c r="I58" s="3" t="str">
        <x:v>All Pending; Needs Review; Refresh; Entry selection</x:v>
      </x:c>
      <x:c r="J58" s="3" t="str">
        <x:v>1. Open empty Inbox
2. Inspect controlled entries
3. Change filters</x:v>
      </x:c>
      <x:c r="K58" s="3" t="str">
        <x:v>Signed-in Home</x:v>
      </x:c>
      <x:c r="L58" s="3" t="str"/>
      <x:c r="M58" s="3" t="str"/>
      <x:c r="N58" s="3" t="str">
        <x:v>E-046</x:v>
      </x:c>
      <x:c r="O58" s="3" t="str">
        <x:v>S-051</x:v>
      </x:c>
      <x:c r="P58" s="3" t="str">
        <x:v>inbox</x:v>
      </x:c>
      <x:c r="Q58" s="3" t="str">
        <x:f>IF(OR(H58='Read Me + Evidence'!$K$6,H58='Read Me + Evidence'!$K$7,H58='Read Me + Evidence'!$K$8,P58='Read Me + Evidence'!$K$9,P58='Read Me + Evidence'!$K$10),'Read Me + Evidence'!$K$12,'Read Me + Evidence'!$K$11)</x:f>
        <x:v>GUI</x:v>
      </x:c>
      <x:c r="R58" s="14" t="n">
        <x:f>IF(AND(Q58='Read Me + Evidence'!$K$11,OR(D58='Read Me + Evidence'!$H$7,D58='Read Me + Evidence'!$H$8,D58='Read Me + Evidence'!$H$9)),1,0)</x:f>
        <x:v>1</x:v>
      </x:c>
      <x:c r="S58" s="14" t="n">
        <x:f>IF(AND(Q58='Read Me + Evidence'!$K$11,D58='Read Me + Evidence'!$H$7),1,0)</x:f>
        <x:v>0</x:v>
      </x:c>
      <x:c r="T58" s="14" t="n">
        <x:f>IF(AND(Q58='Read Me + Evidence'!$K$11,D58&lt;&gt;'Read Me + Evidence'!$H$12),1,0)</x:f>
        <x:v>1</x:v>
      </x:c>
      <x:c r="U58" s="3" t="str"/>
    </x:row>
    <x:row r="59" ht="153" customHeight="1">
      <x:c r="A59" s="3" t="str">
        <x:v>INBOX-02</x:v>
      </x:c>
      <x:c r="B59" s="3" t="str">
        <x:v>Inbox and approvals</x:v>
      </x:c>
      <x:c r="C59" s="3" t="str">
        <x:v>Room and contact requests</x:v>
      </x:c>
      <x:c r="D59" s="13" t="str">
        <x:v>Blocked prerequisite</x:v>
      </x:c>
      <x:c r="E59" s="3" t="str">
        <x:v>Runtime applies the exact request once and refreshes both Inbox and owning app.</x:v>
      </x:c>
      <x:c r="F59" s="12" t="str">
        <x:v>No consenting room/contact test request exists in this installation.</x:v>
      </x:c>
      <x:c r="G59" s="3" t="str">
        <x:v>multi-runtime-controlled</x:v>
      </x:c>
      <x:c r="H59" s="3" t="str">
        <x:v>implemented-source</x:v>
      </x:c>
      <x:c r="I59" s="3" t="str">
        <x:v>Approve/Deny; Accept/Decline; Open</x:v>
      </x:c>
      <x:c r="J59" s="3" t="str">
        <x:v>1. Inspect test request
2. Act only with peer consent</x:v>
      </x:c>
      <x:c r="K59" s="3" t="str">
        <x:v>Controlled room/contact request</x:v>
      </x:c>
      <x:c r="L59" s="3" t="str"/>
      <x:c r="M59" s="3" t="str"/>
      <x:c r="N59" s="3" t="str">
        <x:v>E-046</x:v>
      </x:c>
      <x:c r="O59" s="3" t="str">
        <x:v>S-052</x:v>
      </x:c>
      <x:c r="P59" s="3" t="str">
        <x:v>inbox</x:v>
      </x:c>
      <x:c r="Q59" s="3" t="str">
        <x:f>IF(OR(H59='Read Me + Evidence'!$K$6,H59='Read Me + Evidence'!$K$7,H59='Read Me + Evidence'!$K$8,P59='Read Me + Evidence'!$K$9,P59='Read Me + Evidence'!$K$10),'Read Me + Evidence'!$K$12,'Read Me + Evidence'!$K$11)</x:f>
        <x:v>GUI</x:v>
      </x:c>
      <x:c r="R59" s="14" t="n">
        <x:f>IF(AND(Q59='Read Me + Evidence'!$K$11,OR(D59='Read Me + Evidence'!$H$7,D59='Read Me + Evidence'!$H$8,D59='Read Me + Evidence'!$H$9)),1,0)</x:f>
        <x:v>0</x:v>
      </x:c>
      <x:c r="S59" s="14" t="n">
        <x:f>IF(AND(Q59='Read Me + Evidence'!$K$11,D59='Read Me + Evidence'!$H$7),1,0)</x:f>
        <x:v>0</x:v>
      </x:c>
      <x:c r="T59" s="14" t="n">
        <x:f>IF(AND(Q59='Read Me + Evidence'!$K$11,D59&lt;&gt;'Read Me + Evidence'!$H$12),1,0)</x:f>
        <x:v>1</x:v>
      </x:c>
      <x:c r="U59" s="3" t="str"/>
    </x:row>
    <x:row r="60" ht="153" customHeight="1">
      <x:c r="A60" s="3" t="str">
        <x:v>INBOX-03</x:v>
      </x:c>
      <x:c r="B60" s="3" t="str">
        <x:v>Inbox and approvals</x:v>
      </x:c>
      <x:c r="C60" s="3" t="str">
        <x:v>Wallet requests</x:v>
      </x:c>
      <x:c r="D60" s="13" t="str">
        <x:v>Blocked prerequisite</x:v>
      </x:c>
      <x:c r="E60" s="3" t="str">
        <x:v>Trusted Inbox/Wallet uses exact Runtime request and passkey consent; connector performs no independent approval.</x:v>
      </x:c>
      <x:c r="F60" s="12" t="str">
        <x:v>There is no controlled transaction request or funded test account; no signing or approval occurred.</x:v>
      </x:c>
      <x:c r="G60" s="3" t="str">
        <x:v>controlled-financial</x:v>
      </x:c>
      <x:c r="H60" s="3" t="str">
        <x:v>implemented-source</x:v>
      </x:c>
      <x:c r="I60" s="3" t="str">
        <x:v>Approve; Review in Wallet; Reject</x:v>
      </x:c>
      <x:c r="J60" s="3" t="str">
        <x:v>1. Inspect exact amount/account/origin
2. Reject or approve only controlled transaction</x:v>
      </x:c>
      <x:c r="K60" s="3" t="str">
        <x:v>Test Wallet request; Explicit financial approval</x:v>
      </x:c>
      <x:c r="L60" s="3" t="str"/>
      <x:c r="M60" s="3" t="str"/>
      <x:c r="N60" s="3" t="str">
        <x:v>E-046</x:v>
      </x:c>
      <x:c r="O60" s="3" t="str">
        <x:v>S-053</x:v>
      </x:c>
      <x:c r="P60" s="3" t="str">
        <x:v>inbox</x:v>
      </x:c>
      <x:c r="Q60" s="3" t="str">
        <x:f>IF(OR(H60='Read Me + Evidence'!$K$6,H60='Read Me + Evidence'!$K$7,H60='Read Me + Evidence'!$K$8,P60='Read Me + Evidence'!$K$9,P60='Read Me + Evidence'!$K$10),'Read Me + Evidence'!$K$12,'Read Me + Evidence'!$K$11)</x:f>
        <x:v>GUI</x:v>
      </x:c>
      <x:c r="R60" s="14" t="n">
        <x:f>IF(AND(Q60='Read Me + Evidence'!$K$11,OR(D60='Read Me + Evidence'!$H$7,D60='Read Me + Evidence'!$H$8,D60='Read Me + Evidence'!$H$9)),1,0)</x:f>
        <x:v>0</x:v>
      </x:c>
      <x:c r="S60" s="14" t="n">
        <x:f>IF(AND(Q60='Read Me + Evidence'!$K$11,D60='Read Me + Evidence'!$H$7),1,0)</x:f>
        <x:v>0</x:v>
      </x:c>
      <x:c r="T60" s="14" t="n">
        <x:f>IF(AND(Q60='Read Me + Evidence'!$K$11,D60&lt;&gt;'Read Me + Evidence'!$H$12),1,0)</x:f>
        <x:v>1</x:v>
      </x:c>
      <x:c r="U60" s="3" t="str"/>
    </x:row>
    <x:row r="61" ht="153" customHeight="1">
      <x:c r="A61" s="3" t="str">
        <x:v>INBOX-04</x:v>
      </x:c>
      <x:c r="B61" s="3" t="str">
        <x:v>Inbox and approvals</x:v>
      </x:c>
      <x:c r="C61" s="3" t="str">
        <x:v>Capability requests</x:v>
      </x:c>
      <x:c r="D61" s="13" t="str">
        <x:v>Blocked prerequisite</x:v>
      </x:c>
      <x:c r="E61" s="3" t="str">
        <x:v>Runtime capability admission remains authoritative; availability or discovery is not permission.</x:v>
      </x:c>
      <x:c r="F61" s="12" t="str">
        <x:v>No disposable capsule capability request exists; current price request was preserved.</x:v>
      </x:c>
      <x:c r="G61" s="3" t="str">
        <x:v>controlled-permission</x:v>
      </x:c>
      <x:c r="H61" s="3" t="str">
        <x:v>implemented-source</x:v>
      </x:c>
      <x:c r="I61" s="3" t="str">
        <x:v>Approve; Deny</x:v>
      </x:c>
      <x:c r="J61" s="3" t="str">
        <x:v>1. Inspect exact request scope/expiry
2. Deny controlled request</x:v>
      </x:c>
      <x:c r="K61" s="3" t="str">
        <x:v>Controlled capsule request</x:v>
      </x:c>
      <x:c r="L61" s="3" t="str"/>
      <x:c r="M61" s="3" t="str"/>
      <x:c r="N61" s="3" t="str">
        <x:v>E-046</x:v>
      </x:c>
      <x:c r="O61" s="3" t="str">
        <x:v>S-054</x:v>
      </x:c>
      <x:c r="P61" s="3" t="str">
        <x:v>inbox</x:v>
      </x:c>
      <x:c r="Q61" s="3" t="str">
        <x:f>IF(OR(H61='Read Me + Evidence'!$K$6,H61='Read Me + Evidence'!$K$7,H61='Read Me + Evidence'!$K$8,P61='Read Me + Evidence'!$K$9,P61='Read Me + Evidence'!$K$10),'Read Me + Evidence'!$K$12,'Read Me + Evidence'!$K$11)</x:f>
        <x:v>GUI</x:v>
      </x:c>
      <x:c r="R61" s="14" t="n">
        <x:f>IF(AND(Q61='Read Me + Evidence'!$K$11,OR(D61='Read Me + Evidence'!$H$7,D61='Read Me + Evidence'!$H$8,D61='Read Me + Evidence'!$H$9)),1,0)</x:f>
        <x:v>0</x:v>
      </x:c>
      <x:c r="S61" s="14" t="n">
        <x:f>IF(AND(Q61='Read Me + Evidence'!$K$11,D61='Read Me + Evidence'!$H$7),1,0)</x:f>
        <x:v>0</x:v>
      </x:c>
      <x:c r="T61" s="14" t="n">
        <x:f>IF(AND(Q61='Read Me + Evidence'!$K$11,D61&lt;&gt;'Read Me + Evidence'!$H$12),1,0)</x:f>
        <x:v>1</x:v>
      </x:c>
      <x:c r="U61" s="3" t="str"/>
    </x:row>
    <x:row r="62" ht="153" customHeight="1">
      <x:c r="A62" s="3" t="str">
        <x:v>INBOX-05</x:v>
      </x:c>
      <x:c r="B62" s="3" t="str">
        <x:v>Inbox and approvals</x:v>
      </x:c>
      <x:c r="C62" s="3" t="str">
        <x:v>System action requests</x:v>
      </x:c>
      <x:c r="D62" s="13" t="str">
        <x:v>Blocked prerequisite</x:v>
      </x:c>
      <x:c r="E62" s="3" t="str">
        <x:v>Result binds request, principal, resource and method exactly; denied operation dispatches nothing.</x:v>
      </x:c>
      <x:c r="F62" s="12" t="str">
        <x:v>No controlled privileged System request was dispatched. Inspection does not authorize a system mutation.</x:v>
      </x:c>
      <x:c r="G62" s="3" t="str">
        <x:v>privileged-operator</x:v>
      </x:c>
      <x:c r="H62" s="3" t="str">
        <x:v>implemented-source</x:v>
      </x:c>
      <x:c r="I62" s="3" t="str">
        <x:v>Approve; Deny; Open</x:v>
      </x:c>
      <x:c r="J62" s="3" t="str">
        <x:v>1. Inspect previewed System request
2. Deny or controlled approval</x:v>
      </x:c>
      <x:c r="K62" s="3" t="str">
        <x:v>Controlled technical request</x:v>
      </x:c>
      <x:c r="L62" s="3" t="str"/>
      <x:c r="M62" s="3" t="str"/>
      <x:c r="N62" s="3" t="str">
        <x:v>E-046</x:v>
      </x:c>
      <x:c r="O62" s="3" t="str">
        <x:v>S-055</x:v>
      </x:c>
      <x:c r="P62" s="3" t="str">
        <x:v>inbox</x:v>
      </x:c>
      <x:c r="Q62" s="3" t="str">
        <x:f>IF(OR(H62='Read Me + Evidence'!$K$6,H62='Read Me + Evidence'!$K$7,H62='Read Me + Evidence'!$K$8,P62='Read Me + Evidence'!$K$9,P62='Read Me + Evidence'!$K$10),'Read Me + Evidence'!$K$12,'Read Me + Evidence'!$K$11)</x:f>
        <x:v>GUI</x:v>
      </x:c>
      <x:c r="R62" s="14" t="n">
        <x:f>IF(AND(Q62='Read Me + Evidence'!$K$11,OR(D62='Read Me + Evidence'!$H$7,D62='Read Me + Evidence'!$H$8,D62='Read Me + Evidence'!$H$9)),1,0)</x:f>
        <x:v>0</x:v>
      </x:c>
      <x:c r="S62" s="14" t="n">
        <x:f>IF(AND(Q62='Read Me + Evidence'!$K$11,D62='Read Me + Evidence'!$H$7),1,0)</x:f>
        <x:v>0</x:v>
      </x:c>
      <x:c r="T62" s="14" t="n">
        <x:f>IF(AND(Q62='Read Me + Evidence'!$K$11,D62&lt;&gt;'Read Me + Evidence'!$H$12),1,0)</x:f>
        <x:v>1</x:v>
      </x:c>
      <x:c r="U62" s="3" t="str"/>
    </x:row>
    <x:row r="63" ht="153" customHeight="1">
      <x:c r="A63" s="3" t="str">
        <x:v>INBOX-06</x:v>
      </x:c>
      <x:c r="B63" s="3" t="str">
        <x:v>Inbox and approvals</x:v>
      </x:c>
      <x:c r="C63" s="3" t="str">
        <x:v>Price-source approval</x:v>
      </x:c>
      <x:c r="D63" s="13" t="str">
        <x:v>Partially observed</x:v>
      </x:c>
      <x:c r="E63" s="3" t="str">
        <x:v>External HTTP price access needs explicit policy approval, separate from balance/signing.</x:v>
      </x:c>
      <x:c r="F63" s="12" t="str">
        <x:v>Price request states the CoinGecko access and five requested assets. Open reaches full Wallet. Approve/Reject remain untouched because the existing request belongs to the user.</x:v>
      </x:c>
      <x:c r="G63" s="3" t="str">
        <x:v>controlled-network</x:v>
      </x:c>
      <x:c r="H63" s="3" t="str">
        <x:v>implemented-source</x:v>
      </x:c>
      <x:c r="I63" s="3" t="str">
        <x:v>Approve; Reject</x:v>
      </x:c>
      <x:c r="J63" s="3" t="str">
        <x:v>1. Inspect proposed external price access
2. Reject unless explicitly authorized</x:v>
      </x:c>
      <x:c r="K63" s="3" t="str">
        <x:v>Test price request; No real funds action</x:v>
      </x:c>
      <x:c r="L63" s="3" t="str"/>
      <x:c r="M63" s="3" t="str"/>
      <x:c r="N63" s="3" t="str">
        <x:v>E-046</x:v>
      </x:c>
      <x:c r="O63" s="3" t="str">
        <x:v>S-056</x:v>
      </x:c>
      <x:c r="P63" s="3" t="str">
        <x:v>inbox</x:v>
      </x:c>
      <x:c r="Q63" s="3" t="str">
        <x:f>IF(OR(H63='Read Me + Evidence'!$K$6,H63='Read Me + Evidence'!$K$7,H63='Read Me + Evidence'!$K$8,P63='Read Me + Evidence'!$K$9,P63='Read Me + Evidence'!$K$10),'Read Me + Evidence'!$K$12,'Read Me + Evidence'!$K$11)</x:f>
        <x:v>GUI</x:v>
      </x:c>
      <x:c r="R63" s="14" t="n">
        <x:f>IF(AND(Q63='Read Me + Evidence'!$K$11,OR(D63='Read Me + Evidence'!$H$7,D63='Read Me + Evidence'!$H$8,D63='Read Me + Evidence'!$H$9)),1,0)</x:f>
        <x:v>1</x:v>
      </x:c>
      <x:c r="S63" s="14" t="n">
        <x:f>IF(AND(Q63='Read Me + Evidence'!$K$11,D63='Read Me + Evidence'!$H$7),1,0)</x:f>
        <x:v>0</x:v>
      </x:c>
      <x:c r="T63" s="14" t="n">
        <x:f>IF(AND(Q63='Read Me + Evidence'!$K$11,D63&lt;&gt;'Read Me + Evidence'!$H$12),1,0)</x:f>
        <x:v>1</x:v>
      </x:c>
      <x:c r="U63" s="3" t="str"/>
    </x:row>
    <x:row r="64" ht="153" customHeight="1">
      <x:c r="A64" s="3" t="str">
        <x:v>INBOX-07</x:v>
      </x:c>
      <x:c r="B64" s="3" t="str">
        <x:v>Inbox and approvals</x:v>
      </x:c>
      <x:c r="C64" s="3" t="str">
        <x:v>Dismiss/replay</x:v>
      </x:c>
      <x:c r="D64" s="13" t="str">
        <x:v>Blocked prerequisite</x:v>
      </x:c>
      <x:c r="E64" s="3" t="str">
        <x:v>Notice dismissal stays separate from approval; stale/repeated activation cannot duplicate effect.</x:v>
      </x:c>
      <x:c r="F64" s="12" t="str">
        <x:v>The sole existing request is not disposable; dismissal and replay need a controlled completed request.</x:v>
      </x:c>
      <x:c r="G64" s="3" t="str">
        <x:v>controlled-notification</x:v>
      </x:c>
      <x:c r="H64" s="3" t="str">
        <x:v>implemented-source</x:v>
      </x:c>
      <x:c r="I64" s="3" t="str">
        <x:v>Dismiss; Refresh; Reopen rail</x:v>
      </x:c>
      <x:c r="J64" s="3" t="str">
        <x:v>1. Dismiss test notice
2. Revisit prior completed request</x:v>
      </x:c>
      <x:c r="K64" s="3" t="str">
        <x:v>Disposable notification/request</x:v>
      </x:c>
      <x:c r="L64" s="3" t="str"/>
      <x:c r="M64" s="3" t="str"/>
      <x:c r="N64" s="3" t="str">
        <x:v>E-046</x:v>
      </x:c>
      <x:c r="O64" s="3" t="str">
        <x:v>S-057</x:v>
      </x:c>
      <x:c r="P64" s="3" t="str">
        <x:v>inbox</x:v>
      </x:c>
      <x:c r="Q64" s="3" t="str">
        <x:f>IF(OR(H64='Read Me + Evidence'!$K$6,H64='Read Me + Evidence'!$K$7,H64='Read Me + Evidence'!$K$8,P64='Read Me + Evidence'!$K$9,P64='Read Me + Evidence'!$K$10),'Read Me + Evidence'!$K$12,'Read Me + Evidence'!$K$11)</x:f>
        <x:v>GUI</x:v>
      </x:c>
      <x:c r="R64" s="14" t="n">
        <x:f>IF(AND(Q64='Read Me + Evidence'!$K$11,OR(D64='Read Me + Evidence'!$H$7,D64='Read Me + Evidence'!$H$8,D64='Read Me + Evidence'!$H$9)),1,0)</x:f>
        <x:v>0</x:v>
      </x:c>
      <x:c r="S64" s="14" t="n">
        <x:f>IF(AND(Q64='Read Me + Evidence'!$K$11,D64='Read Me + Evidence'!$H$7),1,0)</x:f>
        <x:v>0</x:v>
      </x:c>
      <x:c r="T64" s="14" t="n">
        <x:f>IF(AND(Q64='Read Me + Evidence'!$K$11,D64&lt;&gt;'Read Me + Evidence'!$H$12),1,0)</x:f>
        <x:v>1</x:v>
      </x:c>
      <x:c r="U64" s="3" t="str"/>
    </x:row>
    <x:row r="65" ht="153" customHeight="1">
      <x:c r="A65" s="3" t="str">
        <x:v>LIB-01</x:v>
      </x:c>
      <x:c r="B65" s="3" t="str">
        <x:v>Library</x:v>
      </x:c>
      <x:c r="C65" s="3" t="str">
        <x:v>Roots and navigation</x:v>
      </x:c>
      <x:c r="D65" s="13" t="str">
        <x:v>Pass</x:v>
      </x:c>
      <x:c r="E65" s="3" t="str">
        <x:v>Runtime roots govern access; private/public/Trash/WebSpaces and unavailable roots are clear.</x:v>
      </x:c>
      <x:c r="F65" s="12" t="str">
        <x:v>All nine roots opened under Runtime ownership (E044). Disposable audit folder navigation, Back/Forward and Up now pass after F24 repair (E059). Existing mount contents and user files preserved.</x:v>
      </x:c>
      <x:c r="G65" s="3" t="str">
        <x:v>safe-read-only</x:v>
      </x:c>
      <x:c r="H65" s="3" t="str">
        <x:v>implemented-source</x:v>
      </x:c>
      <x:c r="I65" s="3" t="str">
        <x:v>Places; Back; Forward; Up; Breadcrumbs; New Window</x:v>
      </x:c>
      <x:c r="J65" s="3" t="str">
        <x:v>1. Open each available root
2. Navigate a disposable folder
3. Return</x:v>
      </x:c>
      <x:c r="K65" s="3" t="str">
        <x:v>Signed-in Home</x:v>
      </x:c>
      <x:c r="L65" s="3" t="str">
        <x:v>F-24</x:v>
      </x:c>
      <x:c r="M65" s="3" t="str"/>
      <x:c r="N65" s="3" t="str">
        <x:v>E-044; E-059</x:v>
      </x:c>
      <x:c r="O65" s="3" t="str">
        <x:v>S-058</x:v>
      </x:c>
      <x:c r="P65" s="3" t="str">
        <x:v>library</x:v>
      </x:c>
      <x:c r="Q65" s="3" t="str">
        <x:f>IF(OR(H65='Read Me + Evidence'!$K$6,H65='Read Me + Evidence'!$K$7,H65='Read Me + Evidence'!$K$8,P65='Read Me + Evidence'!$K$9,P65='Read Me + Evidence'!$K$10),'Read Me + Evidence'!$K$12,'Read Me + Evidence'!$K$11)</x:f>
        <x:v>GUI</x:v>
      </x:c>
      <x:c r="R65" s="14" t="n">
        <x:f>IF(AND(Q65='Read Me + Evidence'!$K$11,OR(D65='Read Me + Evidence'!$H$7,D65='Read Me + Evidence'!$H$8,D65='Read Me + Evidence'!$H$9)),1,0)</x:f>
        <x:v>1</x:v>
      </x:c>
      <x:c r="S65" s="14" t="n">
        <x:f>IF(AND(Q65='Read Me + Evidence'!$K$11,D65='Read Me + Evidence'!$H$7),1,0)</x:f>
        <x:v>1</x:v>
      </x:c>
      <x:c r="T65" s="14" t="n">
        <x:f>IF(AND(Q65='Read Me + Evidence'!$K$11,D65&lt;&gt;'Read Me + Evidence'!$H$12),1,0)</x:f>
        <x:v>1</x:v>
      </x:c>
      <x:c r="U65" s="3" t="str"/>
    </x:row>
    <x:row r="66" ht="153" customHeight="1">
      <x:c r="A66" s="3" t="str">
        <x:v>LIB-02</x:v>
      </x:c>
      <x:c r="B66" s="3" t="str">
        <x:v>Library</x:v>
      </x:c>
      <x:c r="C66" s="3" t="str">
        <x:v>Search and sort</x:v>
      </x:c>
      <x:c r="D66" s="13" t="str">
        <x:v>Pass</x:v>
      </x:c>
      <x:c r="E66" s="3" t="str">
        <x:v>Filtered empty state differs from an empty directory; ordering is stable and labels fit.</x:v>
      </x:c>
      <x:c r="F66" s="12" t="str">
        <x:v>Present/absent Search states E044 plus Name ascending/descending, Date Modified, Type and Size sorting E061 pass on small audit fixtures. Folders stay first; tied files sort by name. Original Name/Ascending/Details restored. Search input accessibility is separately tracked as F48.</x:v>
      </x:c>
      <x:c r="G66" s="3" t="str">
        <x:v>safe-read-only</x:v>
      </x:c>
      <x:c r="H66" s="3" t="str">
        <x:v>implemented-source</x:v>
      </x:c>
      <x:c r="I66" s="3" t="str">
        <x:v>Search toggle; Search; Name/Modified/Type/Size; Ascending/Descending</x:v>
      </x:c>
      <x:c r="J66" s="3" t="str">
        <x:v>1. Search present/absent name
2. Exercise sort choices on small fixture</x:v>
      </x:c>
      <x:c r="K66" s="3" t="str">
        <x:v>Signed-in Home</x:v>
      </x:c>
      <x:c r="L66" s="3" t="str">
        <x:v>F-48</x:v>
      </x:c>
      <x:c r="M66" s="3" t="str"/>
      <x:c r="N66" s="3" t="str">
        <x:v>E-044; E-061</x:v>
      </x:c>
      <x:c r="O66" s="3" t="str">
        <x:v>S-059</x:v>
      </x:c>
      <x:c r="P66" s="3" t="str">
        <x:v>library</x:v>
      </x:c>
      <x:c r="Q66" s="3" t="str">
        <x:f>IF(OR(H66='Read Me + Evidence'!$K$6,H66='Read Me + Evidence'!$K$7,H66='Read Me + Evidence'!$K$8,P66='Read Me + Evidence'!$K$9,P66='Read Me + Evidence'!$K$10),'Read Me + Evidence'!$K$12,'Read Me + Evidence'!$K$11)</x:f>
        <x:v>GUI</x:v>
      </x:c>
      <x:c r="R66" s="14" t="n">
        <x:f>IF(AND(Q66='Read Me + Evidence'!$K$11,OR(D66='Read Me + Evidence'!$H$7,D66='Read Me + Evidence'!$H$8,D66='Read Me + Evidence'!$H$9)),1,0)</x:f>
        <x:v>1</x:v>
      </x:c>
      <x:c r="S66" s="14" t="n">
        <x:f>IF(AND(Q66='Read Me + Evidence'!$K$11,D66='Read Me + Evidence'!$H$7),1,0)</x:f>
        <x:v>1</x:v>
      </x:c>
      <x:c r="T66" s="14" t="n">
        <x:f>IF(AND(Q66='Read Me + Evidence'!$K$11,D66&lt;&gt;'Read Me + Evidence'!$H$12),1,0)</x:f>
        <x:v>1</x:v>
      </x:c>
      <x:c r="U66" s="3" t="str"/>
    </x:row>
    <x:row r="67" ht="153" customHeight="1">
      <x:c r="A67" s="3" t="str">
        <x:v>LIB-03</x:v>
      </x:c>
      <x:c r="B67" s="3" t="str">
        <x:v>Library</x:v>
      </x:c>
      <x:c r="C67" s="3" t="str">
        <x:v>Views and presentation</x:v>
      </x:c>
      <x:c r="D67" s="13" t="str">
        <x:v>Fail</x:v>
      </x:c>
      <x:c r="E67" s="3" t="str">
        <x:v>View changes preserve selection/current folder, keyboard reachability and readable columns.</x:v>
      </x:c>
      <x:c r="F67" s="12" t="str">
        <x:v>Icons/Details keeps Documents and its five items through narrow and wide app sizes. At 680 px, Modified/Size/Type headers remain while their values are hidden (F-57). Restoring width restores metadata. Column reordering remains untested.</x:v>
      </x:c>
      <x:c r="G67" s="3" t="str">
        <x:v>controlled-layout</x:v>
      </x:c>
      <x:c r="H67" s="3" t="str">
        <x:v>implemented-source</x:v>
      </x:c>
      <x:c r="I67" s="3" t="str">
        <x:v>Icons; Details; Show Hidden; Sidebar resize/reorder; Refresh</x:v>
      </x:c>
      <x:c r="J67" s="3" t="str">
        <x:v>1. Switch views
2. Inspect safe hidden metadata policy
3. Resize/reorder then restore</x:v>
      </x:c>
      <x:c r="K67" s="3" t="str">
        <x:v>Disposable layout only</x:v>
      </x:c>
      <x:c r="L67" s="3" t="str">
        <x:v>F-57</x:v>
      </x:c>
      <x:c r="M67" s="3" t="str"/>
      <x:c r="N67" s="3" t="str">
        <x:v>E-044; E-083</x:v>
      </x:c>
      <x:c r="O67" s="3" t="str">
        <x:v>S-059</x:v>
      </x:c>
      <x:c r="P67" s="3" t="str">
        <x:v>library</x:v>
      </x:c>
      <x:c r="Q67" s="3" t="str">
        <x:f>IF(OR(H67='Read Me + Evidence'!$K$6,H67='Read Me + Evidence'!$K$7,H67='Read Me + Evidence'!$K$8,P67='Read Me + Evidence'!$K$9,P67='Read Me + Evidence'!$K$10),'Read Me + Evidence'!$K$12,'Read Me + Evidence'!$K$11)</x:f>
        <x:v>GUI</x:v>
      </x:c>
      <x:c r="R67" s="14" t="n">
        <x:f>IF(AND(Q67='Read Me + Evidence'!$K$11,OR(D67='Read Me + Evidence'!$H$7,D67='Read Me + Evidence'!$H$8,D67='Read Me + Evidence'!$H$9)),1,0)</x:f>
        <x:v>1</x:v>
      </x:c>
      <x:c r="S67" s="14" t="n">
        <x:f>IF(AND(Q67='Read Me + Evidence'!$K$11,D67='Read Me + Evidence'!$H$7),1,0)</x:f>
        <x:v>0</x:v>
      </x:c>
      <x:c r="T67" s="14" t="n">
        <x:f>IF(AND(Q67='Read Me + Evidence'!$K$11,D67&lt;&gt;'Read Me + Evidence'!$H$12),1,0)</x:f>
        <x:v>1</x:v>
      </x:c>
      <x:c r="U67" s="3" t="str"/>
    </x:row>
    <x:row r="68" ht="153" customHeight="1">
      <x:c r="A68" s="3" t="str">
        <x:v>LIB-04</x:v>
      </x:c>
      <x:c r="B68" s="3" t="str">
        <x:v>Library</x:v>
      </x:c>
      <x:c r="C68" s="3" t="str">
        <x:v>Create folder/document</x:v>
      </x:c>
      <x:c r="D68" s="13" t="str">
        <x:v>Fail</x:v>
      </x:c>
      <x:c r="E68" s="3" t="str">
        <x:v>Runtime validates names/ownership; failures leave no ambiguous duplicate.</x:v>
      </x:c>
      <x:c r="F68" s="12" t="str">
        <x:v>Audit folder and fixture creation pass. Corrected-name retry creates exactly one item. Runtime create-only protection preserves an existing file and reports collisions clearly. E-108 confirms the current managed Runtime selects the installed object-provider; remaining guidance and accessibility work stay tracked by F-25 and F-48.</x:v>
      </x:c>
      <x:c r="G68" s="3" t="str">
        <x:v>controlled-files</x:v>
      </x:c>
      <x:c r="H68" s="3" t="str">
        <x:v>implemented-source</x:v>
      </x:c>
      <x:c r="I68" s="3" t="str">
        <x:v>New Folder; New Text Document</x:v>
      </x:c>
      <x:c r="J68" s="3" t="str">
        <x:v>1. Create under audit fixture only
2. Test duplicate/invalid name</x:v>
      </x:c>
      <x:c r="K68" s="3" t="str">
        <x:v>Disposable audit folder</x:v>
      </x:c>
      <x:c r="L68" s="3" t="str">
        <x:v>F-25; F-26; F-48</x:v>
      </x:c>
      <x:c r="M68" s="3" t="str"/>
      <x:c r="N68" s="3" t="str">
        <x:v>E-044; E-059; E-067; E-108</x:v>
      </x:c>
      <x:c r="O68" s="3" t="str">
        <x:v>S-060, S-061</x:v>
      </x:c>
      <x:c r="P68" s="3" t="str">
        <x:v>library</x:v>
      </x:c>
      <x:c r="Q68" s="3" t="str">
        <x:f>IF(OR(H68='Read Me + Evidence'!$K$6,H68='Read Me + Evidence'!$K$7,H68='Read Me + Evidence'!$K$8,P68='Read Me + Evidence'!$K$9,P68='Read Me + Evidence'!$K$10),'Read Me + Evidence'!$K$12,'Read Me + Evidence'!$K$11)</x:f>
        <x:v>GUI</x:v>
      </x:c>
      <x:c r="R68" s="14" t="n">
        <x:f>IF(AND(Q68='Read Me + Evidence'!$K$11,OR(D68='Read Me + Evidence'!$H$7,D68='Read Me + Evidence'!$H$8,D68='Read Me + Evidence'!$H$9)),1,0)</x:f>
        <x:v>1</x:v>
      </x:c>
      <x:c r="S68" s="14" t="n">
        <x:f>IF(AND(Q68='Read Me + Evidence'!$K$11,D68='Read Me + Evidence'!$H$7),1,0)</x:f>
        <x:v>0</x:v>
      </x:c>
      <x:c r="T68" s="14" t="n">
        <x:f>IF(AND(Q68='Read Me + Evidence'!$K$11,D68&lt;&gt;'Read Me + Evidence'!$H$12),1,0)</x:f>
        <x:v>1</x:v>
      </x:c>
      <x:c r="U68" s="3" t="str"/>
    </x:row>
    <x:row r="69" ht="153" customHeight="1">
      <x:c r="A69" s="3" t="str">
        <x:v>LIB-05</x:v>
      </x:c>
      <x:c r="B69" s="3" t="str">
        <x:v>Library</x:v>
      </x:c>
      <x:c r="C69" s="3" t="str">
        <x:v>Upload and drop</x:v>
      </x:c>
      <x:c r="D69" s="13" t="str">
        <x:v>Blocked prerequisite</x:v>
      </x:c>
      <x:c r="E69" s="3" t="str">
        <x:v>Typed object appears with progress/result; no local path is exposed as authority.</x:v>
      </x:c>
      <x:c r="F69" s="12" t="str">
        <x:v>App-local audit folder/text/ZIP creation is proven separately. Native host-file upload/drop needs an approved harmless fixture and file-picker path. Recovered Desktop is usable; no user file was selected.</x:v>
      </x:c>
      <x:c r="G69" s="3" t="str">
        <x:v>controlled-files</x:v>
      </x:c>
      <x:c r="H69" s="3" t="str">
        <x:v>implemented-source</x:v>
      </x:c>
      <x:c r="I69" s="3" t="str">
        <x:v>Upload Here; File chooser; Drag/drop</x:v>
      </x:c>
      <x:c r="J69" s="3" t="str">
        <x:v>1. Choose bounded disposable text/image/video
2. Cancel once
3. Upload with consent</x:v>
      </x:c>
      <x:c r="K69" s="3" t="str">
        <x:v>Disposable fixtures only</x:v>
      </x:c>
      <x:c r="L69" s="3" t="str"/>
      <x:c r="M69" s="3" t="str"/>
      <x:c r="N69" s="3" t="str">
        <x:v>E-044; E-050; E-054</x:v>
      </x:c>
      <x:c r="O69" s="3" t="str">
        <x:v>S-062, S-063</x:v>
      </x:c>
      <x:c r="P69" s="3" t="str">
        <x:v>library</x:v>
      </x:c>
      <x:c r="Q69" s="3" t="str">
        <x:f>IF(OR(H69='Read Me + Evidence'!$K$6,H69='Read Me + Evidence'!$K$7,H69='Read Me + Evidence'!$K$8,P69='Read Me + Evidence'!$K$9,P69='Read Me + Evidence'!$K$10),'Read Me + Evidence'!$K$12,'Read Me + Evidence'!$K$11)</x:f>
        <x:v>GUI</x:v>
      </x:c>
      <x:c r="R69" s="14" t="n">
        <x:f>IF(AND(Q69='Read Me + Evidence'!$K$11,OR(D69='Read Me + Evidence'!$H$7,D69='Read Me + Evidence'!$H$8,D69='Read Me + Evidence'!$H$9)),1,0)</x:f>
        <x:v>0</x:v>
      </x:c>
      <x:c r="S69" s="14" t="n">
        <x:f>IF(AND(Q69='Read Me + Evidence'!$K$11,D69='Read Me + Evidence'!$H$7),1,0)</x:f>
        <x:v>0</x:v>
      </x:c>
      <x:c r="T69" s="14" t="n">
        <x:f>IF(AND(Q69='Read Me + Evidence'!$K$11,D69&lt;&gt;'Read Me + Evidence'!$H$12),1,0)</x:f>
        <x:v>1</x:v>
      </x:c>
      <x:c r="U69" s="3" t="str"/>
    </x:row>
    <x:row r="70" ht="153" customHeight="1">
      <x:c r="A70" s="3" t="str">
        <x:v>LIB-06</x:v>
      </x:c>
      <x:c r="B70" s="3" t="str">
        <x:v>Library</x:v>
      </x:c>
      <x:c r="C70" s="3" t="str">
        <x:v>Selection and keyboard</x:v>
      </x:c>
      <x:c r="D70" s="13" t="str">
        <x:v>Pass</x:v>
      </x:c>
      <x:c r="E70" s="3" t="str">
        <x:v>Focus and selection agree; underlying item activation cannot bypass an open menu.</x:v>
      </x:c>
      <x:c r="F70" s="12" t="str">
        <x:v>E059 installed retest: with audit fixture selected, Enter on Back navigates to Documents, Forward restores folder, and New folder opens the name editor. Source tests and artifact parity also pass.</x:v>
      </x:c>
      <x:c r="G70" s="3" t="str">
        <x:v>safe-read-only</x:v>
      </x:c>
      <x:c r="H70" s="3" t="str">
        <x:v>implemented-source</x:v>
      </x:c>
      <x:c r="I70" s="3" t="str">
        <x:v>Single/multi/range select; Select all; Enter; Escape</x:v>
      </x:c>
      <x:c r="J70" s="3" t="str">
        <x:v>1. Select a small fixture set
2. Use context menu
3. Escape</x:v>
      </x:c>
      <x:c r="K70" s="3" t="str">
        <x:v>Disposable files</x:v>
      </x:c>
      <x:c r="L70" s="3" t="str">
        <x:v>F-24</x:v>
      </x:c>
      <x:c r="M70" s="3" t="str"/>
      <x:c r="N70" s="3" t="str">
        <x:v>E-044; E-057; E-059</x:v>
      </x:c>
      <x:c r="O70" s="3" t="str">
        <x:v>S-064</x:v>
      </x:c>
      <x:c r="P70" s="3" t="str">
        <x:v>library</x:v>
      </x:c>
      <x:c r="Q70" s="3" t="str">
        <x:f>IF(OR(H70='Read Me + Evidence'!$K$6,H70='Read Me + Evidence'!$K$7,H70='Read Me + Evidence'!$K$8,P70='Read Me + Evidence'!$K$9,P70='Read Me + Evidence'!$K$10),'Read Me + Evidence'!$K$12,'Read Me + Evidence'!$K$11)</x:f>
        <x:v>GUI</x:v>
      </x:c>
      <x:c r="R70" s="14" t="n">
        <x:f>IF(AND(Q70='Read Me + Evidence'!$K$11,OR(D70='Read Me + Evidence'!$H$7,D70='Read Me + Evidence'!$H$8,D70='Read Me + Evidence'!$H$9)),1,0)</x:f>
        <x:v>1</x:v>
      </x:c>
      <x:c r="S70" s="14" t="n">
        <x:f>IF(AND(Q70='Read Me + Evidence'!$K$11,D70='Read Me + Evidence'!$H$7),1,0)</x:f>
        <x:v>1</x:v>
      </x:c>
      <x:c r="T70" s="14" t="n">
        <x:f>IF(AND(Q70='Read Me + Evidence'!$K$11,D70&lt;&gt;'Read Me + Evidence'!$H$12),1,0)</x:f>
        <x:v>1</x:v>
      </x:c>
      <x:c r="U70" s="3" t="str"/>
    </x:row>
    <x:row r="71" ht="153" customHeight="1">
      <x:c r="A71" s="3" t="str">
        <x:v>LIB-07</x:v>
      </x:c>
      <x:c r="B71" s="3" t="str">
        <x:v>Library</x:v>
      </x:c>
      <x:c r="C71" s="3" t="str">
        <x:v>Open and viewer choice</x:v>
      </x:c>
      <x:c r="D71" s="13" t="str">
        <x:v>Partially observed</x:v>
      </x:c>
      <x:c r="E71" s="3" t="str">
        <x:v>Runtime selects admitted viewer metadata; locked or unavailable content gets an honest state.</x:v>
      </x:c>
      <x:c r="F71" s="12" t="str">
        <x:v>Audit fixture.md opens Documents with correct title; fixture.md.zip opens Archive with correct entry. Included games open the Emulator. Image/video/unsupported-file branches require additional controlled fixtures; protected playback also needs configured custody/Chain.</x:v>
      </x:c>
      <x:c r="G71" s="3" t="str">
        <x:v>controlled-session</x:v>
      </x:c>
      <x:c r="H71" s="3" t="str">
        <x:v>implemented-source</x:v>
      </x:c>
      <x:c r="I71" s="3" t="str">
        <x:v>Open; Open With; New Window</x:v>
      </x:c>
      <x:c r="J71" s="3" t="str">
        <x:v>1. Open text/image/archive/video/game as supported
2. Inspect unsupported type</x:v>
      </x:c>
      <x:c r="K71" s="3" t="str">
        <x:v>Harmless fixture types</x:v>
      </x:c>
      <x:c r="L71" s="3" t="str">
        <x:v>F-19</x:v>
      </x:c>
      <x:c r="M71" s="3" t="str"/>
      <x:c r="N71" s="3" t="str">
        <x:v>E-045; E-050; E-052</x:v>
      </x:c>
      <x:c r="O71" s="3" t="str">
        <x:v>S-065</x:v>
      </x:c>
      <x:c r="P71" s="3" t="str">
        <x:v>library</x:v>
      </x:c>
      <x:c r="Q71" s="3" t="str">
        <x:f>IF(OR(H71='Read Me + Evidence'!$K$6,H71='Read Me + Evidence'!$K$7,H71='Read Me + Evidence'!$K$8,P71='Read Me + Evidence'!$K$9,P71='Read Me + Evidence'!$K$10),'Read Me + Evidence'!$K$12,'Read Me + Evidence'!$K$11)</x:f>
        <x:v>GUI</x:v>
      </x:c>
      <x:c r="R71" s="14" t="n">
        <x:f>IF(AND(Q71='Read Me + Evidence'!$K$11,OR(D71='Read Me + Evidence'!$H$7,D71='Read Me + Evidence'!$H$8,D71='Read Me + Evidence'!$H$9)),1,0)</x:f>
        <x:v>1</x:v>
      </x:c>
      <x:c r="S71" s="14" t="n">
        <x:f>IF(AND(Q71='Read Me + Evidence'!$K$11,D71='Read Me + Evidence'!$H$7),1,0)</x:f>
        <x:v>0</x:v>
      </x:c>
      <x:c r="T71" s="14" t="n">
        <x:f>IF(AND(Q71='Read Me + Evidence'!$K$11,D71&lt;&gt;'Read Me + Evidence'!$H$12),1,0)</x:f>
        <x:v>1</x:v>
      </x:c>
      <x:c r="U71" s="3" t="str"/>
    </x:row>
    <x:row r="72" ht="153" customHeight="1">
      <x:c r="A72" s="3" t="str">
        <x:v>LIB-08</x:v>
      </x:c>
      <x:c r="B72" s="3" t="str">
        <x:v>Library</x:v>
      </x:c>
      <x:c r="C72" s="3" t="str">
        <x:v>Quick preview</x:v>
      </x:c>
      <x:c r="D72" s="13" t="str">
        <x:v>Blocked prerequisite</x:v>
      </x:c>
      <x:c r="E72" s="3" t="str">
        <x:v>Preview stays bounded and leaves file state unchanged; unsupported media is explicit.</x:v>
      </x:c>
      <x:c r="F72" s="12" t="str">
        <x:v>The available audit text files offer Open through Documents, with no separate preview action in their context menu. Space did not open a preview. The source preview path runs only when no installed viewer owns the file. A dedicated image or other fallback-preview fixture is still needed; recovered Desktop is usable. Existing file sizes and modification times remain unchanged.</x:v>
      </x:c>
      <x:c r="G72" s="3" t="str">
        <x:v>controlled-session</x:v>
      </x:c>
      <x:c r="H72" s="3" t="str">
        <x:v>implemented-source</x:v>
      </x:c>
      <x:c r="I72" s="3" t="str">
        <x:v>Quick Look / Space; Close preview</x:v>
      </x:c>
      <x:c r="J72" s="3" t="str">
        <x:v>1. Preview supported disposable item
2. Close with Escape</x:v>
      </x:c>
      <x:c r="K72" s="3" t="str">
        <x:v>Harmless fixture object</x:v>
      </x:c>
      <x:c r="L72" s="3" t="str"/>
      <x:c r="M72" s="3" t="str"/>
      <x:c r="N72" s="3" t="str">
        <x:v>E-051; E-054; E-078</x:v>
      </x:c>
      <x:c r="O72" s="3" t="str">
        <x:v>S-066</x:v>
      </x:c>
      <x:c r="P72" s="3" t="str">
        <x:v>library</x:v>
      </x:c>
      <x:c r="Q72" s="3" t="str">
        <x:f>IF(OR(H72='Read Me + Evidence'!$K$6,H72='Read Me + Evidence'!$K$7,H72='Read Me + Evidence'!$K$8,P72='Read Me + Evidence'!$K$9,P72='Read Me + Evidence'!$K$10),'Read Me + Evidence'!$K$12,'Read Me + Evidence'!$K$11)</x:f>
        <x:v>GUI</x:v>
      </x:c>
      <x:c r="R72" s="14" t="n">
        <x:f>IF(AND(Q72='Read Me + Evidence'!$K$11,OR(D72='Read Me + Evidence'!$H$7,D72='Read Me + Evidence'!$H$8,D72='Read Me + Evidence'!$H$9)),1,0)</x:f>
        <x:v>0</x:v>
      </x:c>
      <x:c r="S72" s="14" t="n">
        <x:f>IF(AND(Q72='Read Me + Evidence'!$K$11,D72='Read Me + Evidence'!$H$7),1,0)</x:f>
        <x:v>0</x:v>
      </x:c>
      <x:c r="T72" s="14" t="n">
        <x:f>IF(AND(Q72='Read Me + Evidence'!$K$11,D72&lt;&gt;'Read Me + Evidence'!$H$12),1,0)</x:f>
        <x:v>1</x:v>
      </x:c>
      <x:c r="U72" s="3" t="str"/>
    </x:row>
    <x:row r="73" ht="153" customHeight="1">
      <x:c r="A73" s="3" t="str">
        <x:v>LIB-09</x:v>
      </x:c>
      <x:c r="B73" s="3" t="str">
        <x:v>Library</x:v>
      </x:c>
      <x:c r="C73" s="3" t="str">
        <x:v>Rename and transfer</x:v>
      </x:c>
      <x:c r="D73" s="13" t="str">
        <x:v>Partially observed</x:v>
      </x:c>
      <x:c r="E73" s="3" t="str">
        <x:v>Runtime owns exact file move/copy; app clipboard is not independent storage authority.</x:v>
      </x:c>
      <x:c r="F73" s="12" t="str">
        <x:v>Audit rename, copy, Cut/Paste move and Keep-both collisions preserve originals. Desktop audit copy returned to its folder. Corrected-name retry now passes (F25); generic validation guidance and configured read-only Space transfer remain open.</x:v>
      </x:c>
      <x:c r="G73" s="3" t="str">
        <x:v>controlled-files</x:v>
      </x:c>
      <x:c r="H73" s="3" t="str">
        <x:v>implemented-source</x:v>
      </x:c>
      <x:c r="I73" s="3" t="str">
        <x:v>Rename; Cut; Copy; Paste; Paste Into Folder; Drag copy/move</x:v>
      </x:c>
      <x:c r="J73" s="3" t="str">
        <x:v>1. Use disposable files
2. Inspect collision/read-only branches
3. Restore fixture</x:v>
      </x:c>
      <x:c r="K73" s="3" t="str">
        <x:v>Disposable audit folder</x:v>
      </x:c>
      <x:c r="L73" s="3" t="str">
        <x:v>F-25; F-48</x:v>
      </x:c>
      <x:c r="M73" s="3" t="str"/>
      <x:c r="N73" s="3" t="str">
        <x:v>E-051; E-059</x:v>
      </x:c>
      <x:c r="O73" s="3" t="str">
        <x:v>S-067</x:v>
      </x:c>
      <x:c r="P73" s="3" t="str">
        <x:v>library</x:v>
      </x:c>
      <x:c r="Q73" s="3" t="str">
        <x:f>IF(OR(H73='Read Me + Evidence'!$K$6,H73='Read Me + Evidence'!$K$7,H73='Read Me + Evidence'!$K$8,P73='Read Me + Evidence'!$K$9,P73='Read Me + Evidence'!$K$10),'Read Me + Evidence'!$K$12,'Read Me + Evidence'!$K$11)</x:f>
        <x:v>GUI</x:v>
      </x:c>
      <x:c r="R73" s="14" t="n">
        <x:f>IF(AND(Q73='Read Me + Evidence'!$K$11,OR(D73='Read Me + Evidence'!$H$7,D73='Read Me + Evidence'!$H$8,D73='Read Me + Evidence'!$H$9)),1,0)</x:f>
        <x:v>1</x:v>
      </x:c>
      <x:c r="S73" s="14" t="n">
        <x:f>IF(AND(Q73='Read Me + Evidence'!$K$11,D73='Read Me + Evidence'!$H$7),1,0)</x:f>
        <x:v>0</x:v>
      </x:c>
      <x:c r="T73" s="14" t="n">
        <x:f>IF(AND(Q73='Read Me + Evidence'!$K$11,D73&lt;&gt;'Read Me + Evidence'!$H$12),1,0)</x:f>
        <x:v>1</x:v>
      </x:c>
      <x:c r="U73" s="3" t="str"/>
    </x:row>
    <x:row r="74" ht="153" customHeight="1">
      <x:c r="A74" s="3" t="str">
        <x:v>LIB-10</x:v>
      </x:c>
      <x:c r="B74" s="3" t="str">
        <x:v>Library</x:v>
      </x:c>
      <x:c r="C74" s="3" t="str">
        <x:v>Download</x:v>
      </x:c>
      <x:c r="D74" s="13" t="str">
        <x:v>Blocked prerequisite</x:v>
      </x:c>
      <x:c r="E74" s="3" t="str">
        <x:v>Capabilities bound the selection; exported bytes/names are correct.</x:v>
      </x:c>
      <x:c r="F74" s="12" t="str">
        <x:v>Download is visible in the audit-file context menu. Native save and byte verification need an approved export path. Recovered Desktop is usable; no user file was exported.</x:v>
      </x:c>
      <x:c r="G74" s="3" t="str">
        <x:v>controlled-files</x:v>
      </x:c>
      <x:c r="H74" s="3" t="str">
        <x:v>implemented-source</x:v>
      </x:c>
      <x:c r="I74" s="3" t="str">
        <x:v>Download; Download as ZIP; Download Selected; Download Selected as ZIP</x:v>
      </x:c>
      <x:c r="J74" s="3" t="str">
        <x:v>1. Download only harmless fixture(s)
2. Cancel browser save if needed</x:v>
      </x:c>
      <x:c r="K74" s="3" t="str">
        <x:v>Explicit permission for fixture download</x:v>
      </x:c>
      <x:c r="L74" s="3" t="str"/>
      <x:c r="M74" s="3" t="str"/>
      <x:c r="N74" s="3" t="str">
        <x:v>E-051; E-054; E-078</x:v>
      </x:c>
      <x:c r="O74" s="3" t="str">
        <x:v>S-068</x:v>
      </x:c>
      <x:c r="P74" s="3" t="str">
        <x:v>library</x:v>
      </x:c>
      <x:c r="Q74" s="3" t="str">
        <x:f>IF(OR(H74='Read Me + Evidence'!$K$6,H74='Read Me + Evidence'!$K$7,H74='Read Me + Evidence'!$K$8,P74='Read Me + Evidence'!$K$9,P74='Read Me + Evidence'!$K$10),'Read Me + Evidence'!$K$12,'Read Me + Evidence'!$K$11)</x:f>
        <x:v>GUI</x:v>
      </x:c>
      <x:c r="R74" s="14" t="n">
        <x:f>IF(AND(Q74='Read Me + Evidence'!$K$11,OR(D74='Read Me + Evidence'!$H$7,D74='Read Me + Evidence'!$H$8,D74='Read Me + Evidence'!$H$9)),1,0)</x:f>
        <x:v>0</x:v>
      </x:c>
      <x:c r="S74" s="14" t="n">
        <x:f>IF(AND(Q74='Read Me + Evidence'!$K$11,D74='Read Me + Evidence'!$H$7),1,0)</x:f>
        <x:v>0</x:v>
      </x:c>
      <x:c r="T74" s="14" t="n">
        <x:f>IF(AND(Q74='Read Me + Evidence'!$K$11,D74&lt;&gt;'Read Me + Evidence'!$H$12),1,0)</x:f>
        <x:v>1</x:v>
      </x:c>
      <x:c r="U74" s="3" t="str"/>
    </x:row>
    <x:row r="75" ht="153" customHeight="1">
      <x:c r="A75" s="3" t="str">
        <x:v>LIB-11</x:v>
      </x:c>
      <x:c r="B75" s="3" t="str">
        <x:v>Library</x:v>
      </x:c>
      <x:c r="C75" s="3" t="str">
        <x:v>Compress</x:v>
      </x:c>
      <x:c r="D75" s="13" t="str">
        <x:v>Partially observed</x:v>
      </x:c>
      <x:c r="E75" s="3" t="str">
        <x:v>Archive preserves selected names/content and excludes unrelated files.</x:v>
      </x:c>
      <x:c r="F75" s="12" t="str">
        <x:v>A single audit file compressed into fixture.md.zip118B in the same folder. Viewer handoff failed (F-35); multi-item byte/content proof awaits loaded archive.</x:v>
      </x:c>
      <x:c r="G75" s="3" t="str">
        <x:v>controlled-files</x:v>
      </x:c>
      <x:c r="H75" s="3" t="str">
        <x:v>implemented-source</x:v>
      </x:c>
      <x:c r="I75" s="3" t="str">
        <x:v>Compress to ZIP; Compress Selected to ZIP</x:v>
      </x:c>
      <x:c r="J75" s="3" t="str">
        <x:v>1. Select same-folder fixtures
2. Create archive under audit folder</x:v>
      </x:c>
      <x:c r="K75" s="3" t="str">
        <x:v>Disposable audit folder</x:v>
      </x:c>
      <x:c r="L75" s="3" t="str">
        <x:v>F-35</x:v>
      </x:c>
      <x:c r="M75" s="3" t="str"/>
      <x:c r="N75" s="3" t="str">
        <x:v>E-050</x:v>
      </x:c>
      <x:c r="O75" s="3" t="str">
        <x:v>S-069</x:v>
      </x:c>
      <x:c r="P75" s="3" t="str">
        <x:v>library</x:v>
      </x:c>
      <x:c r="Q75" s="3" t="str">
        <x:f>IF(OR(H75='Read Me + Evidence'!$K$6,H75='Read Me + Evidence'!$K$7,H75='Read Me + Evidence'!$K$8,P75='Read Me + Evidence'!$K$9,P75='Read Me + Evidence'!$K$10),'Read Me + Evidence'!$K$12,'Read Me + Evidence'!$K$11)</x:f>
        <x:v>GUI</x:v>
      </x:c>
      <x:c r="R75" s="14" t="n">
        <x:f>IF(AND(Q75='Read Me + Evidence'!$K$11,OR(D75='Read Me + Evidence'!$H$7,D75='Read Me + Evidence'!$H$8,D75='Read Me + Evidence'!$H$9)),1,0)</x:f>
        <x:v>1</x:v>
      </x:c>
      <x:c r="S75" s="14" t="n">
        <x:f>IF(AND(Q75='Read Me + Evidence'!$K$11,D75='Read Me + Evidence'!$H$7),1,0)</x:f>
        <x:v>0</x:v>
      </x:c>
      <x:c r="T75" s="14" t="n">
        <x:f>IF(AND(Q75='Read Me + Evidence'!$K$11,D75&lt;&gt;'Read Me + Evidence'!$H$12),1,0)</x:f>
        <x:v>1</x:v>
      </x:c>
      <x:c r="U75" s="3" t="str"/>
    </x:row>
    <x:row r="76" ht="153" customHeight="1">
      <x:c r="A76" s="3" t="str">
        <x:v>LIB-12</x:v>
      </x:c>
      <x:c r="B76" s="3" t="str">
        <x:v>Library</x:v>
      </x:c>
      <x:c r="C76" s="3" t="str">
        <x:v>Extract/support branch</x:v>
      </x:c>
      <x:c r="D76" s="13" t="str">
        <x:v>Partially observed</x:v>
      </x:c>
      <x:c r="E76" s="3" t="str">
        <x:v>Runtime policy governs extraction; unsupported archive family stays explicitly unavailable.</x:v>
      </x:c>
      <x:c r="F76" s="12" t="str">
        <x:v>A ZIP made from the empty audit file opens via normal Library browse. Safe extraction Skip and Keep both succeed. Unsupported family/traversal fixtures are separate blocked negative coverage.</x:v>
      </x:c>
      <x:c r="G76" s="3" t="str">
        <x:v>controlled-files</x:v>
      </x:c>
      <x:c r="H76" s="3" t="str">
        <x:v>implemented-source</x:v>
      </x:c>
      <x:c r="I76" s="3" t="str">
        <x:v>Extract Here; Archive Support</x:v>
      </x:c>
      <x:c r="J76" s="3" t="str">
        <x:v>1. Open safe archive
2. Inspect unsupported-family and traversal branches without unsafe payload execution</x:v>
      </x:c>
      <x:c r="K76" s="3" t="str">
        <x:v>Bounded safe archive fixture</x:v>
      </x:c>
      <x:c r="L76" s="3" t="str"/>
      <x:c r="M76" s="3" t="str"/>
      <x:c r="N76" s="3" t="str">
        <x:v>E-050</x:v>
      </x:c>
      <x:c r="O76" s="3" t="str">
        <x:v>S-070, S-071</x:v>
      </x:c>
      <x:c r="P76" s="3" t="str">
        <x:v>library</x:v>
      </x:c>
      <x:c r="Q76" s="3" t="str">
        <x:f>IF(OR(H76='Read Me + Evidence'!$K$6,H76='Read Me + Evidence'!$K$7,H76='Read Me + Evidence'!$K$8,P76='Read Me + Evidence'!$K$9,P76='Read Me + Evidence'!$K$10),'Read Me + Evidence'!$K$12,'Read Me + Evidence'!$K$11)</x:f>
        <x:v>GUI</x:v>
      </x:c>
      <x:c r="R76" s="14" t="n">
        <x:f>IF(AND(Q76='Read Me + Evidence'!$K$11,OR(D76='Read Me + Evidence'!$H$7,D76='Read Me + Evidence'!$H$8,D76='Read Me + Evidence'!$H$9)),1,0)</x:f>
        <x:v>1</x:v>
      </x:c>
      <x:c r="S76" s="14" t="n">
        <x:f>IF(AND(Q76='Read Me + Evidence'!$K$11,D76='Read Me + Evidence'!$H$7),1,0)</x:f>
        <x:v>0</x:v>
      </x:c>
      <x:c r="T76" s="14" t="n">
        <x:f>IF(AND(Q76='Read Me + Evidence'!$K$11,D76&lt;&gt;'Read Me + Evidence'!$H$12),1,0)</x:f>
        <x:v>1</x:v>
      </x:c>
      <x:c r="U76" s="3" t="str"/>
    </x:row>
    <x:row r="77" ht="153" customHeight="1">
      <x:c r="A77" s="3" t="str">
        <x:v>LIB-13</x:v>
      </x:c>
      <x:c r="B77" s="3" t="str">
        <x:v>Library</x:v>
      </x:c>
      <x:c r="C77" s="3" t="str">
        <x:v>Publish ordinary object</x:v>
      </x:c>
      <x:c r="D77" s="13" t="str">
        <x:v>Blocked prerequisite</x:v>
      </x:c>
      <x:c r="E77" s="3" t="str">
        <x:v>Existing content path returns content-addressed identity; ordinary publication is distinct from protected minting.</x:v>
      </x:c>
      <x:c r="F77" s="12" t="str">
        <x:v>Publish action is visible for harmless audit text. Source dispatches publication directly; explicit public-content consent and backend proof are required before pressing it.</x:v>
      </x:c>
      <x:c r="G77" s="3" t="str">
        <x:v>controlled-publication</x:v>
      </x:c>
      <x:c r="H77" s="3" t="str">
        <x:v>implemented-source</x:v>
      </x:c>
      <x:c r="I77" s="3" t="str">
        <x:v>Publish; Publish Selected</x:v>
      </x:c>
      <x:c r="J77" s="3" t="str">
        <x:v>1. Inspect publish scope on harmless unpublished object
2. Publish only with consent</x:v>
      </x:c>
      <x:c r="K77" s="3" t="str">
        <x:v>Explicit public-content consent; Content backend</x:v>
      </x:c>
      <x:c r="L77" s="3" t="str"/>
      <x:c r="M77" s="3" t="str"/>
      <x:c r="N77" s="3" t="str">
        <x:v>E-044; E-040; E-050</x:v>
      </x:c>
      <x:c r="O77" s="3" t="str">
        <x:v>S-072</x:v>
      </x:c>
      <x:c r="P77" s="3" t="str">
        <x:v>library</x:v>
      </x:c>
      <x:c r="Q77" s="3" t="str">
        <x:f>IF(OR(H77='Read Me + Evidence'!$K$6,H77='Read Me + Evidence'!$K$7,H77='Read Me + Evidence'!$K$8,P77='Read Me + Evidence'!$K$9,P77='Read Me + Evidence'!$K$10),'Read Me + Evidence'!$K$12,'Read Me + Evidence'!$K$11)</x:f>
        <x:v>GUI</x:v>
      </x:c>
      <x:c r="R77" s="14" t="n">
        <x:f>IF(AND(Q77='Read Me + Evidence'!$K$11,OR(D77='Read Me + Evidence'!$H$7,D77='Read Me + Evidence'!$H$8,D77='Read Me + Evidence'!$H$9)),1,0)</x:f>
        <x:v>0</x:v>
      </x:c>
      <x:c r="S77" s="14" t="n">
        <x:f>IF(AND(Q77='Read Me + Evidence'!$K$11,D77='Read Me + Evidence'!$H$7),1,0)</x:f>
        <x:v>0</x:v>
      </x:c>
      <x:c r="T77" s="14" t="n">
        <x:f>IF(AND(Q77='Read Me + Evidence'!$K$11,D77&lt;&gt;'Read Me + Evidence'!$H$12),1,0)</x:f>
        <x:v>1</x:v>
      </x:c>
      <x:c r="U77" s="3" t="str"/>
    </x:row>
    <x:row r="78" ht="153" customHeight="1">
      <x:c r="A78" s="3" t="str">
        <x:v>LIB-14</x:v>
      </x:c>
      <x:c r="B78" s="3" t="str">
        <x:v>Library</x:v>
      </x:c>
      <x:c r="C78" s="3" t="str">
        <x:v>Published status and repair</x:v>
      </x:c>
      <x:c r="D78" s="13" t="str">
        <x:v>Blocked prerequisite</x:v>
      </x:c>
      <x:c r="E78" s="3" t="str">
        <x:v>CID integrity, last availability proof and repair status remain distinct; link is elastos://&lt;cid&gt;.</x:v>
      </x:c>
      <x:c r="F78" s="12" t="str">
        <x:v>The audit contains no approved published fixture. CID availability/repair and public identity-copy need a designated published item.</x:v>
      </x:c>
      <x:c r="G78" s="3" t="str">
        <x:v>controlled-publication</x:v>
      </x:c>
      <x:c r="H78" s="3" t="str">
        <x:v>implemented-source</x:v>
      </x:c>
      <x:c r="I78" s="3" t="str">
        <x:v>Status; Repair; Copy Content CID; Copy Published Link</x:v>
      </x:c>
      <x:c r="J78" s="3" t="str">
        <x:v>1. Inspect a published test object
2. Copy public identity
3. Repair only controlled artifact</x:v>
      </x:c>
      <x:c r="K78" s="3" t="str">
        <x:v>Published test object</x:v>
      </x:c>
      <x:c r="L78" s="3" t="str"/>
      <x:c r="M78" s="3" t="str"/>
      <x:c r="N78" s="3" t="str">
        <x:v>E-044; E-040; E-050</x:v>
      </x:c>
      <x:c r="O78" s="3" t="str">
        <x:v>S-073</x:v>
      </x:c>
      <x:c r="P78" s="3" t="str">
        <x:v>library</x:v>
      </x:c>
      <x:c r="Q78" s="3" t="str">
        <x:f>IF(OR(H78='Read Me + Evidence'!$K$6,H78='Read Me + Evidence'!$K$7,H78='Read Me + Evidence'!$K$8,P78='Read Me + Evidence'!$K$9,P78='Read Me + Evidence'!$K$10),'Read Me + Evidence'!$K$12,'Read Me + Evidence'!$K$11)</x:f>
        <x:v>GUI</x:v>
      </x:c>
      <x:c r="R78" s="14" t="n">
        <x:f>IF(AND(Q78='Read Me + Evidence'!$K$11,OR(D78='Read Me + Evidence'!$H$7,D78='Read Me + Evidence'!$H$8,D78='Read Me + Evidence'!$H$9)),1,0)</x:f>
        <x:v>0</x:v>
      </x:c>
      <x:c r="S78" s="14" t="n">
        <x:f>IF(AND(Q78='Read Me + Evidence'!$K$11,D78='Read Me + Evidence'!$H$7),1,0)</x:f>
        <x:v>0</x:v>
      </x:c>
      <x:c r="T78" s="14" t="n">
        <x:f>IF(AND(Q78='Read Me + Evidence'!$K$11,D78&lt;&gt;'Read Me + Evidence'!$H$12),1,0)</x:f>
        <x:v>1</x:v>
      </x:c>
      <x:c r="U78" s="3" t="str"/>
    </x:row>
    <x:row r="79" ht="153" customHeight="1">
      <x:c r="A79" s="3" t="str">
        <x:v>LIB-15</x:v>
      </x:c>
      <x:c r="B79" s="3" t="str">
        <x:v>Library</x:v>
      </x:c>
      <x:c r="C79" s="3" t="str">
        <x:v>Share/access</x:v>
      </x:c>
      <x:c r="D79" s="13" t="str">
        <x:v>Blocked prerequisite</x:v>
      </x:c>
      <x:c r="E79" s="3" t="str">
        <x:v>Recipient scope follows typed Runtime rights; no raw key or provider route reaches UI.</x:v>
      </x:c>
      <x:c r="F79" s="12" t="str">
        <x:v>No controlled recipients or approved sharing fixture. Public/recipient rights execution remains gated by explicit sharing consent.</x:v>
      </x:c>
      <x:c r="G79" s="3" t="str">
        <x:v>controlled-permission</x:v>
      </x:c>
      <x:c r="H79" s="3" t="str">
        <x:v>implemented-source</x:v>
      </x:c>
      <x:c r="I79" s="3" t="str">
        <x:v>Share; Recipient selection; Check My Access</x:v>
      </x:c>
      <x:c r="J79" s="3" t="str">
        <x:v>1. Inspect public vs recipient-scoped options
2. Cancel or share controlled fixture</x:v>
      </x:c>
      <x:c r="K79" s="3" t="str">
        <x:v>Test recipients; Explicit sharing consent</x:v>
      </x:c>
      <x:c r="L79" s="3" t="str"/>
      <x:c r="M79" s="3" t="str"/>
      <x:c r="N79" s="3" t="str">
        <x:v>E-044; E-040; E-050</x:v>
      </x:c>
      <x:c r="O79" s="3" t="str">
        <x:v>S-074, S-075</x:v>
      </x:c>
      <x:c r="P79" s="3" t="str">
        <x:v>library</x:v>
      </x:c>
      <x:c r="Q79" s="3" t="str">
        <x:f>IF(OR(H79='Read Me + Evidence'!$K$6,H79='Read Me + Evidence'!$K$7,H79='Read Me + Evidence'!$K$8,P79='Read Me + Evidence'!$K$9,P79='Read Me + Evidence'!$K$10),'Read Me + Evidence'!$K$12,'Read Me + Evidence'!$K$11)</x:f>
        <x:v>GUI</x:v>
      </x:c>
      <x:c r="R79" s="14" t="n">
        <x:f>IF(AND(Q79='Read Me + Evidence'!$K$11,OR(D79='Read Me + Evidence'!$H$7,D79='Read Me + Evidence'!$H$8,D79='Read Me + Evidence'!$H$9)),1,0)</x:f>
        <x:v>0</x:v>
      </x:c>
      <x:c r="S79" s="14" t="n">
        <x:f>IF(AND(Q79='Read Me + Evidence'!$K$11,D79='Read Me + Evidence'!$H$7),1,0)</x:f>
        <x:v>0</x:v>
      </x:c>
      <x:c r="T79" s="14" t="n">
        <x:f>IF(AND(Q79='Read Me + Evidence'!$K$11,D79&lt;&gt;'Read Me + Evidence'!$H$12),1,0)</x:f>
        <x:v>1</x:v>
      </x:c>
      <x:c r="U79" s="3" t="str"/>
    </x:row>
    <x:row r="80" ht="153" customHeight="1">
      <x:c r="A80" s="3" t="str">
        <x:v>LIB-16</x:v>
      </x:c>
      <x:c r="B80" s="3" t="str">
        <x:v>Library</x:v>
      </x:c>
      <x:c r="C80" s="3" t="str">
        <x:v>Unpublish ordinary content</x:v>
      </x:c>
      <x:c r="D80" s="13" t="str">
        <x:v>Blocked prerequisite</x:v>
      </x:c>
      <x:c r="E80" s="3" t="str">
        <x:v>Existing ordinary-content lifecycle applies. Protected-content retirement is not implied.</x:v>
      </x:c>
      <x:c r="F80" s="12" t="str">
        <x:v>No disposable published fixture; unpublish and protected retirement must stay separate. No publication lifecycle mutation was made.</x:v>
      </x:c>
      <x:c r="G80" s="3" t="str">
        <x:v>destructive-controlled</x:v>
      </x:c>
      <x:c r="H80" s="3" t="str">
        <x:v>implemented-source</x:v>
      </x:c>
      <x:c r="I80" s="3" t="str">
        <x:v>Unpublish; Unpublish Selected</x:v>
      </x:c>
      <x:c r="J80" s="3" t="str">
        <x:v>1. Inspect ordinary published test item
2. Cancel by default</x:v>
      </x:c>
      <x:c r="K80" s="3" t="str">
        <x:v>Disposable published fixture</x:v>
      </x:c>
      <x:c r="L80" s="3" t="str"/>
      <x:c r="M80" s="3" t="str"/>
      <x:c r="N80" s="3" t="str">
        <x:v>E-044; E-040; E-050</x:v>
      </x:c>
      <x:c r="O80" s="3" t="str">
        <x:v>S-076</x:v>
      </x:c>
      <x:c r="P80" s="3" t="str">
        <x:v>library</x:v>
      </x:c>
      <x:c r="Q80" s="3" t="str">
        <x:f>IF(OR(H80='Read Me + Evidence'!$K$6,H80='Read Me + Evidence'!$K$7,H80='Read Me + Evidence'!$K$8,P80='Read Me + Evidence'!$K$9,P80='Read Me + Evidence'!$K$10),'Read Me + Evidence'!$K$12,'Read Me + Evidence'!$K$11)</x:f>
        <x:v>GUI</x:v>
      </x:c>
      <x:c r="R80" s="14" t="n">
        <x:f>IF(AND(Q80='Read Me + Evidence'!$K$11,OR(D80='Read Me + Evidence'!$H$7,D80='Read Me + Evidence'!$H$8,D80='Read Me + Evidence'!$H$9)),1,0)</x:f>
        <x:v>0</x:v>
      </x:c>
      <x:c r="S80" s="14" t="n">
        <x:f>IF(AND(Q80='Read Me + Evidence'!$K$11,D80='Read Me + Evidence'!$H$7),1,0)</x:f>
        <x:v>0</x:v>
      </x:c>
      <x:c r="T80" s="14" t="n">
        <x:f>IF(AND(Q80='Read Me + Evidence'!$K$11,D80&lt;&gt;'Read Me + Evidence'!$H$12),1,0)</x:f>
        <x:v>1</x:v>
      </x:c>
      <x:c r="U80" s="3" t="str"/>
    </x:row>
    <x:row r="81" ht="153" customHeight="1">
      <x:c r="A81" s="3" t="str">
        <x:v>LIB-17</x:v>
      </x:c>
      <x:c r="B81" s="3" t="str">
        <x:v>Library</x:v>
      </x:c>
      <x:c r="C81" s="3" t="str">
        <x:v>Protect and List visibility</x:v>
      </x:c>
      <x:c r="D81" s="13" t="str">
        <x:v>Blocked prerequisite</x:v>
      </x:c>
      <x:c r="E81" s="3" t="str">
        <x:v>Action appears only for eligible video with publish capability; Runtime owns encryption/mint/list authority.</x:v>
      </x:c>
      <x:c r="F81" s="12" t="str">
        <x:v>Current harmless Markdown/ZIP fixtures are ineligible for Protect and List. Eligible unpublished video, signed custody composition and valid Chain configuration are absent; no mint/publication dispatched.</x:v>
      </x:c>
      <x:c r="G81" s="3" t="str">
        <x:v>controlled-files</x:v>
      </x:c>
      <x:c r="H81" s="3" t="str">
        <x:v>implemented-config-gated</x:v>
      </x:c>
      <x:c r="I81" s="3" t="str">
        <x:v>Protect and List...</x:v>
      </x:c>
      <x:c r="J81" s="3" t="str">
        <x:v>1. Inspect empty Library
2. Add eligible unpublished video under control
3. Open context menu</x:v>
      </x:c>
      <x:c r="K81" s="3" t="str">
        <x:v>Approved disposable unpublished video with video/ MIME and publish capability; Signed custody composition, private Chain config and custody node setup before mint execution; Inspect dialog only until controlled-effect approval</x:v>
      </x:c>
      <x:c r="L81" s="3" t="str">
        <x:v>F-10</x:v>
      </x:c>
      <x:c r="M81" s="3" t="str"/>
      <x:c r="N81" s="3" t="str">
        <x:v>E-040; E-044</x:v>
      </x:c>
      <x:c r="O81" s="3" t="str">
        <x:v>S-077, S-078, S-079</x:v>
      </x:c>
      <x:c r="P81" s="3" t="str">
        <x:v>library</x:v>
      </x:c>
      <x:c r="Q81" s="3" t="str">
        <x:f>IF(OR(H81='Read Me + Evidence'!$K$6,H81='Read Me + Evidence'!$K$7,H81='Read Me + Evidence'!$K$8,P81='Read Me + Evidence'!$K$9,P81='Read Me + Evidence'!$K$10),'Read Me + Evidence'!$K$12,'Read Me + Evidence'!$K$11)</x:f>
        <x:v>GUI</x:v>
      </x:c>
      <x:c r="R81" s="14" t="n">
        <x:f>IF(AND(Q81='Read Me + Evidence'!$K$11,OR(D81='Read Me + Evidence'!$H$7,D81='Read Me + Evidence'!$H$8,D81='Read Me + Evidence'!$H$9)),1,0)</x:f>
        <x:v>0</x:v>
      </x:c>
      <x:c r="S81" s="14" t="n">
        <x:f>IF(AND(Q81='Read Me + Evidence'!$K$11,D81='Read Me + Evidence'!$H$7),1,0)</x:f>
        <x:v>0</x:v>
      </x:c>
      <x:c r="T81" s="14" t="n">
        <x:f>IF(AND(Q81='Read Me + Evidence'!$K$11,D81&lt;&gt;'Read Me + Evidence'!$H$12),1,0)</x:f>
        <x:v>1</x:v>
      </x:c>
      <x:c r="U81" s="3" t="str">
        <x:v>Installed app.js/actions.js match source. Documents shows only New File.txt; the conditional menu/dialog has not been reached. Actual missing custody/Chain prerequisites block mint (F-10/B-03).</x:v>
      </x:c>
    </x:row>
    <x:row r="82" ht="153" customHeight="1">
      <x:c r="A82" s="3" t="str">
        <x:v>LIB-18</x:v>
      </x:c>
      <x:c r="B82" s="3" t="str">
        <x:v>Library</x:v>
      </x:c>
      <x:c r="C82" s="3" t="str">
        <x:v>Creator dialog and submission</x:v>
      </x:c>
      <x:c r="D82" s="13" t="str">
        <x:v>Blocked prerequisite</x:v>
      </x:c>
      <x:c r="E82" s="3" t="str">
        <x:v>UI sends object identity/product terms. Runtime/Wallet/Chain own account, contracts, preparation, custody and one exact effect.</x:v>
      </x:c>
      <x:c r="F82" s="12" t="str">
        <x:v>Creator submission needs signed custody, valid private Chain configuration, funded test Wallet and replicas. E-040 confirms configuration prerequisites remain open.</x:v>
      </x:c>
      <x:c r="G82" s="3" t="str">
        <x:v>controlled-financial</x:v>
      </x:c>
      <x:c r="H82" s="3" t="str">
        <x:v>implemented-config-gated</x:v>
      </x:c>
      <x:c r="I82" s="3" t="str">
        <x:v>Object; Copies; Price; Cancel; Protect and List</x:v>
      </x:c>
      <x:c r="J82" s="3" t="str">
        <x:v>1. Inspect exact terms
2. Test invalid terms
3. Cancel; submit only in installed protected test gate</x:v>
      </x:c>
      <x:c r="K82" s="3" t="str">
        <x:v>Signed custody; Private Chain config; Funded test Wallet; Three replicas</x:v>
      </x:c>
      <x:c r="L82" s="3" t="str">
        <x:v>F-10; F-13; F-14</x:v>
      </x:c>
      <x:c r="M82" s="3" t="str"/>
      <x:c r="N82" s="3" t="str">
        <x:v>E-044; E-040; E-050</x:v>
      </x:c>
      <x:c r="O82" s="3" t="str">
        <x:v>S-080, S-081</x:v>
      </x:c>
      <x:c r="P82" s="3" t="str">
        <x:v>library</x:v>
      </x:c>
      <x:c r="Q82" s="3" t="str">
        <x:f>IF(OR(H82='Read Me + Evidence'!$K$6,H82='Read Me + Evidence'!$K$7,H82='Read Me + Evidence'!$K$8,P82='Read Me + Evidence'!$K$9,P82='Read Me + Evidence'!$K$10),'Read Me + Evidence'!$K$12,'Read Me + Evidence'!$K$11)</x:f>
        <x:v>GUI</x:v>
      </x:c>
      <x:c r="R82" s="14" t="n">
        <x:f>IF(AND(Q82='Read Me + Evidence'!$K$11,OR(D82='Read Me + Evidence'!$H$7,D82='Read Me + Evidence'!$H$8,D82='Read Me + Evidence'!$H$9)),1,0)</x:f>
        <x:v>0</x:v>
      </x:c>
      <x:c r="S82" s="14" t="n">
        <x:f>IF(AND(Q82='Read Me + Evidence'!$K$11,D82='Read Me + Evidence'!$H$7),1,0)</x:f>
        <x:v>0</x:v>
      </x:c>
      <x:c r="T82" s="14" t="n">
        <x:f>IF(AND(Q82='Read Me + Evidence'!$K$11,D82&lt;&gt;'Read Me + Evidence'!$H$12),1,0)</x:f>
        <x:v>1</x:v>
      </x:c>
      <x:c r="U82" s="3" t="str"/>
    </x:row>
    <x:row r="83" ht="153" customHeight="1">
      <x:c r="A83" s="3" t="str">
        <x:v>LIB-19</x:v>
      </x:c>
      <x:c r="B83" s="3" t="str">
        <x:v>Library</x:v>
      </x:c>
      <x:c r="C83" s="3" t="str">
        <x:v>Creator progress and export</x:v>
      </x:c>
      <x:c r="D83" s="13" t="str">
        <x:v>Blocked prerequisite</x:v>
      </x:c>
      <x:c r="E83" s="3" t="str">
        <x:v>Canonical listing becomes visible only after exact Chain settlement and package publication; repeats retain identity/effect.</x:v>
      </x:c>
      <x:c r="F83" s="12" t="str">
        <x:v>Mint approval/resume/export needs the full controlled installed protected-content gate. No financial effect or listing was created.</x:v>
      </x:c>
      <x:c r="G83" s="3" t="str">
        <x:v>controlled-financial</x:v>
      </x:c>
      <x:c r="H83" s="3" t="str">
        <x:v>implemented-config-gated</x:v>
      </x:c>
      <x:c r="I83" s="3" t="str">
        <x:v>Pending/denied/failed/completed; Shareable listing URI</x:v>
      </x:c>
      <x:c r="J83" s="3" t="str">
        <x:v>1. Observe controlled mint approval/resume
2. Compare terminal listing URI on replay</x:v>
      </x:c>
      <x:c r="K83" s="3" t="str">
        <x:v>Full controlled protected-content installation proof</x:v>
      </x:c>
      <x:c r="L83" s="3" t="str">
        <x:v>F-10</x:v>
      </x:c>
      <x:c r="M83" s="3" t="str"/>
      <x:c r="N83" s="3" t="str">
        <x:v>E-044; E-040; E-050</x:v>
      </x:c>
      <x:c r="O83" s="3" t="str">
        <x:v>S-082, S-083</x:v>
      </x:c>
      <x:c r="P83" s="3" t="str">
        <x:v>library</x:v>
      </x:c>
      <x:c r="Q83" s="3" t="str">
        <x:f>IF(OR(H83='Read Me + Evidence'!$K$6,H83='Read Me + Evidence'!$K$7,H83='Read Me + Evidence'!$K$8,P83='Read Me + Evidence'!$K$9,P83='Read Me + Evidence'!$K$10),'Read Me + Evidence'!$K$12,'Read Me + Evidence'!$K$11)</x:f>
        <x:v>GUI</x:v>
      </x:c>
      <x:c r="R83" s="14" t="n">
        <x:f>IF(AND(Q83='Read Me + Evidence'!$K$11,OR(D83='Read Me + Evidence'!$H$7,D83='Read Me + Evidence'!$H$8,D83='Read Me + Evidence'!$H$9)),1,0)</x:f>
        <x:v>0</x:v>
      </x:c>
      <x:c r="S83" s="14" t="n">
        <x:f>IF(AND(Q83='Read Me + Evidence'!$K$11,D83='Read Me + Evidence'!$H$7),1,0)</x:f>
        <x:v>0</x:v>
      </x:c>
      <x:c r="T83" s="14" t="n">
        <x:f>IF(AND(Q83='Read Me + Evidence'!$K$11,D83&lt;&gt;'Read Me + Evidence'!$H$12),1,0)</x:f>
        <x:v>1</x:v>
      </x:c>
      <x:c r="U83" s="3" t="str"/>
    </x:row>
    <x:row r="84" ht="153" customHeight="1">
      <x:c r="A84" s="3" t="str">
        <x:v>LIB-20</x:v>
      </x:c>
      <x:c r="B84" s="3" t="str">
        <x:v>Library</x:v>
      </x:c>
      <x:c r="C84" s="3" t="str">
        <x:v>Portable listing import entry gap</x:v>
      </x:c>
      <x:c r="D84" s="13" t="str">
        <x:v>Partially observed</x:v>
      </x:c>
      <x:c r="E84" s="3" t="str">
        <x:v>Runtime import exists for Library/Marketplace. Current visible menus have no dedicated listing-link import control; verify live evidence before planning a minimal entry point.</x:v>
      </x:c>
      <x:c r="F84" s="12" t="str">
        <x:v>Visible Library File/More actions expose create/upload/properties but no dedicated shared-listing import entry in inspected menus. Canonical listing fixture and buyer composition are absent, so link import remains unverified.</x:v>
      </x:c>
      <x:c r="G84" s="3" t="str">
        <x:v>controlled-publication</x:v>
      </x:c>
      <x:c r="H84" s="3" t="str">
        <x:v>runtime-only-no-ui</x:v>
      </x:c>
      <x:c r="I84" s="3" t="str">
        <x:v>Typed import_runtime_custody</x:v>
      </x:c>
      <x:c r="J84" s="3" t="str">
        <x:v>1. Map desired shared listing link entry without issuing hidden API from live UI</x:v>
      </x:c>
      <x:c r="K84" s="3" t="str">
        <x:v>Canonical listing URI; Buyer signed composition</x:v>
      </x:c>
      <x:c r="L84" s="3" t="str">
        <x:v>F-11</x:v>
      </x:c>
      <x:c r="M84" s="3" t="str"/>
      <x:c r="N84" s="3" t="str">
        <x:v>E-044; E-040</x:v>
      </x:c>
      <x:c r="O84" s="3" t="str">
        <x:v>S-084, S-085, S-065</x:v>
      </x:c>
      <x:c r="P84" s="3" t="str">
        <x:v>library</x:v>
      </x:c>
      <x:c r="Q84" s="3" t="str">
        <x:f>IF(OR(H84='Read Me + Evidence'!$K$6,H84='Read Me + Evidence'!$K$7,H84='Read Me + Evidence'!$K$8,P84='Read Me + Evidence'!$K$9,P84='Read Me + Evidence'!$K$10),'Read Me + Evidence'!$K$12,'Read Me + Evidence'!$K$11)</x:f>
        <x:v>Source only</x:v>
      </x:c>
      <x:c r="R84" s="14" t="n">
        <x:f>IF(AND(Q84='Read Me + Evidence'!$K$11,OR(D84='Read Me + Evidence'!$H$7,D84='Read Me + Evidence'!$H$8,D84='Read Me + Evidence'!$H$9)),1,0)</x:f>
        <x:v>0</x:v>
      </x:c>
      <x:c r="S84" s="14" t="n">
        <x:f>IF(AND(Q84='Read Me + Evidence'!$K$11,D84='Read Me + Evidence'!$H$7),1,0)</x:f>
        <x:v>0</x:v>
      </x:c>
      <x:c r="T84" s="14" t="n">
        <x:f>IF(AND(Q84='Read Me + Evidence'!$K$11,D84&lt;&gt;'Read Me + Evidence'!$H$12),1,0)</x:f>
        <x:v>0</x:v>
      </x:c>
      <x:c r="U84" s="3" t="str"/>
    </x:row>
    <x:row r="85" ht="153" customHeight="1">
      <x:c r="A85" s="3" t="str">
        <x:v>LIB-21</x:v>
      </x:c>
      <x:c r="B85" s="3" t="str">
        <x:v>Library</x:v>
      </x:c>
      <x:c r="C85" s="3" t="str">
        <x:v>Protected video open</x:v>
      </x:c>
      <x:c r="D85" s="13" t="str">
        <x:v>Blocked prerequisite</x:v>
      </x:c>
      <x:c r="E85" s="3" t="str">
        <x:v>Dedicated player receives typed bounded session/media reads; buyer imported listing needs no creator mint journal.</x:v>
      </x:c>
      <x:c r="F85" s="12" t="str">
        <x:v>Protected playback requires an approved listing, fresh availability and rights. Direct Player empty-state was inspected, but no authorized protected fixture exists.</x:v>
      </x:c>
      <x:c r="G85" s="3" t="str">
        <x:v>controlled-protected-play</x:v>
      </x:c>
      <x:c r="H85" s="3" t="str">
        <x:v>implemented-config-gated</x:v>
      </x:c>
      <x:c r="I85" s="3" t="str">
        <x:v>Open protected object</x:v>
      </x:c>
      <x:c r="J85" s="3" t="str">
        <x:v>1. Open owned/approved controlled protected video
2. Inspect unavailable/denied branch</x:v>
      </x:c>
      <x:c r="K85" s="3" t="str">
        <x:v>Protected test listing; Fresh availability; Rights</x:v>
      </x:c>
      <x:c r="L85" s="3" t="str"/>
      <x:c r="M85" s="3" t="str"/>
      <x:c r="N85" s="3" t="str">
        <x:v>E-044; E-040; E-050</x:v>
      </x:c>
      <x:c r="O85" s="3" t="str">
        <x:v>S-086, S-087</x:v>
      </x:c>
      <x:c r="P85" s="3" t="str">
        <x:v>library</x:v>
      </x:c>
      <x:c r="Q85" s="3" t="str">
        <x:f>IF(OR(H85='Read Me + Evidence'!$K$6,H85='Read Me + Evidence'!$K$7,H85='Read Me + Evidence'!$K$8,P85='Read Me + Evidence'!$K$9,P85='Read Me + Evidence'!$K$10),'Read Me + Evidence'!$K$12,'Read Me + Evidence'!$K$11)</x:f>
        <x:v>GUI</x:v>
      </x:c>
      <x:c r="R85" s="14" t="n">
        <x:f>IF(AND(Q85='Read Me + Evidence'!$K$11,OR(D85='Read Me + Evidence'!$H$7,D85='Read Me + Evidence'!$H$8,D85='Read Me + Evidence'!$H$9)),1,0)</x:f>
        <x:v>0</x:v>
      </x:c>
      <x:c r="S85" s="14" t="n">
        <x:f>IF(AND(Q85='Read Me + Evidence'!$K$11,D85='Read Me + Evidence'!$H$7),1,0)</x:f>
        <x:v>0</x:v>
      </x:c>
      <x:c r="T85" s="14" t="n">
        <x:f>IF(AND(Q85='Read Me + Evidence'!$K$11,D85&lt;&gt;'Read Me + Evidence'!$H$12),1,0)</x:f>
        <x:v>1</x:v>
      </x:c>
      <x:c r="U85" s="3" t="str"/>
    </x:row>
    <x:row r="86" ht="153" customHeight="1">
      <x:c r="A86" s="3" t="str">
        <x:v>LIB-22</x:v>
      </x:c>
      <x:c r="B86" s="3" t="str">
        <x:v>Library</x:v>
      </x:c>
      <x:c r="C86" s="3" t="str">
        <x:v>Trash and restoration</x:v>
      </x:c>
      <x:c r="D86" s="13" t="str">
        <x:v>Fail</x:v>
      </x:c>
      <x:c r="E86" s="3" t="str">
        <x:v>Trash is recoverable where supported; final deletion needs explicit test approval.</x:v>
      </x:c>
      <x:c r="F86" s="12" t="str">
        <x:v>Audit copy moved to Trash and restored; final deletion was cancelled. Core recoverable lifecycle passes. Empty Trash incorrectly asks for upload/folder creation (F-38).</x:v>
      </x:c>
      <x:c r="G86" s="3" t="str">
        <x:v>destructive-controlled</x:v>
      </x:c>
      <x:c r="H86" s="3" t="str">
        <x:v>implemented-source</x:v>
      </x:c>
      <x:c r="I86" s="3" t="str">
        <x:v>Delete; Restore; Empty Trash; Delete Permanently</x:v>
      </x:c>
      <x:c r="J86" s="3" t="str">
        <x:v>1. Move disposable fixture to Trash
2. Restore
3. Preview permanent-delete confirmation</x:v>
      </x:c>
      <x:c r="K86" s="3" t="str">
        <x:v>Disposable audit files only</x:v>
      </x:c>
      <x:c r="L86" s="3" t="str">
        <x:v>F-38</x:v>
      </x:c>
      <x:c r="M86" s="3" t="str"/>
      <x:c r="N86" s="3" t="str">
        <x:v>E-051</x:v>
      </x:c>
      <x:c r="O86" s="3" t="str">
        <x:v>S-088, S-089</x:v>
      </x:c>
      <x:c r="P86" s="3" t="str">
        <x:v>library</x:v>
      </x:c>
      <x:c r="Q86" s="3" t="str">
        <x:f>IF(OR(H86='Read Me + Evidence'!$K$6,H86='Read Me + Evidence'!$K$7,H86='Read Me + Evidence'!$K$8,P86='Read Me + Evidence'!$K$9,P86='Read Me + Evidence'!$K$10),'Read Me + Evidence'!$K$12,'Read Me + Evidence'!$K$11)</x:f>
        <x:v>GUI</x:v>
      </x:c>
      <x:c r="R86" s="14" t="n">
        <x:f>IF(AND(Q86='Read Me + Evidence'!$K$11,OR(D86='Read Me + Evidence'!$H$7,D86='Read Me + Evidence'!$H$8,D86='Read Me + Evidence'!$H$9)),1,0)</x:f>
        <x:v>1</x:v>
      </x:c>
      <x:c r="S86" s="14" t="n">
        <x:f>IF(AND(Q86='Read Me + Evidence'!$K$11,D86='Read Me + Evidence'!$H$7),1,0)</x:f>
        <x:v>0</x:v>
      </x:c>
      <x:c r="T86" s="14" t="n">
        <x:f>IF(AND(Q86='Read Me + Evidence'!$K$11,D86&lt;&gt;'Read Me + Evidence'!$H$12),1,0)</x:f>
        <x:v>1</x:v>
      </x:c>
      <x:c r="U86" s="3" t="str"/>
    </x:row>
    <x:row r="87" ht="153" customHeight="1">
      <x:c r="A87" s="3" t="str">
        <x:v>LIB-23</x:v>
      </x:c>
      <x:c r="B87" s="3" t="str">
        <x:v>Library</x:v>
      </x:c>
      <x:c r="C87" s="3" t="str">
        <x:v>Properties and blocked objects</x:v>
      </x:c>
      <x:c r="D87" s="13" t="str">
        <x:v>Fail</x:v>
      </x:c>
      <x:c r="E87" s="3" t="str">
        <x:v>Object identity, capability, revision and availability are honest; blocked items offer inspection without unauthorized open.</x:v>
      </x:c>
      <x:c r="F87" s="12" t="str">
        <x:v>F22 contrast repaired: General/Technical readable in Dark/Light and footer visible. F46 Properties tabs remain pointer-only with incomplete modal focus. File/public/blocked-item branches remain separate.</x:v>
      </x:c>
      <x:c r="G87" s="3" t="str">
        <x:v>safe-read-only</x:v>
      </x:c>
      <x:c r="H87" s="3" t="str">
        <x:v>implemented-source</x:v>
      </x:c>
      <x:c r="I87" s="3" t="str">
        <x:v>Properties; Blocked item; Read-only root</x:v>
      </x:c>
      <x:c r="J87" s="3" t="str">
        <x:v>1. Inspect file/folder/public/blocked properties</x:v>
      </x:c>
      <x:c r="K87" s="3" t="str">
        <x:v>Signed-in Home</x:v>
      </x:c>
      <x:c r="L87" s="3" t="str">
        <x:v>F-22; F-46</x:v>
      </x:c>
      <x:c r="M87" s="3" t="str"/>
      <x:c r="N87" s="3" t="str">
        <x:v>E-044; E-055; E-056</x:v>
      </x:c>
      <x:c r="O87" s="3" t="str">
        <x:v>S-065</x:v>
      </x:c>
      <x:c r="P87" s="3" t="str">
        <x:v>library</x:v>
      </x:c>
      <x:c r="Q87" s="3" t="str">
        <x:f>IF(OR(H87='Read Me + Evidence'!$K$6,H87='Read Me + Evidence'!$K$7,H87='Read Me + Evidence'!$K$8,P87='Read Me + Evidence'!$K$9,P87='Read Me + Evidence'!$K$10),'Read Me + Evidence'!$K$12,'Read Me + Evidence'!$K$11)</x:f>
        <x:v>GUI</x:v>
      </x:c>
      <x:c r="R87" s="14" t="n">
        <x:f>IF(AND(Q87='Read Me + Evidence'!$K$11,OR(D87='Read Me + Evidence'!$H$7,D87='Read Me + Evidence'!$H$8,D87='Read Me + Evidence'!$H$9)),1,0)</x:f>
        <x:v>1</x:v>
      </x:c>
      <x:c r="S87" s="14" t="n">
        <x:f>IF(AND(Q87='Read Me + Evidence'!$K$11,D87='Read Me + Evidence'!$H$7),1,0)</x:f>
        <x:v>0</x:v>
      </x:c>
      <x:c r="T87" s="14" t="n">
        <x:f>IF(AND(Q87='Read Me + Evidence'!$K$11,D87&lt;&gt;'Read Me + Evidence'!$H$12),1,0)</x:f>
        <x:v>1</x:v>
      </x:c>
      <x:c r="U87" s="3" t="str"/>
    </x:row>
    <x:row r="88" ht="153" customHeight="1">
      <x:c r="A88" s="3" t="str">
        <x:v>LIB-24</x:v>
      </x:c>
      <x:c r="B88" s="3" t="str">
        <x:v>Library</x:v>
      </x:c>
      <x:c r="C88" s="3" t="str">
        <x:v>Picker subflows</x:v>
      </x:c>
      <x:c r="D88" s="13" t="str">
        <x:v>Fail</x:v>
      </x:c>
      <x:c r="E88" s="3" t="str">
        <x:v>Exact Home parent origin/token binds return target; picker cannot deliver to an unrelated app.</x:v>
      </x:c>
      <x:c r="F88" s="12" t="str">
        <x:v>Archive Open/New ZIP create scoped Library picker windows with correct named action. No selection yields an explicit prompt, and closing cancels. Successful create/open delivery is dropped by Archive (F-35); Chat picker is also blocked by F-28.</x:v>
      </x:c>
      <x:c r="G88" s="3" t="str">
        <x:v>controlled-session</x:v>
      </x:c>
      <x:c r="H88" s="3" t="str">
        <x:v>implemented-source</x:v>
      </x:c>
      <x:c r="I88" s="3" t="str">
        <x:v>Select for Browser; Attach to Chat; Archive Open/Create; Cancel</x:v>
      </x:c>
      <x:c r="J88" s="3" t="str">
        <x:v>1. Open each owning app picker
2. Select harmless supported item
3. Cancel once</x:v>
      </x:c>
      <x:c r="K88" s="3" t="str">
        <x:v>Disposable fixture; Owning app request</x:v>
      </x:c>
      <x:c r="L88" s="3" t="str">
        <x:v>F-28; F-35</x:v>
      </x:c>
      <x:c r="M88" s="3" t="str"/>
      <x:c r="N88" s="3" t="str">
        <x:v>E-050</x:v>
      </x:c>
      <x:c r="O88" s="3" t="str">
        <x:v>S-090</x:v>
      </x:c>
      <x:c r="P88" s="3" t="str">
        <x:v>library</x:v>
      </x:c>
      <x:c r="Q88" s="3" t="str">
        <x:f>IF(OR(H88='Read Me + Evidence'!$K$6,H88='Read Me + Evidence'!$K$7,H88='Read Me + Evidence'!$K$8,P88='Read Me + Evidence'!$K$9,P88='Read Me + Evidence'!$K$10),'Read Me + Evidence'!$K$12,'Read Me + Evidence'!$K$11)</x:f>
        <x:v>GUI</x:v>
      </x:c>
      <x:c r="R88" s="14" t="n">
        <x:f>IF(AND(Q88='Read Me + Evidence'!$K$11,OR(D88='Read Me + Evidence'!$H$7,D88='Read Me + Evidence'!$H$8,D88='Read Me + Evidence'!$H$9)),1,0)</x:f>
        <x:v>1</x:v>
      </x:c>
      <x:c r="S88" s="14" t="n">
        <x:f>IF(AND(Q88='Read Me + Evidence'!$K$11,D88='Read Me + Evidence'!$H$7),1,0)</x:f>
        <x:v>0</x:v>
      </x:c>
      <x:c r="T88" s="14" t="n">
        <x:f>IF(AND(Q88='Read Me + Evidence'!$K$11,D88&lt;&gt;'Read Me + Evidence'!$H$12),1,0)</x:f>
        <x:v>1</x:v>
      </x:c>
      <x:c r="U88" s="3" t="str"/>
    </x:row>
    <x:row r="89" ht="153" customHeight="1">
      <x:c r="A89" s="3" t="str">
        <x:v>DOC-01</x:v>
      </x:c>
      <x:c r="B89" s="3" t="str">
        <x:v>Documents</x:v>
      </x:c>
      <x:c r="C89" s="3" t="str">
        <x:v>Empty/list/search</x:v>
      </x:c>
      <x:c r="D89" s="13" t="str">
        <x:v>Pass</x:v>
      </x:c>
      <x:c r="E89" s="3" t="str">
        <x:v>Draft/list/current selection and empty search remain clear.</x:v>
      </x:c>
      <x:c r="F89" s="12" t="str">
        <x:v>Empty Documents states No documents yet. The private Audit 20260830 fixture appears by title and filename. Search a matches it; z shows No documents match this search while the current editor stays intact. Hide list/Show list preserve the current selection and content.</x:v>
      </x:c>
      <x:c r="G89" s="3" t="str">
        <x:v>safe-read-only</x:v>
      </x:c>
      <x:c r="H89" s="3" t="str">
        <x:v>implemented-source</x:v>
      </x:c>
      <x:c r="I89" s="3" t="str">
        <x:v>New; Document list; Search; Hide list</x:v>
      </x:c>
      <x:c r="J89" s="3" t="str">
        <x:v>1. Open empty Documents
2. Search fixture names
3. Toggle list</x:v>
      </x:c>
      <x:c r="K89" s="3" t="str">
        <x:v>Signed-in Home</x:v>
      </x:c>
      <x:c r="L89" s="3" t="str"/>
      <x:c r="M89" s="3" t="str"/>
      <x:c r="N89" s="3" t="str">
        <x:v>E-045</x:v>
      </x:c>
      <x:c r="O89" s="3" t="str">
        <x:v>S-091</x:v>
      </x:c>
      <x:c r="P89" s="3" t="str">
        <x:v>documents</x:v>
      </x:c>
      <x:c r="Q89" s="3" t="str">
        <x:f>IF(OR(H89='Read Me + Evidence'!$K$6,H89='Read Me + Evidence'!$K$7,H89='Read Me + Evidence'!$K$8,P89='Read Me + Evidence'!$K$9,P89='Read Me + Evidence'!$K$10),'Read Me + Evidence'!$K$12,'Read Me + Evidence'!$K$11)</x:f>
        <x:v>GUI</x:v>
      </x:c>
      <x:c r="R89" s="14" t="n">
        <x:f>IF(AND(Q89='Read Me + Evidence'!$K$11,OR(D89='Read Me + Evidence'!$H$7,D89='Read Me + Evidence'!$H$8,D89='Read Me + Evidence'!$H$9)),1,0)</x:f>
        <x:v>1</x:v>
      </x:c>
      <x:c r="S89" s="14" t="n">
        <x:f>IF(AND(Q89='Read Me + Evidence'!$K$11,D89='Read Me + Evidence'!$H$7),1,0)</x:f>
        <x:v>1</x:v>
      </x:c>
      <x:c r="T89" s="14" t="n">
        <x:f>IF(AND(Q89='Read Me + Evidence'!$K$11,D89&lt;&gt;'Read Me + Evidence'!$H$12),1,0)</x:f>
        <x:v>1</x:v>
      </x:c>
      <x:c r="U89" s="3" t="str"/>
    </x:row>
    <x:row r="90" ht="153" customHeight="1">
      <x:c r="A90" s="3" t="str">
        <x:v>DOC-02</x:v>
      </x:c>
      <x:c r="B90" s="3" t="str">
        <x:v>Documents</x:v>
      </x:c>
      <x:c r="C90" s="3" t="str">
        <x:v>New and edit</x:v>
      </x:c>
      <x:c r="D90" s="13" t="str">
        <x:v>Pass</x:v>
      </x:c>
      <x:c r="E90" s="3" t="str">
        <x:v>Editor keeps unsaved state honest and stores only through typed Runtime resources.</x:v>
      </x:c>
      <x:c r="F90" s="12" t="str">
        <x:v>dc0f5e46 repairs incremental Markdown editing. Audit title/draft persists, '# ' can continue to a heading, task edits autosave and reopen in a fresh app window. Only audit-owned au.md edited.</x:v>
      </x:c>
      <x:c r="G90" s="3" t="str">
        <x:v>controlled-files</x:v>
      </x:c>
      <x:c r="H90" s="3" t="str">
        <x:v>implemented-source</x:v>
      </x:c>
      <x:c r="I90" s="3" t="str">
        <x:v>New; Title; Editor</x:v>
      </x:c>
      <x:c r="J90" s="3" t="str">
        <x:v>1. Create disposable draft
2. Type text
3. Change title</x:v>
      </x:c>
      <x:c r="K90" s="3" t="str">
        <x:v>Disposable document</x:v>
      </x:c>
      <x:c r="L90" s="3" t="str">
        <x:v>F-23</x:v>
      </x:c>
      <x:c r="M90" s="3" t="str"/>
      <x:c r="N90" s="3" t="str">
        <x:v>E-045; E-055; E-056</x:v>
      </x:c>
      <x:c r="O90" s="3" t="str">
        <x:v>S-092</x:v>
      </x:c>
      <x:c r="P90" s="3" t="str">
        <x:v>documents</x:v>
      </x:c>
      <x:c r="Q90" s="3" t="str">
        <x:f>IF(OR(H90='Read Me + Evidence'!$K$6,H90='Read Me + Evidence'!$K$7,H90='Read Me + Evidence'!$K$8,P90='Read Me + Evidence'!$K$9,P90='Read Me + Evidence'!$K$10),'Read Me + Evidence'!$K$12,'Read Me + Evidence'!$K$11)</x:f>
        <x:v>GUI</x:v>
      </x:c>
      <x:c r="R90" s="14" t="n">
        <x:f>IF(AND(Q90='Read Me + Evidence'!$K$11,OR(D90='Read Me + Evidence'!$H$7,D90='Read Me + Evidence'!$H$8,D90='Read Me + Evidence'!$H$9)),1,0)</x:f>
        <x:v>1</x:v>
      </x:c>
      <x:c r="S90" s="14" t="n">
        <x:f>IF(AND(Q90='Read Me + Evidence'!$K$11,D90='Read Me + Evidence'!$H$7),1,0)</x:f>
        <x:v>1</x:v>
      </x:c>
      <x:c r="T90" s="14" t="n">
        <x:f>IF(AND(Q90='Read Me + Evidence'!$K$11,D90&lt;&gt;'Read Me + Evidence'!$H$12),1,0)</x:f>
        <x:v>1</x:v>
      </x:c>
      <x:c r="U90" s="3" t="str"/>
    </x:row>
    <x:row r="91" ht="153" customHeight="1">
      <x:c r="A91" s="3" t="str">
        <x:v>DOC-03</x:v>
      </x:c>
      <x:c r="B91" s="3" t="str">
        <x:v>Documents</x:v>
      </x:c>
      <x:c r="C91" s="3" t="str">
        <x:v>View modes</x:v>
      </x:c>
      <x:c r="D91" s="13" t="str">
        <x:v>Pass</x:v>
      </x:c>
      <x:c r="E91" s="3" t="str">
        <x:v>Preview is safe, layout stable and editor position/content preserved.</x:v>
      </x:c>
      <x:c r="F91" s="12" t="str">
        <x:v>dc0f5e46 Write/Split/Read preserve the heading-rich audit document. Outline lists H1 Audit/H2 Section and its local section link activates; saved content survives app reopen.</x:v>
      </x:c>
      <x:c r="G91" s="3" t="str">
        <x:v>controlled-layout</x:v>
      </x:c>
      <x:c r="H91" s="3" t="str">
        <x:v>implemented-source</x:v>
      </x:c>
      <x:c r="I91" s="3" t="str">
        <x:v>Write; Split; Read; Preview; Outline; History</x:v>
      </x:c>
      <x:c r="J91" s="3" t="str">
        <x:v>1. Switch modes on heading-rich fixture
2. Follow outline</x:v>
      </x:c>
      <x:c r="K91" s="3" t="str">
        <x:v>Disposable Markdown fixture</x:v>
      </x:c>
      <x:c r="L91" s="3" t="str">
        <x:v>F-23</x:v>
      </x:c>
      <x:c r="M91" s="3" t="str"/>
      <x:c r="N91" s="3" t="str">
        <x:v>E-045; E-055; E-056</x:v>
      </x:c>
      <x:c r="O91" s="3" t="str">
        <x:v>S-093</x:v>
      </x:c>
      <x:c r="P91" s="3" t="str">
        <x:v>documents</x:v>
      </x:c>
      <x:c r="Q91" s="3" t="str">
        <x:f>IF(OR(H91='Read Me + Evidence'!$K$6,H91='Read Me + Evidence'!$K$7,H91='Read Me + Evidence'!$K$8,P91='Read Me + Evidence'!$K$9,P91='Read Me + Evidence'!$K$10),'Read Me + Evidence'!$K$12,'Read Me + Evidence'!$K$11)</x:f>
        <x:v>GUI</x:v>
      </x:c>
      <x:c r="R91" s="14" t="n">
        <x:f>IF(AND(Q91='Read Me + Evidence'!$K$11,OR(D91='Read Me + Evidence'!$H$7,D91='Read Me + Evidence'!$H$8,D91='Read Me + Evidence'!$H$9)),1,0)</x:f>
        <x:v>1</x:v>
      </x:c>
      <x:c r="S91" s="14" t="n">
        <x:f>IF(AND(Q91='Read Me + Evidence'!$K$11,D91='Read Me + Evidence'!$H$7),1,0)</x:f>
        <x:v>1</x:v>
      </x:c>
      <x:c r="T91" s="14" t="n">
        <x:f>IF(AND(Q91='Read Me + Evidence'!$K$11,D91&lt;&gt;'Read Me + Evidence'!$H$12),1,0)</x:f>
        <x:v>1</x:v>
      </x:c>
      <x:c r="U91" s="3" t="str"/>
    </x:row>
    <x:row r="92" ht="153" customHeight="1">
      <x:c r="A92" s="3" t="str">
        <x:v>DOC-04</x:v>
      </x:c>
      <x:c r="B92" s="3" t="str">
        <x:v>Documents</x:v>
      </x:c>
      <x:c r="C92" s="3" t="str">
        <x:v>Save and conflict</x:v>
      </x:c>
      <x:c r="D92" s="13" t="str">
        <x:v>Pass</x:v>
      </x:c>
      <x:c r="E92" s="3" t="str">
        <x:v>Runtime revisions own durable state; error/conflict never silently overwrites another version.</x:v>
      </x:c>
      <x:c r="F92" s="12" t="str">
        <x:v>Saved original70B audit document then Save As using same au.md filename and new title. Runtime created au-2.md instead of overwriting au.md; both remain visible with same source body. Named Delete confirmation was cancelled. Concurrent revision/offline cases remain separate negative coverage.</x:v>
      </x:c>
      <x:c r="G92" s="3" t="str">
        <x:v>controlled-files</x:v>
      </x:c>
      <x:c r="H92" s="3" t="str">
        <x:v>implemented-source</x:v>
      </x:c>
      <x:c r="I92" s="3" t="str">
        <x:v>Save; Save As; Filename; Create; Cancel</x:v>
      </x:c>
      <x:c r="J92" s="3" t="str">
        <x:v>1. Save disposable draft
2. Save As
3. Inspect duplicate/conflict or offline state</x:v>
      </x:c>
      <x:c r="K92" s="3" t="str">
        <x:v>Disposable writable document</x:v>
      </x:c>
      <x:c r="L92" s="3" t="str"/>
      <x:c r="M92" s="3" t="str"/>
      <x:c r="N92" s="3" t="str">
        <x:v>E-045; E-062</x:v>
      </x:c>
      <x:c r="O92" s="3" t="str">
        <x:v>S-094</x:v>
      </x:c>
      <x:c r="P92" s="3" t="str">
        <x:v>documents</x:v>
      </x:c>
      <x:c r="Q92" s="3" t="str">
        <x:f>IF(OR(H92='Read Me + Evidence'!$K$6,H92='Read Me + Evidence'!$K$7,H92='Read Me + Evidence'!$K$8,P92='Read Me + Evidence'!$K$9,P92='Read Me + Evidence'!$K$10),'Read Me + Evidence'!$K$12,'Read Me + Evidence'!$K$11)</x:f>
        <x:v>GUI</x:v>
      </x:c>
      <x:c r="R92" s="14" t="n">
        <x:f>IF(AND(Q92='Read Me + Evidence'!$K$11,OR(D92='Read Me + Evidence'!$H$7,D92='Read Me + Evidence'!$H$8,D92='Read Me + Evidence'!$H$9)),1,0)</x:f>
        <x:v>1</x:v>
      </x:c>
      <x:c r="S92" s="14" t="n">
        <x:f>IF(AND(Q92='Read Me + Evidence'!$K$11,D92='Read Me + Evidence'!$H$7),1,0)</x:f>
        <x:v>1</x:v>
      </x:c>
      <x:c r="T92" s="14" t="n">
        <x:f>IF(AND(Q92='Read Me + Evidence'!$K$11,D92&lt;&gt;'Read Me + Evidence'!$H$12),1,0)</x:f>
        <x:v>1</x:v>
      </x:c>
      <x:c r="U92" s="3" t="str"/>
    </x:row>
    <x:row r="93" ht="153" customHeight="1">
      <x:c r="A93" s="3" t="str">
        <x:v>DOC-05</x:v>
      </x:c>
      <x:c r="B93" s="3" t="str">
        <x:v>Documents</x:v>
      </x:c>
      <x:c r="C93" s="3" t="str">
        <x:v>Find</x:v>
      </x:c>
      <x:c r="D93" s="13" t="str">
        <x:v>Pass</x:v>
      </x:c>
      <x:c r="E93" s="3" t="str">
        <x:v>Matches and focus are correct in current document.</x:v>
      </x:c>
      <x:c r="F93" s="12" t="str">
        <x:v>Home View→Find opens a focused field. alpha gives1/2, visibleNext gives2/2, Previousreturns1/2; absent gives0/0. Close removesFindbar. Only audit text used.</x:v>
      </x:c>
      <x:c r="G93" s="3" t="str">
        <x:v>safe-read-only</x:v>
      </x:c>
      <x:c r="H93" s="3" t="str">
        <x:v>implemented-source</x:v>
      </x:c>
      <x:c r="I93" s="3" t="str">
        <x:v>Find; Previous; Next; Close</x:v>
      </x:c>
      <x:c r="J93" s="3" t="str">
        <x:v>1. Find repeated and absent text
2. Navigate matches
3. Close</x:v>
      </x:c>
      <x:c r="K93" s="3" t="str">
        <x:v>Harmless text fixture</x:v>
      </x:c>
      <x:c r="L93" s="3" t="str"/>
      <x:c r="M93" s="3" t="str"/>
      <x:c r="N93" s="3" t="str">
        <x:v>E-045</x:v>
      </x:c>
      <x:c r="O93" s="3" t="str">
        <x:v>S-095</x:v>
      </x:c>
      <x:c r="P93" s="3" t="str">
        <x:v>documents</x:v>
      </x:c>
      <x:c r="Q93" s="3" t="str">
        <x:f>IF(OR(H93='Read Me + Evidence'!$K$6,H93='Read Me + Evidence'!$K$7,H93='Read Me + Evidence'!$K$8,P93='Read Me + Evidence'!$K$9,P93='Read Me + Evidence'!$K$10),'Read Me + Evidence'!$K$12,'Read Me + Evidence'!$K$11)</x:f>
        <x:v>GUI</x:v>
      </x:c>
      <x:c r="R93" s="14" t="n">
        <x:f>IF(AND(Q93='Read Me + Evidence'!$K$11,OR(D93='Read Me + Evidence'!$H$7,D93='Read Me + Evidence'!$H$8,D93='Read Me + Evidence'!$H$9)),1,0)</x:f>
        <x:v>1</x:v>
      </x:c>
      <x:c r="S93" s="14" t="n">
        <x:f>IF(AND(Q93='Read Me + Evidence'!$K$11,D93='Read Me + Evidence'!$H$7),1,0)</x:f>
        <x:v>1</x:v>
      </x:c>
      <x:c r="T93" s="14" t="n">
        <x:f>IF(AND(Q93='Read Me + Evidence'!$K$11,D93&lt;&gt;'Read Me + Evidence'!$H$12),1,0)</x:f>
        <x:v>1</x:v>
      </x:c>
      <x:c r="U93" s="3" t="str"/>
    </x:row>
    <x:row r="94" ht="153" customHeight="1">
      <x:c r="A94" s="3" t="str">
        <x:v>DOC-06</x:v>
      </x:c>
      <x:c r="B94" s="3" t="str">
        <x:v>Documents</x:v>
      </x:c>
      <x:c r="C94" s="3" t="str">
        <x:v>Markdown and tasks</x:v>
      </x:c>
      <x:c r="D94" s="13" t="str">
        <x:v>Fail</x:v>
      </x:c>
      <x:c r="E94" s="3" t="str">
        <x:v>Rendered content is safe; task changes are explicit editor mutations.</x:v>
      </x:c>
      <x:c r="F94" s="12" t="str">
        <x:v>F-23 heading stall is fixed. Script-like text stays inert, unsafe links become#, and task checkbox updates Markdown. Separate F-45 truncates balanced URL parentheses; no unsafe or external link was followed.</x:v>
      </x:c>
      <x:c r="G94" s="3" t="str">
        <x:v>controlled-files</x:v>
      </x:c>
      <x:c r="H94" s="3" t="str">
        <x:v>implemented-source</x:v>
      </x:c>
      <x:c r="I94" s="3" t="str">
        <x:v>Task checkbox; Links; Code; Preview</x:v>
      </x:c>
      <x:c r="J94" s="3" t="str">
        <x:v>1. Inspect script-like text/inert links
2. Toggle disposable task item</x:v>
      </x:c>
      <x:c r="K94" s="3" t="str">
        <x:v>Safe Markdown fixture</x:v>
      </x:c>
      <x:c r="L94" s="3" t="str">
        <x:v>F-23; F-45</x:v>
      </x:c>
      <x:c r="M94" s="3" t="str"/>
      <x:c r="N94" s="3" t="str">
        <x:v>E-045; E-055; E-056</x:v>
      </x:c>
      <x:c r="O94" s="3" t="str">
        <x:v>S-096</x:v>
      </x:c>
      <x:c r="P94" s="3" t="str">
        <x:v>documents</x:v>
      </x:c>
      <x:c r="Q94" s="3" t="str">
        <x:f>IF(OR(H94='Read Me + Evidence'!$K$6,H94='Read Me + Evidence'!$K$7,H94='Read Me + Evidence'!$K$8,P94='Read Me + Evidence'!$K$9,P94='Read Me + Evidence'!$K$10),'Read Me + Evidence'!$K$12,'Read Me + Evidence'!$K$11)</x:f>
        <x:v>GUI</x:v>
      </x:c>
      <x:c r="R94" s="14" t="n">
        <x:f>IF(AND(Q94='Read Me + Evidence'!$K$11,OR(D94='Read Me + Evidence'!$H$7,D94='Read Me + Evidence'!$H$8,D94='Read Me + Evidence'!$H$9)),1,0)</x:f>
        <x:v>1</x:v>
      </x:c>
      <x:c r="S94" s="14" t="n">
        <x:f>IF(AND(Q94='Read Me + Evidence'!$K$11,D94='Read Me + Evidence'!$H$7),1,0)</x:f>
        <x:v>0</x:v>
      </x:c>
      <x:c r="T94" s="14" t="n">
        <x:f>IF(AND(Q94='Read Me + Evidence'!$K$11,D94&lt;&gt;'Read Me + Evidence'!$H$12),1,0)</x:f>
        <x:v>1</x:v>
      </x:c>
      <x:c r="U94" s="3" t="str"/>
    </x:row>
    <x:row r="95" ht="153" customHeight="1">
      <x:c r="A95" s="3" t="str">
        <x:v>DOC-07</x:v>
      </x:c>
      <x:c r="B95" s="3" t="str">
        <x:v>Documents</x:v>
      </x:c>
      <x:c r="C95" s="3" t="str">
        <x:v>History</x:v>
      </x:c>
      <x:c r="D95" s="13" t="str">
        <x:v>Partially observed</x:v>
      </x:c>
      <x:c r="E95" s="3" t="str">
        <x:v>Revision state stays explicit and does not overwrite current content without an intended save.</x:v>
      </x:c>
      <x:c r="F95" s="12" t="str">
        <x:v>History tab opens and states No published revisions yet for private Audit20260830. Selecting a published revision requires an explicitly approved published fixture; publication was not performed.</x:v>
      </x:c>
      <x:c r="G95" s="3" t="str">
        <x:v>safe-read-only</x:v>
      </x:c>
      <x:c r="H95" s="3" t="str">
        <x:v>implemented-source</x:v>
      </x:c>
      <x:c r="I95" s="3" t="str">
        <x:v>History tab; Revision choice</x:v>
      </x:c>
      <x:c r="J95" s="3" t="str">
        <x:v>1. Inspect disposable revision history
2. Select a prior revision</x:v>
      </x:c>
      <x:c r="K95" s="3" t="str">
        <x:v>Document with test revisions</x:v>
      </x:c>
      <x:c r="L95" s="3" t="str"/>
      <x:c r="M95" s="3" t="str"/>
      <x:c r="N95" s="3" t="str">
        <x:v>E-045</x:v>
      </x:c>
      <x:c r="O95" s="3" t="str">
        <x:v>S-097</x:v>
      </x:c>
      <x:c r="P95" s="3" t="str">
        <x:v>documents</x:v>
      </x:c>
      <x:c r="Q95" s="3" t="str">
        <x:f>IF(OR(H95='Read Me + Evidence'!$K$6,H95='Read Me + Evidence'!$K$7,H95='Read Me + Evidence'!$K$8,P95='Read Me + Evidence'!$K$9,P95='Read Me + Evidence'!$K$10),'Read Me + Evidence'!$K$12,'Read Me + Evidence'!$K$11)</x:f>
        <x:v>GUI</x:v>
      </x:c>
      <x:c r="R95" s="14" t="n">
        <x:f>IF(AND(Q95='Read Me + Evidence'!$K$11,OR(D95='Read Me + Evidence'!$H$7,D95='Read Me + Evidence'!$H$8,D95='Read Me + Evidence'!$H$9)),1,0)</x:f>
        <x:v>1</x:v>
      </x:c>
      <x:c r="S95" s="14" t="n">
        <x:f>IF(AND(Q95='Read Me + Evidence'!$K$11,D95='Read Me + Evidence'!$H$7),1,0)</x:f>
        <x:v>0</x:v>
      </x:c>
      <x:c r="T95" s="14" t="n">
        <x:f>IF(AND(Q95='Read Me + Evidence'!$K$11,D95&lt;&gt;'Read Me + Evidence'!$H$12),1,0)</x:f>
        <x:v>1</x:v>
      </x:c>
      <x:c r="U95" s="3" t="str"/>
    </x:row>
    <x:row r="96" ht="153" customHeight="1">
      <x:c r="A96" s="3" t="str">
        <x:v>DOC-08</x:v>
      </x:c>
      <x:c r="B96" s="3" t="str">
        <x:v>Documents</x:v>
      </x:c>
      <x:c r="C96" s="3" t="str">
        <x:v>Publish and public link</x:v>
      </x:c>
      <x:c r="D96" s="13" t="str">
        <x:v>Blocked prerequisite</x:v>
      </x:c>
      <x:c r="E96" s="3" t="str">
        <x:v>Content path owns CID/public revision; ordinary publishing is not minting or encryption.</x:v>
      </x:c>
      <x:c r="F96" s="12" t="str">
        <x:v>Publish is visible on the private audit document, while Unpublish is disabled. Public publication and Clipboard export require explicit consent; this audit has preserved private content.</x:v>
      </x:c>
      <x:c r="G96" s="3" t="str">
        <x:v>controlled-publication</x:v>
      </x:c>
      <x:c r="H96" s="3" t="str">
        <x:v>implemented-source</x:v>
      </x:c>
      <x:c r="I96" s="3" t="str">
        <x:v>Publish; Copy published link; Unpublish</x:v>
      </x:c>
      <x:c r="J96" s="3" t="str">
        <x:v>1. Inspect publish state
2. Publish only approved fixture
3. Copy link</x:v>
      </x:c>
      <x:c r="K96" s="3" t="str">
        <x:v>Explicit public-content consent</x:v>
      </x:c>
      <x:c r="L96" s="3" t="str"/>
      <x:c r="M96" s="3" t="str"/>
      <x:c r="N96" s="3" t="str">
        <x:v>E-045</x:v>
      </x:c>
      <x:c r="O96" s="3" t="str">
        <x:v>S-098</x:v>
      </x:c>
      <x:c r="P96" s="3" t="str">
        <x:v>documents</x:v>
      </x:c>
      <x:c r="Q96" s="3" t="str">
        <x:f>IF(OR(H96='Read Me + Evidence'!$K$6,H96='Read Me + Evidence'!$K$7,H96='Read Me + Evidence'!$K$8,P96='Read Me + Evidence'!$K$9,P96='Read Me + Evidence'!$K$10),'Read Me + Evidence'!$K$12,'Read Me + Evidence'!$K$11)</x:f>
        <x:v>GUI</x:v>
      </x:c>
      <x:c r="R96" s="14" t="n">
        <x:f>IF(AND(Q96='Read Me + Evidence'!$K$11,OR(D96='Read Me + Evidence'!$H$7,D96='Read Me + Evidence'!$H$8,D96='Read Me + Evidence'!$H$9)),1,0)</x:f>
        <x:v>0</x:v>
      </x:c>
      <x:c r="S96" s="14" t="n">
        <x:f>IF(AND(Q96='Read Me + Evidence'!$K$11,D96='Read Me + Evidence'!$H$7),1,0)</x:f>
        <x:v>0</x:v>
      </x:c>
      <x:c r="T96" s="14" t="n">
        <x:f>IF(AND(Q96='Read Me + Evidence'!$K$11,D96&lt;&gt;'Read Me + Evidence'!$H$12),1,0)</x:f>
        <x:v>1</x:v>
      </x:c>
      <x:c r="U96" s="3" t="str"/>
    </x:row>
    <x:row r="97" ht="153" customHeight="1">
      <x:c r="A97" s="3" t="str">
        <x:v>DOC-09</x:v>
      </x:c>
      <x:c r="B97" s="3" t="str">
        <x:v>Documents</x:v>
      </x:c>
      <x:c r="C97" s="3" t="str">
        <x:v>Context and delete</x:v>
      </x:c>
      <x:c r="D97" s="13" t="str">
        <x:v>Fail</x:v>
      </x:c>
      <x:c r="E97" s="3" t="str">
        <x:v>Context action targets selected document; destructive action is explicit.</x:v>
      </x:c>
      <x:c r="F97" s="12" t="str">
        <x:v>Toolbar deletion confirmation Cancel preserves original audit document. Native ContextMenu key opens Duplicate/Publish/Delete; Enter Duplicate closes menu but creates nothing. F50 source clears target identity before selecting it.</x:v>
      </x:c>
      <x:c r="G97" s="3" t="str">
        <x:v>destructive-controlled</x:v>
      </x:c>
      <x:c r="H97" s="3" t="str">
        <x:v>implemented-source</x:v>
      </x:c>
      <x:c r="I97" s="3" t="str">
        <x:v>Duplicate; Delete; Confirmation</x:v>
      </x:c>
      <x:c r="J97" s="3" t="str">
        <x:v>1. Duplicate disposable document
2. Open deletion confirmation
3. Cancel</x:v>
      </x:c>
      <x:c r="K97" s="3" t="str">
        <x:v>Disposable document</x:v>
      </x:c>
      <x:c r="L97" s="3" t="str">
        <x:v>F-50</x:v>
      </x:c>
      <x:c r="M97" s="3" t="str"/>
      <x:c r="N97" s="3" t="str">
        <x:v>E-045; E-062</x:v>
      </x:c>
      <x:c r="O97" s="3" t="str">
        <x:v>S-099</x:v>
      </x:c>
      <x:c r="P97" s="3" t="str">
        <x:v>documents</x:v>
      </x:c>
      <x:c r="Q97" s="3" t="str">
        <x:f>IF(OR(H97='Read Me + Evidence'!$K$6,H97='Read Me + Evidence'!$K$7,H97='Read Me + Evidence'!$K$8,P97='Read Me + Evidence'!$K$9,P97='Read Me + Evidence'!$K$10),'Read Me + Evidence'!$K$12,'Read Me + Evidence'!$K$11)</x:f>
        <x:v>GUI</x:v>
      </x:c>
      <x:c r="R97" s="14" t="n">
        <x:f>IF(AND(Q97='Read Me + Evidence'!$K$11,OR(D97='Read Me + Evidence'!$H$7,D97='Read Me + Evidence'!$H$8,D97='Read Me + Evidence'!$H$9)),1,0)</x:f>
        <x:v>1</x:v>
      </x:c>
      <x:c r="S97" s="14" t="n">
        <x:f>IF(AND(Q97='Read Me + Evidence'!$K$11,D97='Read Me + Evidence'!$H$7),1,0)</x:f>
        <x:v>0</x:v>
      </x:c>
      <x:c r="T97" s="14" t="n">
        <x:f>IF(AND(Q97='Read Me + Evidence'!$K$11,D97&lt;&gt;'Read Me + Evidence'!$H$12),1,0)</x:f>
        <x:v>1</x:v>
      </x:c>
      <x:c r="U97" s="3" t="str"/>
    </x:row>
    <x:row r="98" ht="153" customHeight="1">
      <x:c r="A98" s="3" t="str">
        <x:v>DOC-10</x:v>
      </x:c>
      <x:c r="B98" s="3" t="str">
        <x:v>Documents</x:v>
      </x:c>
      <x:c r="C98" s="3" t="str">
        <x:v>Library/chat/content launch</x:v>
      </x:c>
      <x:c r="D98" s="13" t="str">
        <x:v>Partially observed</x:v>
      </x:c>
      <x:c r="E98" s="3" t="str">
        <x:v>Viewer preserves exact content identity and permission; source link does not itself grant access.</x:v>
      </x:c>
      <x:c r="F98" s="12" t="str">
        <x:v>Library fixture.md opens exact title in Documents with Opened from Library status. Chat/CID/locked-object routes require separate controlled objects and consenting room.</x:v>
      </x:c>
      <x:c r="G98" s="3" t="str">
        <x:v>controlled-session</x:v>
      </x:c>
      <x:c r="H98" s="3" t="str">
        <x:v>implemented-source</x:v>
      </x:c>
      <x:c r="I98" s="3" t="str">
        <x:v>Open object; Attachment; Published revision</x:v>
      </x:c>
      <x:c r="J98" s="3" t="str">
        <x:v>1. Open same fixture from Library/Chat/CID
2. Inspect locked content</x:v>
      </x:c>
      <x:c r="K98" s="3" t="str">
        <x:v>Controlled object/attachment</x:v>
      </x:c>
      <x:c r="L98" s="3" t="str"/>
      <x:c r="M98" s="3" t="str"/>
      <x:c r="N98" s="3" t="str">
        <x:v>E-044; E-045</x:v>
      </x:c>
      <x:c r="O98" s="3" t="str">
        <x:v>S-100</x:v>
      </x:c>
      <x:c r="P98" s="3" t="str">
        <x:v>documents</x:v>
      </x:c>
      <x:c r="Q98" s="3" t="str">
        <x:f>IF(OR(H98='Read Me + Evidence'!$K$6,H98='Read Me + Evidence'!$K$7,H98='Read Me + Evidence'!$K$8,P98='Read Me + Evidence'!$K$9,P98='Read Me + Evidence'!$K$10),'Read Me + Evidence'!$K$12,'Read Me + Evidence'!$K$11)</x:f>
        <x:v>GUI</x:v>
      </x:c>
      <x:c r="R98" s="14" t="n">
        <x:f>IF(AND(Q98='Read Me + Evidence'!$K$11,OR(D98='Read Me + Evidence'!$H$7,D98='Read Me + Evidence'!$H$8,D98='Read Me + Evidence'!$H$9)),1,0)</x:f>
        <x:v>1</x:v>
      </x:c>
      <x:c r="S98" s="14" t="n">
        <x:f>IF(AND(Q98='Read Me + Evidence'!$K$11,D98='Read Me + Evidence'!$H$7),1,0)</x:f>
        <x:v>0</x:v>
      </x:c>
      <x:c r="T98" s="14" t="n">
        <x:f>IF(AND(Q98='Read Me + Evidence'!$K$11,D98&lt;&gt;'Read Me + Evidence'!$H$12),1,0)</x:f>
        <x:v>1</x:v>
      </x:c>
      <x:c r="U98" s="3" t="str"/>
    </x:row>
    <x:row r="99" ht="153" customHeight="1">
      <x:c r="A99" s="3" t="str">
        <x:v>DOC-11</x:v>
      </x:c>
      <x:c r="B99" s="3" t="str">
        <x:v>Documents</x:v>
      </x:c>
      <x:c r="C99" s="3" t="str">
        <x:v>Close/reopen unsaved state</x:v>
      </x:c>
      <x:c r="D99" s="13" t="str">
        <x:v>Pass</x:v>
      </x:c>
      <x:c r="E99" s="3" t="str">
        <x:v>Unsaved, saved and conflict states stay distinguishable; source presence alone does not prove recovery.</x:v>
      </x:c>
      <x:c r="F99" s="12" t="str">
        <x:v>Installed c8f244cc keeps dirty close open. Delayed Discard preserves the prior saved body; Cancel keeps edits and resumes autosave; Save closes and persists changes. Each path was checked in a fresh app window using only au-2.md. E-079 separately covers save failure/conflict safety; F-56 records modal keyboard containment.</x:v>
      </x:c>
      <x:c r="G99" s="3" t="str">
        <x:v>controlled-files</x:v>
      </x:c>
      <x:c r="H99" s="3" t="str">
        <x:v>implemented-source</x:v>
      </x:c>
      <x:c r="I99" s="3" t="str">
        <x:v>Close Window; Reopen</x:v>
      </x:c>
      <x:c r="J99" s="3" t="str">
        <x:v>1. Edit disposable document
2. Close/reopen deliberately</x:v>
      </x:c>
      <x:c r="K99" s="3" t="str">
        <x:v>Disposable draft only</x:v>
      </x:c>
      <x:c r="L99" s="3" t="str">
        <x:v>F-51</x:v>
      </x:c>
      <x:c r="M99" s="3" t="str"/>
      <x:c r="N99" s="3" t="str">
        <x:v>E-045; E-063; E-064; E-079; E-080; E-081</x:v>
      </x:c>
      <x:c r="O99" s="3" t="str">
        <x:v>S-101</x:v>
      </x:c>
      <x:c r="P99" s="3" t="str">
        <x:v>documents</x:v>
      </x:c>
      <x:c r="Q99" s="3" t="str">
        <x:f>IF(OR(H99='Read Me + Evidence'!$K$6,H99='Read Me + Evidence'!$K$7,H99='Read Me + Evidence'!$K$8,P99='Read Me + Evidence'!$K$9,P99='Read Me + Evidence'!$K$10),'Read Me + Evidence'!$K$12,'Read Me + Evidence'!$K$11)</x:f>
        <x:v>GUI</x:v>
      </x:c>
      <x:c r="R99" s="14" t="n">
        <x:f>IF(AND(Q99='Read Me + Evidence'!$K$11,OR(D99='Read Me + Evidence'!$H$7,D99='Read Me + Evidence'!$H$8,D99='Read Me + Evidence'!$H$9)),1,0)</x:f>
        <x:v>1</x:v>
      </x:c>
      <x:c r="S99" s="14" t="n">
        <x:f>IF(AND(Q99='Read Me + Evidence'!$K$11,D99='Read Me + Evidence'!$H$7),1,0)</x:f>
        <x:v>1</x:v>
      </x:c>
      <x:c r="T99" s="14" t="n">
        <x:f>IF(AND(Q99='Read Me + Evidence'!$K$11,D99&lt;&gt;'Read Me + Evidence'!$H$12),1,0)</x:f>
        <x:v>1</x:v>
      </x:c>
      <x:c r="U99" s="3" t="str"/>
    </x:row>
    <x:row r="100" ht="153" customHeight="1">
      <x:c r="A100" s="3" t="str">
        <x:v>ARCHIVE-01</x:v>
      </x:c>
      <x:c r="B100" s="3" t="str">
        <x:v>Archive</x:v>
      </x:c>
      <x:c r="C100" s="3" t="str">
        <x:v>Open/archive picker</x:v>
      </x:c>
      <x:c r="D100" s="13" t="str">
        <x:v>Fail</x:v>
      </x:c>
      <x:c r="E100" s="3" t="str">
        <x:v>Picker retains exact Home authority; archive content is inspected without extraction.</x:v>
      </x:c>
      <x:c r="F100" s="12" t="str">
        <x:v>Open archive launches the scoped Library picker, and no-selection validation is clear. Selecting the audit ZIP closes the picker but leaves Archive empty (F-35).</x:v>
      </x:c>
      <x:c r="G100" s="3" t="str">
        <x:v>controlled-session</x:v>
      </x:c>
      <x:c r="H100" s="3" t="str">
        <x:v>implemented-source</x:v>
      </x:c>
      <x:c r="I100" s="3" t="str">
        <x:v>Open Existing; Open; Library picker; Cancel</x:v>
      </x:c>
      <x:c r="J100" s="3" t="str">
        <x:v>1. Open bounded ZIP fixture via Home and standalone-supported path</x:v>
      </x:c>
      <x:c r="K100" s="3" t="str">
        <x:v>Safe ZIP fixture</x:v>
      </x:c>
      <x:c r="L100" s="3" t="str">
        <x:v>F-35</x:v>
      </x:c>
      <x:c r="M100" s="3" t="str"/>
      <x:c r="N100" s="3" t="str">
        <x:v>E-050</x:v>
      </x:c>
      <x:c r="O100" s="3" t="str">
        <x:v>S-102</x:v>
      </x:c>
      <x:c r="P100" s="3" t="str">
        <x:v>archive-manager</x:v>
      </x:c>
      <x:c r="Q100" s="3" t="str">
        <x:f>IF(OR(H100='Read Me + Evidence'!$K$6,H100='Read Me + Evidence'!$K$7,H100='Read Me + Evidence'!$K$8,P100='Read Me + Evidence'!$K$9,P100='Read Me + Evidence'!$K$10),'Read Me + Evidence'!$K$12,'Read Me + Evidence'!$K$11)</x:f>
        <x:v>GUI</x:v>
      </x:c>
      <x:c r="R100" s="14" t="n">
        <x:f>IF(AND(Q100='Read Me + Evidence'!$K$11,OR(D100='Read Me + Evidence'!$H$7,D100='Read Me + Evidence'!$H$8,D100='Read Me + Evidence'!$H$9)),1,0)</x:f>
        <x:v>1</x:v>
      </x:c>
      <x:c r="S100" s="14" t="n">
        <x:f>IF(AND(Q100='Read Me + Evidence'!$K$11,D100='Read Me + Evidence'!$H$7),1,0)</x:f>
        <x:v>0</x:v>
      </x:c>
      <x:c r="T100" s="14" t="n">
        <x:f>IF(AND(Q100='Read Me + Evidence'!$K$11,D100&lt;&gt;'Read Me + Evidence'!$H$12),1,0)</x:f>
        <x:v>1</x:v>
      </x:c>
      <x:c r="U100" s="3" t="str"/>
    </x:row>
    <x:row r="101" ht="153" customHeight="1">
      <x:c r="A101" s="3" t="str">
        <x:v>ARCHIVE-02</x:v>
      </x:c>
      <x:c r="B101" s="3" t="str">
        <x:v>Archive</x:v>
      </x:c>
      <x:c r="C101" s="3" t="str">
        <x:v>Create ZIP</x:v>
      </x:c>
      <x:c r="D101" s="13" t="str">
        <x:v>Fail</x:v>
      </x:c>
      <x:c r="E101" s="3" t="str">
        <x:v>Archive creation uses exact selected objects and typed Runtime operations.</x:v>
      </x:c>
      <x:c r="F101" s="12" t="str">
        <x:v>New ZIP creates only audit-20260830/fixture.md.zip (118B) from fixture.md, but the promised Archive handoff fails (F-35).</x:v>
      </x:c>
      <x:c r="G101" s="3" t="str">
        <x:v>controlled-files</x:v>
      </x:c>
      <x:c r="H101" s="3" t="str">
        <x:v>implemented-source</x:v>
      </x:c>
      <x:c r="I101" s="3" t="str">
        <x:v>New ZIP; New; Select files; Cancel</x:v>
      </x:c>
      <x:c r="J101" s="3" t="str">
        <x:v>1. Choose disposable files in Library
2. Create only in audit folder</x:v>
      </x:c>
      <x:c r="K101" s="3" t="str">
        <x:v>Disposable files</x:v>
      </x:c>
      <x:c r="L101" s="3" t="str">
        <x:v>F-35</x:v>
      </x:c>
      <x:c r="M101" s="3" t="str"/>
      <x:c r="N101" s="3" t="str">
        <x:v>E-050</x:v>
      </x:c>
      <x:c r="O101" s="3" t="str">
        <x:v>S-103</x:v>
      </x:c>
      <x:c r="P101" s="3" t="str">
        <x:v>archive-manager</x:v>
      </x:c>
      <x:c r="Q101" s="3" t="str">
        <x:f>IF(OR(H101='Read Me + Evidence'!$K$6,H101='Read Me + Evidence'!$K$7,H101='Read Me + Evidence'!$K$8,P101='Read Me + Evidence'!$K$9,P101='Read Me + Evidence'!$K$10),'Read Me + Evidence'!$K$12,'Read Me + Evidence'!$K$11)</x:f>
        <x:v>GUI</x:v>
      </x:c>
      <x:c r="R101" s="14" t="n">
        <x:f>IF(AND(Q101='Read Me + Evidence'!$K$11,OR(D101='Read Me + Evidence'!$H$7,D101='Read Me + Evidence'!$H$8,D101='Read Me + Evidence'!$H$9)),1,0)</x:f>
        <x:v>1</x:v>
      </x:c>
      <x:c r="S101" s="14" t="n">
        <x:f>IF(AND(Q101='Read Me + Evidence'!$K$11,D101='Read Me + Evidence'!$H$7),1,0)</x:f>
        <x:v>0</x:v>
      </x:c>
      <x:c r="T101" s="14" t="n">
        <x:f>IF(AND(Q101='Read Me + Evidence'!$K$11,D101&lt;&gt;'Read Me + Evidence'!$H$12),1,0)</x:f>
        <x:v>1</x:v>
      </x:c>
      <x:c r="U101" s="3" t="str"/>
    </x:row>
    <x:row r="102" ht="153" customHeight="1">
      <x:c r="A102" s="3" t="str">
        <x:v>ARCHIVE-03</x:v>
      </x:c>
      <x:c r="B102" s="3" t="str">
        <x:v>Archive</x:v>
      </x:c>
      <x:c r="C102" s="3" t="str">
        <x:v>Inspect and selection</x:v>
      </x:c>
      <x:c r="D102" s="13" t="str">
        <x:v>Fail</x:v>
      </x:c>
      <x:c r="E102" s="3" t="str">
        <x:v>Selection excludes unsafe entries; file names and counts remain readable.</x:v>
      </x:c>
      <x:c r="F102" s="12" t="str">
        <x:v>Direct Library launch loads the audit ZIP and its one0B entry. Search absent state and Select visible/Clear work. F-36 mislabels the empty text preview as binary; unsafe-entry fixtures remain pending.</x:v>
      </x:c>
      <x:c r="G102" s="3" t="str">
        <x:v>safe-read-only</x:v>
      </x:c>
      <x:c r="H102" s="3" t="str">
        <x:v>implemented-source</x:v>
      </x:c>
      <x:c r="I102" s="3" t="str">
        <x:v>Search; Select Visible; Clear; Entry list</x:v>
      </x:c>
      <x:c r="J102" s="3" t="str">
        <x:v>1. Search names
2. Select safe subset
3. Inspect unsupported or blocked entries</x:v>
      </x:c>
      <x:c r="K102" s="3" t="str">
        <x:v>Safe archive fixture</x:v>
      </x:c>
      <x:c r="L102" s="3" t="str">
        <x:v>F-36; F-37</x:v>
      </x:c>
      <x:c r="M102" s="3" t="str"/>
      <x:c r="N102" s="3" t="str">
        <x:v>E-050</x:v>
      </x:c>
      <x:c r="O102" s="3" t="str">
        <x:v>S-104</x:v>
      </x:c>
      <x:c r="P102" s="3" t="str">
        <x:v>archive-manager</x:v>
      </x:c>
      <x:c r="Q102" s="3" t="str">
        <x:f>IF(OR(H102='Read Me + Evidence'!$K$6,H102='Read Me + Evidence'!$K$7,H102='Read Me + Evidence'!$K$8,P102='Read Me + Evidence'!$K$9,P102='Read Me + Evidence'!$K$10),'Read Me + Evidence'!$K$12,'Read Me + Evidence'!$K$11)</x:f>
        <x:v>GUI</x:v>
      </x:c>
      <x:c r="R102" s="14" t="n">
        <x:f>IF(AND(Q102='Read Me + Evidence'!$K$11,OR(D102='Read Me + Evidence'!$H$7,D102='Read Me + Evidence'!$H$8,D102='Read Me + Evidence'!$H$9)),1,0)</x:f>
        <x:v>1</x:v>
      </x:c>
      <x:c r="S102" s="14" t="n">
        <x:f>IF(AND(Q102='Read Me + Evidence'!$K$11,D102='Read Me + Evidence'!$H$7),1,0)</x:f>
        <x:v>0</x:v>
      </x:c>
      <x:c r="T102" s="14" t="n">
        <x:f>IF(AND(Q102='Read Me + Evidence'!$K$11,D102&lt;&gt;'Read Me + Evidence'!$H$12),1,0)</x:f>
        <x:v>1</x:v>
      </x:c>
      <x:c r="U102" s="3" t="str"/>
    </x:row>
    <x:row r="103" ht="153" customHeight="1">
      <x:c r="A103" s="3" t="str">
        <x:v>ARCHIVE-04</x:v>
      </x:c>
      <x:c r="B103" s="3" t="str">
        <x:v>Archive</x:v>
      </x:c>
      <x:c r="C103" s="3" t="str">
        <x:v>Extract selection/all</x:v>
      </x:c>
      <x:c r="D103" s="13" t="str">
        <x:v>Partially observed</x:v>
      </x:c>
      <x:c r="E103" s="3" t="str">
        <x:v>Destination and entry paths are validated; collision policy is explicit.</x:v>
      </x:c>
      <x:c r="F103" s="12" t="str">
        <x:v>In the audit folder only, Skip returned 0 written/1 skipped; Keep both returned 1 written/0 skipped. Existing fixture preserved. Replace was inspected but remains unexecuted to preserve original bytes.</x:v>
      </x:c>
      <x:c r="G103" s="3" t="str">
        <x:v>controlled-files</x:v>
      </x:c>
      <x:c r="H103" s="3" t="str">
        <x:v>implemented-source</x:v>
      </x:c>
      <x:c r="I103" s="3" t="str">
        <x:v>Destination; Conflict policy; Extract Selected; Extract All</x:v>
      </x:c>
      <x:c r="J103" s="3" t="str">
        <x:v>1. Inspect keep-both/replace/skip
2. Cancel; extract only bounded fixture</x:v>
      </x:c>
      <x:c r="K103" s="3" t="str">
        <x:v>Disposable target directory</x:v>
      </x:c>
      <x:c r="L103" s="3" t="str"/>
      <x:c r="M103" s="3" t="str"/>
      <x:c r="N103" s="3" t="str">
        <x:v>E-050</x:v>
      </x:c>
      <x:c r="O103" s="3" t="str">
        <x:v>S-105</x:v>
      </x:c>
      <x:c r="P103" s="3" t="str">
        <x:v>archive-manager</x:v>
      </x:c>
      <x:c r="Q103" s="3" t="str">
        <x:f>IF(OR(H103='Read Me + Evidence'!$K$6,H103='Read Me + Evidence'!$K$7,H103='Read Me + Evidence'!$K$8,P103='Read Me + Evidence'!$K$9,P103='Read Me + Evidence'!$K$10),'Read Me + Evidence'!$K$12,'Read Me + Evidence'!$K$11)</x:f>
        <x:v>GUI</x:v>
      </x:c>
      <x:c r="R103" s="14" t="n">
        <x:f>IF(AND(Q103='Read Me + Evidence'!$K$11,OR(D103='Read Me + Evidence'!$H$7,D103='Read Me + Evidence'!$H$8,D103='Read Me + Evidence'!$H$9)),1,0)</x:f>
        <x:v>1</x:v>
      </x:c>
      <x:c r="S103" s="14" t="n">
        <x:f>IF(AND(Q103='Read Me + Evidence'!$K$11,D103='Read Me + Evidence'!$H$7),1,0)</x:f>
        <x:v>0</x:v>
      </x:c>
      <x:c r="T103" s="14" t="n">
        <x:f>IF(AND(Q103='Read Me + Evidence'!$K$11,D103&lt;&gt;'Read Me + Evidence'!$H$12),1,0)</x:f>
        <x:v>1</x:v>
      </x:c>
      <x:c r="U103" s="3" t="str"/>
    </x:row>
    <x:row r="104" ht="153" customHeight="1">
      <x:c r="A104" s="3" t="str">
        <x:v>ARCHIVE-05</x:v>
      </x:c>
      <x:c r="B104" s="3" t="str">
        <x:v>Archive</x:v>
      </x:c>
      <x:c r="C104" s="3" t="str">
        <x:v>Menu and close</x:v>
      </x:c>
      <x:c r="D104" s="13" t="str">
        <x:v>Partially observed</x:v>
      </x:c>
      <x:c r="E104" s="3" t="str">
        <x:v>Home owns window chrome and Archive owns entry operations.</x:v>
      </x:c>
      <x:c r="F104" s="12" t="str">
        <x:v>Home-owned Archive chrome opens/closes correctly; File/Edit menus are registered. Loaded-archive reopen remains blocked by F-35.</x:v>
      </x:c>
      <x:c r="G104" s="3" t="str">
        <x:v>safe-read-only</x:v>
      </x:c>
      <x:c r="H104" s="3" t="str">
        <x:v>implemented-source</x:v>
      </x:c>
      <x:c r="I104" s="3" t="str">
        <x:v>File Open/New/Close; Edit Select/Clear</x:v>
      </x:c>
      <x:c r="J104" s="3" t="str">
        <x:v>1. Inspect Home menu
2. Close and reopen archive</x:v>
      </x:c>
      <x:c r="K104" s="3" t="str">
        <x:v>Signed-in Home</x:v>
      </x:c>
      <x:c r="L104" s="3" t="str"/>
      <x:c r="M104" s="3" t="str"/>
      <x:c r="N104" s="3" t="str">
        <x:v>E-050</x:v>
      </x:c>
      <x:c r="O104" s="3" t="str">
        <x:v>S-106</x:v>
      </x:c>
      <x:c r="P104" s="3" t="str">
        <x:v>archive-manager</x:v>
      </x:c>
      <x:c r="Q104" s="3" t="str">
        <x:f>IF(OR(H104='Read Me + Evidence'!$K$6,H104='Read Me + Evidence'!$K$7,H104='Read Me + Evidence'!$K$8,P104='Read Me + Evidence'!$K$9,P104='Read Me + Evidence'!$K$10),'Read Me + Evidence'!$K$12,'Read Me + Evidence'!$K$11)</x:f>
        <x:v>GUI</x:v>
      </x:c>
      <x:c r="R104" s="14" t="n">
        <x:f>IF(AND(Q104='Read Me + Evidence'!$K$11,OR(D104='Read Me + Evidence'!$H$7,D104='Read Me + Evidence'!$H$8,D104='Read Me + Evidence'!$H$9)),1,0)</x:f>
        <x:v>1</x:v>
      </x:c>
      <x:c r="S104" s="14" t="n">
        <x:f>IF(AND(Q104='Read Me + Evidence'!$K$11,D104='Read Me + Evidence'!$H$7),1,0)</x:f>
        <x:v>0</x:v>
      </x:c>
      <x:c r="T104" s="14" t="n">
        <x:f>IF(AND(Q104='Read Me + Evidence'!$K$11,D104&lt;&gt;'Read Me + Evidence'!$H$12),1,0)</x:f>
        <x:v>1</x:v>
      </x:c>
      <x:c r="U104" s="3" t="str"/>
    </x:row>
    <x:row r="105" ht="153" customHeight="1">
      <x:c r="A105" s="3" t="str">
        <x:v>ARCHIVE-06</x:v>
      </x:c>
      <x:c r="B105" s="3" t="str">
        <x:v>Archive</x:v>
      </x:c>
      <x:c r="C105" s="3" t="str">
        <x:v>Unsafe/unsupported archive</x:v>
      </x:c>
      <x:c r="D105" s="13" t="str">
        <x:v>Blocked prerequisite</x:v>
      </x:c>
      <x:c r="E105" s="3" t="str">
        <x:v>Traversal, oversized and unsupported formats fail clearly before write; no new archive engines are implied.</x:v>
      </x:c>
      <x:c r="F105" s="12" t="str">
        <x:v>Dedicated bounded negative archives are not present; no unsafe payload was executed.</x:v>
      </x:c>
      <x:c r="G105" s="3" t="str">
        <x:v>controlled-files</x:v>
      </x:c>
      <x:c r="H105" s="3" t="str">
        <x:v>implemented-source</x:v>
      </x:c>
      <x:c r="I105" s="3" t="str">
        <x:v>Blocked entries; Unsupported family; Error</x:v>
      </x:c>
      <x:c r="J105" s="3" t="str">
        <x:v>1. Inspect prepared safe negative fixture under controlled test</x:v>
      </x:c>
      <x:c r="K105" s="3" t="str">
        <x:v>Dedicated bounded negative fixtures</x:v>
      </x:c>
      <x:c r="L105" s="3" t="str"/>
      <x:c r="M105" s="3" t="str"/>
      <x:c r="N105" s="3" t="str">
        <x:v>E-050</x:v>
      </x:c>
      <x:c r="O105" s="3" t="str">
        <x:v>S-107</x:v>
      </x:c>
      <x:c r="P105" s="3" t="str">
        <x:v>archive-manager</x:v>
      </x:c>
      <x:c r="Q105" s="3" t="str">
        <x:f>IF(OR(H105='Read Me + Evidence'!$K$6,H105='Read Me + Evidence'!$K$7,H105='Read Me + Evidence'!$K$8,P105='Read Me + Evidence'!$K$9,P105='Read Me + Evidence'!$K$10),'Read Me + Evidence'!$K$12,'Read Me + Evidence'!$K$11)</x:f>
        <x:v>GUI</x:v>
      </x:c>
      <x:c r="R105" s="14" t="n">
        <x:f>IF(AND(Q105='Read Me + Evidence'!$K$11,OR(D105='Read Me + Evidence'!$H$7,D105='Read Me + Evidence'!$H$8,D105='Read Me + Evidence'!$H$9)),1,0)</x:f>
        <x:v>0</x:v>
      </x:c>
      <x:c r="S105" s="14" t="n">
        <x:f>IF(AND(Q105='Read Me + Evidence'!$K$11,D105='Read Me + Evidence'!$H$7),1,0)</x:f>
        <x:v>0</x:v>
      </x:c>
      <x:c r="T105" s="14" t="n">
        <x:f>IF(AND(Q105='Read Me + Evidence'!$K$11,D105&lt;&gt;'Read Me + Evidence'!$H$12),1,0)</x:f>
        <x:v>1</x:v>
      </x:c>
      <x:c r="U105" s="3" t="str"/>
    </x:row>
    <x:row r="106" ht="153" customHeight="1">
      <x:c r="A106" s="3" t="str">
        <x:v>MARKET-01</x:v>
      </x:c>
      <x:c r="B106" s="3" t="str">
        <x:v>Marketplace</x:v>
      </x:c>
      <x:c r="C106" s="3" t="str">
        <x:v>Discover and categories</x:v>
      </x:c>
      <x:c r="D106" s="13" t="str">
        <x:v>Pass</x:v>
      </x:c>
      <x:c r="E106" s="3" t="str">
        <x:v>Runtime catalog groups installed/known entries by role; provider metadata is not app authority.</x:v>
      </x:c>
      <x:c r="F106" s="12" t="str">
        <x:v>Discover and all five categories load: 14 Apps, four Viewers, two Content items, 11 Services, two Home views. Installed count is33. Provider cards remain nonlaunchable; Media empty state is separate.</x:v>
      </x:c>
      <x:c r="G106" s="3" t="str">
        <x:v>safe-read-only</x:v>
      </x:c>
      <x:c r="H106" s="3" t="str">
        <x:v>implemented-source</x:v>
      </x:c>
      <x:c r="I106" s="3" t="str">
        <x:v>Discover; Apps; Viewers; Content; Services; Home views; See All</x:v>
      </x:c>
      <x:c r="J106" s="3" t="str">
        <x:v>1. Browse categories and empty categories</x:v>
      </x:c>
      <x:c r="K106" s="3" t="str">
        <x:v>Signed-in Home</x:v>
      </x:c>
      <x:c r="L106" s="3" t="str"/>
      <x:c r="M106" s="3" t="str"/>
      <x:c r="N106" s="3" t="str">
        <x:v>E-049</x:v>
      </x:c>
      <x:c r="O106" s="3" t="str">
        <x:v>S-108</x:v>
      </x:c>
      <x:c r="P106" s="3" t="str">
        <x:v>marketplace</x:v>
      </x:c>
      <x:c r="Q106" s="3" t="str">
        <x:f>IF(OR(H106='Read Me + Evidence'!$K$6,H106='Read Me + Evidence'!$K$7,H106='Read Me + Evidence'!$K$8,P106='Read Me + Evidence'!$K$9,P106='Read Me + Evidence'!$K$10),'Read Me + Evidence'!$K$12,'Read Me + Evidence'!$K$11)</x:f>
        <x:v>GUI</x:v>
      </x:c>
      <x:c r="R106" s="14" t="n">
        <x:f>IF(AND(Q106='Read Me + Evidence'!$K$11,OR(D106='Read Me + Evidence'!$H$7,D106='Read Me + Evidence'!$H$8,D106='Read Me + Evidence'!$H$9)),1,0)</x:f>
        <x:v>1</x:v>
      </x:c>
      <x:c r="S106" s="14" t="n">
        <x:f>IF(AND(Q106='Read Me + Evidence'!$K$11,D106='Read Me + Evidence'!$H$7),1,0)</x:f>
        <x:v>1</x:v>
      </x:c>
      <x:c r="T106" s="14" t="n">
        <x:f>IF(AND(Q106='Read Me + Evidence'!$K$11,D106&lt;&gt;'Read Me + Evidence'!$H$12),1,0)</x:f>
        <x:v>1</x:v>
      </x:c>
      <x:c r="U106" s="3" t="str"/>
    </x:row>
    <x:row r="107" ht="153" customHeight="1">
      <x:c r="A107" s="3" t="str">
        <x:v>MARKET-02</x:v>
      </x:c>
      <x:c r="B107" s="3" t="str">
        <x:v>Marketplace</x:v>
      </x:c>
      <x:c r="C107" s="3" t="str">
        <x:v>Installed and search</x:v>
      </x:c>
      <x:c r="D107" s="13" t="str">
        <x:v>Fail</x:v>
      </x:c>
      <x:c r="E107" s="3" t="str">
        <x:v>Installed count/search reflect local catalog; independent Media loading cannot blank app catalog.</x:v>
      </x:c>
      <x:c r="F107" s="12" t="str">
        <x:v>Matching nonogram search returns one game; zzzauditabsent shows an explicit No results state. F-31: the search control lacks an accessible name.</x:v>
      </x:c>
      <x:c r="G107" s="3" t="str">
        <x:v>safe-read-only</x:v>
      </x:c>
      <x:c r="H107" s="3" t="str">
        <x:v>implemented-source</x:v>
      </x:c>
      <x:c r="I107" s="3" t="str">
        <x:v>Installed; Search</x:v>
      </x:c>
      <x:c r="J107" s="3" t="str">
        <x:v>1. Search an installed item and absent text
2. Inspect results</x:v>
      </x:c>
      <x:c r="K107" s="3" t="str">
        <x:v>Signed-in Home</x:v>
      </x:c>
      <x:c r="L107" s="3" t="str">
        <x:v>F-31</x:v>
      </x:c>
      <x:c r="M107" s="3" t="str"/>
      <x:c r="N107" s="3" t="str">
        <x:v>E-049</x:v>
      </x:c>
      <x:c r="O107" s="3" t="str">
        <x:v>S-109</x:v>
      </x:c>
      <x:c r="P107" s="3" t="str">
        <x:v>marketplace</x:v>
      </x:c>
      <x:c r="Q107" s="3" t="str">
        <x:f>IF(OR(H107='Read Me + Evidence'!$K$6,H107='Read Me + Evidence'!$K$7,H107='Read Me + Evidence'!$K$8,P107='Read Me + Evidence'!$K$9,P107='Read Me + Evidence'!$K$10),'Read Me + Evidence'!$K$12,'Read Me + Evidence'!$K$11)</x:f>
        <x:v>GUI</x:v>
      </x:c>
      <x:c r="R107" s="14" t="n">
        <x:f>IF(AND(Q107='Read Me + Evidence'!$K$11,OR(D107='Read Me + Evidence'!$H$7,D107='Read Me + Evidence'!$H$8,D107='Read Me + Evidence'!$H$9)),1,0)</x:f>
        <x:v>1</x:v>
      </x:c>
      <x:c r="S107" s="14" t="n">
        <x:f>IF(AND(Q107='Read Me + Evidence'!$K$11,D107='Read Me + Evidence'!$H$7),1,0)</x:f>
        <x:v>0</x:v>
      </x:c>
      <x:c r="T107" s="14" t="n">
        <x:f>IF(AND(Q107='Read Me + Evidence'!$K$11,D107&lt;&gt;'Read Me + Evidence'!$H$12),1,0)</x:f>
        <x:v>1</x:v>
      </x:c>
      <x:c r="U107" s="3" t="str"/>
    </x:row>
    <x:row r="108" ht="153" customHeight="1">
      <x:c r="A108" s="3" t="str">
        <x:v>MARKET-03</x:v>
      </x:c>
      <x:c r="B108" s="3" t="str">
        <x:v>Marketplace</x:v>
      </x:c>
      <x:c r="C108" s="3" t="str">
        <x:v>Item detail</x:v>
      </x:c>
      <x:c r="D108" s="13" t="str">
        <x:v>Fail</x:v>
      </x:c>
      <x:c r="E108" s="3" t="str">
        <x:v>Metadata is readable and focus returns to card; capabilities described are not grants.</x:v>
      </x:c>
      <x:c r="F108" s="12" t="str">
        <x:v>Keyboard Enter opens game and service details; Escape returns focus to the card. Version/status/viewer facts appear, but F-32 incorrectly claims payment and protected-content support for not-declared states.</x:v>
      </x:c>
      <x:c r="G108" s="3" t="str">
        <x:v>safe-read-only</x:v>
      </x:c>
      <x:c r="H108" s="3" t="str">
        <x:v>implemented-source</x:v>
      </x:c>
      <x:c r="I108" s="3" t="str">
        <x:v>Card; About; Status; Actions; Technical details; Close</x:v>
      </x:c>
      <x:c r="J108" s="3" t="str">
        <x:v>1. Open detail
2. Inspect bounded facts
3. Escape/Close</x:v>
      </x:c>
      <x:c r="K108" s="3" t="str">
        <x:v>Signed-in Home</x:v>
      </x:c>
      <x:c r="L108" s="3" t="str">
        <x:v>F-32</x:v>
      </x:c>
      <x:c r="M108" s="3" t="str"/>
      <x:c r="N108" s="3" t="str">
        <x:v>E-049</x:v>
      </x:c>
      <x:c r="O108" s="3" t="str">
        <x:v>S-110</x:v>
      </x:c>
      <x:c r="P108" s="3" t="str">
        <x:v>marketplace</x:v>
      </x:c>
      <x:c r="Q108" s="3" t="str">
        <x:f>IF(OR(H108='Read Me + Evidence'!$K$6,H108='Read Me + Evidence'!$K$7,H108='Read Me + Evidence'!$K$8,P108='Read Me + Evidence'!$K$9,P108='Read Me + Evidence'!$K$10),'Read Me + Evidence'!$K$12,'Read Me + Evidence'!$K$11)</x:f>
        <x:v>GUI</x:v>
      </x:c>
      <x:c r="R108" s="14" t="n">
        <x:f>IF(AND(Q108='Read Me + Evidence'!$K$11,OR(D108='Read Me + Evidence'!$H$7,D108='Read Me + Evidence'!$H$8,D108='Read Me + Evidence'!$H$9)),1,0)</x:f>
        <x:v>1</x:v>
      </x:c>
      <x:c r="S108" s="14" t="n">
        <x:f>IF(AND(Q108='Read Me + Evidence'!$K$11,D108='Read Me + Evidence'!$H$7),1,0)</x:f>
        <x:v>0</x:v>
      </x:c>
      <x:c r="T108" s="14" t="n">
        <x:f>IF(AND(Q108='Read Me + Evidence'!$K$11,D108&lt;&gt;'Read Me + Evidence'!$H$12),1,0)</x:f>
        <x:v>1</x:v>
      </x:c>
      <x:c r="U108" s="3" t="str"/>
    </x:row>
    <x:row r="109" ht="153" customHeight="1">
      <x:c r="A109" s="3" t="str">
        <x:v>MARKET-04</x:v>
      </x:c>
      <x:c r="B109" s="3" t="str">
        <x:v>Marketplace</x:v>
      </x:c>
      <x:c r="C109" s="3" t="str">
        <x:v>Open installed target</x:v>
      </x:c>
      <x:c r="D109" s="13" t="str">
        <x:v>Fail</x:v>
      </x:c>
      <x:c r="E109" s="3" t="str">
        <x:v>Only launchable catalog targets expose Open. Existing UI does not implement a general one-click remote install flow.</x:v>
      </x:c>
      <x:c r="F109" s="12" t="str">
        <x:v>Open appears only on launchable targets; Home, unconfigured WalletConnect and provider cards have no Open. App launch checks are tracked in each owning journey; complete target coverage remains pending. F-33: Enter on a card's Open button opens details instead of launching.</x:v>
      </x:c>
      <x:c r="G109" s="3" t="str">
        <x:v>controlled-session</x:v>
      </x:c>
      <x:c r="H109" s="3" t="str">
        <x:v>implemented-source</x:v>
      </x:c>
      <x:c r="I109" s="3" t="str">
        <x:v>Open</x:v>
      </x:c>
      <x:c r="J109" s="3" t="str">
        <x:v>1. Open each of the 16 reported launch targets through its available surface</x:v>
      </x:c>
      <x:c r="K109" s="3" t="str">
        <x:v>Installed target</x:v>
      </x:c>
      <x:c r="L109" s="3" t="str">
        <x:v>F-12; F-33</x:v>
      </x:c>
      <x:c r="M109" s="3" t="str"/>
      <x:c r="N109" s="3" t="str">
        <x:v>E-049</x:v>
      </x:c>
      <x:c r="O109" s="3" t="str">
        <x:v>S-111</x:v>
      </x:c>
      <x:c r="P109" s="3" t="str">
        <x:v>marketplace</x:v>
      </x:c>
      <x:c r="Q109" s="3" t="str">
        <x:f>IF(OR(H109='Read Me + Evidence'!$K$6,H109='Read Me + Evidence'!$K$7,H109='Read Me + Evidence'!$K$8,P109='Read Me + Evidence'!$K$9,P109='Read Me + Evidence'!$K$10),'Read Me + Evidence'!$K$12,'Read Me + Evidence'!$K$11)</x:f>
        <x:v>GUI</x:v>
      </x:c>
      <x:c r="R109" s="14" t="n">
        <x:f>IF(AND(Q109='Read Me + Evidence'!$K$11,OR(D109='Read Me + Evidence'!$H$7,D109='Read Me + Evidence'!$H$8,D109='Read Me + Evidence'!$H$9)),1,0)</x:f>
        <x:v>1</x:v>
      </x:c>
      <x:c r="S109" s="14" t="n">
        <x:f>IF(AND(Q109='Read Me + Evidence'!$K$11,D109='Read Me + Evidence'!$H$7),1,0)</x:f>
        <x:v>0</x:v>
      </x:c>
      <x:c r="T109" s="14" t="n">
        <x:f>IF(AND(Q109='Read Me + Evidence'!$K$11,D109&lt;&gt;'Read Me + Evidence'!$H$12),1,0)</x:f>
        <x:v>1</x:v>
      </x:c>
      <x:c r="U109" s="3" t="str"/>
    </x:row>
    <x:row r="110" ht="153" customHeight="1">
      <x:c r="A110" s="3" t="str">
        <x:v>MARKET-05</x:v>
      </x:c>
      <x:c r="B110" s="3" t="str">
        <x:v>Marketplace</x:v>
      </x:c>
      <x:c r="C110" s="3" t="str">
        <x:v>Uninstalled/catalog-only item</x:v>
      </x:c>
      <x:c r="D110" s="13" t="str">
        <x:v>Fail</x:v>
      </x:c>
      <x:c r="E110" s="3" t="str">
        <x:v>UI states availability honestly. Manifest capsule.install affordance does not prove an install button/path exists.</x:v>
      </x:c>
      <x:c r="F110" s="12" t="str">
        <x:v>Nonlaunchable Browser Engine details correctly omit Open and say launch unavailable. F-32 falsely claims payment/protected-content support. General remote installation remains absent (existing F-12).</x:v>
      </x:c>
      <x:c r="G110" s="3" t="str">
        <x:v>safe-read-only</x:v>
      </x:c>
      <x:c r="H110" s="3" t="str">
        <x:v>declared-only</x:v>
      </x:c>
      <x:c r="I110" s="3" t="str">
        <x:v>Detail without Open</x:v>
      </x:c>
      <x:c r="J110" s="3" t="str">
        <x:v>1. Inspect nonlaunchable provider or unavailable item</x:v>
      </x:c>
      <x:c r="K110" s="3" t="str">
        <x:v>Catalog item if present</x:v>
      </x:c>
      <x:c r="L110" s="3" t="str">
        <x:v>F-12; F-32</x:v>
      </x:c>
      <x:c r="M110" s="3" t="str"/>
      <x:c r="N110" s="3" t="str">
        <x:v>E-049</x:v>
      </x:c>
      <x:c r="O110" s="3" t="str">
        <x:v>S-111</x:v>
      </x:c>
      <x:c r="P110" s="3" t="str">
        <x:v>marketplace</x:v>
      </x:c>
      <x:c r="Q110" s="3" t="str">
        <x:f>IF(OR(H110='Read Me + Evidence'!$K$6,H110='Read Me + Evidence'!$K$7,H110='Read Me + Evidence'!$K$8,P110='Read Me + Evidence'!$K$9,P110='Read Me + Evidence'!$K$10),'Read Me + Evidence'!$K$12,'Read Me + Evidence'!$K$11)</x:f>
        <x:v>Source only</x:v>
      </x:c>
      <x:c r="R110" s="14" t="n">
        <x:f>IF(AND(Q110='Read Me + Evidence'!$K$11,OR(D110='Read Me + Evidence'!$H$7,D110='Read Me + Evidence'!$H$8,D110='Read Me + Evidence'!$H$9)),1,0)</x:f>
        <x:v>0</x:v>
      </x:c>
      <x:c r="S110" s="14" t="n">
        <x:f>IF(AND(Q110='Read Me + Evidence'!$K$11,D110='Read Me + Evidence'!$H$7),1,0)</x:f>
        <x:v>0</x:v>
      </x:c>
      <x:c r="T110" s="14" t="n">
        <x:f>IF(AND(Q110='Read Me + Evidence'!$K$11,D110&lt;&gt;'Read Me + Evidence'!$H$12),1,0)</x:f>
        <x:v>0</x:v>
      </x:c>
      <x:c r="U110" s="3" t="str"/>
    </x:row>
    <x:row r="111" ht="153" customHeight="1">
      <x:c r="A111" s="3" t="str">
        <x:v>MARKET-06</x:v>
      </x:c>
      <x:c r="B111" s="3" t="str">
        <x:v>Marketplace</x:v>
      </x:c>
      <x:c r="C111" s="3" t="str">
        <x:v>Media empty/error/refresh</x:v>
      </x:c>
      <x:c r="D111" s="13" t="str">
        <x:v>Partially observed</x:v>
      </x:c>
      <x:c r="E111" s="3" t="str">
        <x:v>Media error/empty/loading state is independent from app catalog and sanitizes internal details.</x:v>
      </x:c>
      <x:c r="F111" s="12" t="str">
        <x:v>Media opens an explicit No protected media available state while installed app catalog remains intact. Natural backend error and retry branches are not present.</x:v>
      </x:c>
      <x:c r="G111" s="3" t="str">
        <x:v>safe-read-only</x:v>
      </x:c>
      <x:c r="H111" s="3" t="str">
        <x:v>implemented-source</x:v>
      </x:c>
      <x:c r="I111" s="3" t="str">
        <x:v>Media; Retry; Search</x:v>
      </x:c>
      <x:c r="J111" s="3" t="str">
        <x:v>1. Open Media empty
2. Inspect provider error only if naturally present
3. Retry once</x:v>
      </x:c>
      <x:c r="K111" s="3" t="str">
        <x:v>Signed-in Home</x:v>
      </x:c>
      <x:c r="L111" s="3" t="str"/>
      <x:c r="M111" s="3" t="str"/>
      <x:c r="N111" s="3" t="str">
        <x:v>E-049</x:v>
      </x:c>
      <x:c r="O111" s="3" t="str">
        <x:v>S-112</x:v>
      </x:c>
      <x:c r="P111" s="3" t="str">
        <x:v>marketplace</x:v>
      </x:c>
      <x:c r="Q111" s="3" t="str">
        <x:f>IF(OR(H111='Read Me + Evidence'!$K$6,H111='Read Me + Evidence'!$K$7,H111='Read Me + Evidence'!$K$8,P111='Read Me + Evidence'!$K$9,P111='Read Me + Evidence'!$K$10),'Read Me + Evidence'!$K$12,'Read Me + Evidence'!$K$11)</x:f>
        <x:v>GUI</x:v>
      </x:c>
      <x:c r="R111" s="14" t="n">
        <x:f>IF(AND(Q111='Read Me + Evidence'!$K$11,OR(D111='Read Me + Evidence'!$H$7,D111='Read Me + Evidence'!$H$8,D111='Read Me + Evidence'!$H$9)),1,0)</x:f>
        <x:v>1</x:v>
      </x:c>
      <x:c r="S111" s="14" t="n">
        <x:f>IF(AND(Q111='Read Me + Evidence'!$K$11,D111='Read Me + Evidence'!$H$7),1,0)</x:f>
        <x:v>0</x:v>
      </x:c>
      <x:c r="T111" s="14" t="n">
        <x:f>IF(AND(Q111='Read Me + Evidence'!$K$11,D111&lt;&gt;'Read Me + Evidence'!$H$12),1,0)</x:f>
        <x:v>1</x:v>
      </x:c>
      <x:c r="U111" s="3" t="str"/>
    </x:row>
    <x:row r="112" ht="153" customHeight="1">
      <x:c r="A112" s="3" t="str">
        <x:v>MARKET-07</x:v>
      </x:c>
      <x:c r="B112" s="3" t="str">
        <x:v>Marketplace</x:v>
      </x:c>
      <x:c r="C112" s="3" t="str">
        <x:v>Media listing facts</x:v>
      </x:c>
      <x:c r="D112" s="13" t="str">
        <x:v>Blocked prerequisite</x:v>
      </x:c>
      <x:c r="E112" s="3" t="str">
        <x:v>Canonical uint256 hex stays on wire; display is decimal with token address and last verified replicas.</x:v>
      </x:c>
      <x:c r="F112" s="12" t="str">
        <x:v>No canonical controlled protected listing exists in this installation.</x:v>
      </x:c>
      <x:c r="G112" s="3" t="str">
        <x:v>safe-read-only</x:v>
      </x:c>
      <x:c r="H112" s="3" t="str">
        <x:v>implemented-config-gated</x:v>
      </x:c>
      <x:c r="I112" s="3" t="str">
        <x:v>Quantity; Price base units; Token; Replicas; Access state</x:v>
      </x:c>
      <x:c r="J112" s="3" t="str">
        <x:v>1. Inspect controlled listing
2. Search visible decimal quantity/price</x:v>
      </x:c>
      <x:c r="K112" s="3" t="str">
        <x:v>Controlled immutable listing</x:v>
      </x:c>
      <x:c r="L112" s="3" t="str"/>
      <x:c r="M112" s="3" t="str"/>
      <x:c r="N112" s="3" t="str">
        <x:v>E-049</x:v>
      </x:c>
      <x:c r="O112" s="3" t="str">
        <x:v>S-113</x:v>
      </x:c>
      <x:c r="P112" s="3" t="str">
        <x:v>marketplace</x:v>
      </x:c>
      <x:c r="Q112" s="3" t="str">
        <x:f>IF(OR(H112='Read Me + Evidence'!$K$6,H112='Read Me + Evidence'!$K$7,H112='Read Me + Evidence'!$K$8,P112='Read Me + Evidence'!$K$9,P112='Read Me + Evidence'!$K$10),'Read Me + Evidence'!$K$12,'Read Me + Evidence'!$K$11)</x:f>
        <x:v>GUI</x:v>
      </x:c>
      <x:c r="R112" s="14" t="n">
        <x:f>IF(AND(Q112='Read Me + Evidence'!$K$11,OR(D112='Read Me + Evidence'!$H$7,D112='Read Me + Evidence'!$H$8,D112='Read Me + Evidence'!$H$9)),1,0)</x:f>
        <x:v>0</x:v>
      </x:c>
      <x:c r="S112" s="14" t="n">
        <x:f>IF(AND(Q112='Read Me + Evidence'!$K$11,D112='Read Me + Evidence'!$H$7),1,0)</x:f>
        <x:v>0</x:v>
      </x:c>
      <x:c r="T112" s="14" t="n">
        <x:f>IF(AND(Q112='Read Me + Evidence'!$K$11,D112&lt;&gt;'Read Me + Evidence'!$H$12),1,0)</x:f>
        <x:v>1</x:v>
      </x:c>
      <x:c r="U112" s="3" t="str"/>
    </x:row>
    <x:row r="113" ht="153" customHeight="1">
      <x:c r="A113" s="3" t="str">
        <x:v>MARKET-08</x:v>
      </x:c>
      <x:c r="B113" s="3" t="str">
        <x:v>Marketplace</x:v>
      </x:c>
      <x:c r="C113" s="3" t="str">
        <x:v>Buy and duplicate activation</x:v>
      </x:c>
      <x:c r="D113" s="13" t="str">
        <x:v>Blocked prerequisite</x:v>
      </x:c>
      <x:c r="E113" s="3" t="str">
        <x:v>Request contains mint_id only; Runtime derives authority. Pending guard and coordinator preserve one effect.</x:v>
      </x:c>
      <x:c r="F113" s="12" t="str">
        <x:v>Buy requires signed availability, private Chain/custody configuration, a funded test Wallet and explicit transaction approval.</x:v>
      </x:c>
      <x:c r="G113" s="3" t="str">
        <x:v>controlled-financial</x:v>
      </x:c>
      <x:c r="H113" s="3" t="str">
        <x:v>implemented-config-gated</x:v>
      </x:c>
      <x:c r="I113" s="3" t="str">
        <x:v>Buy; Buying...; Trusted Wallet/Inbox approval</x:v>
      </x:c>
      <x:c r="J113" s="3" t="str">
        <x:v>1. Preview terms
2. Buy only approved test listing
3. Repeat activation in controlled proof</x:v>
      </x:c>
      <x:c r="K113" s="3" t="str">
        <x:v>Funded approved test account; Signed availability; Chain proof</x:v>
      </x:c>
      <x:c r="L113" s="3" t="str">
        <x:v>F-10</x:v>
      </x:c>
      <x:c r="M113" s="3" t="str"/>
      <x:c r="N113" s="3" t="str">
        <x:v>E-049</x:v>
      </x:c>
      <x:c r="O113" s="3" t="str">
        <x:v>S-114</x:v>
      </x:c>
      <x:c r="P113" s="3" t="str">
        <x:v>marketplace</x:v>
      </x:c>
      <x:c r="Q113" s="3" t="str">
        <x:f>IF(OR(H113='Read Me + Evidence'!$K$6,H113='Read Me + Evidence'!$K$7,H113='Read Me + Evidence'!$K$8,P113='Read Me + Evidence'!$K$9,P113='Read Me + Evidence'!$K$10),'Read Me + Evidence'!$K$12,'Read Me + Evidence'!$K$11)</x:f>
        <x:v>GUI</x:v>
      </x:c>
      <x:c r="R113" s="14" t="n">
        <x:f>IF(AND(Q113='Read Me + Evidence'!$K$11,OR(D113='Read Me + Evidence'!$H$7,D113='Read Me + Evidence'!$H$8,D113='Read Me + Evidence'!$H$9)),1,0)</x:f>
        <x:v>0</x:v>
      </x:c>
      <x:c r="S113" s="14" t="n">
        <x:f>IF(AND(Q113='Read Me + Evidence'!$K$11,D113='Read Me + Evidence'!$H$7),1,0)</x:f>
        <x:v>0</x:v>
      </x:c>
      <x:c r="T113" s="14" t="n">
        <x:f>IF(AND(Q113='Read Me + Evidence'!$K$11,D113&lt;&gt;'Read Me + Evidence'!$H$12),1,0)</x:f>
        <x:v>1</x:v>
      </x:c>
      <x:c r="U113" s="3" t="str"/>
    </x:row>
    <x:row r="114" ht="153" customHeight="1">
      <x:c r="A114" s="3" t="str">
        <x:v>MARKET-09</x:v>
      </x:c>
      <x:c r="B114" s="3" t="str">
        <x:v>Marketplace</x:v>
      </x:c>
      <x:c r="C114" s="3" t="str">
        <x:v>Owned/creator open</x:v>
      </x:c>
      <x:c r="D114" s="13" t="str">
        <x:v>Blocked prerequisite</x:v>
      </x:c>
      <x:c r="E114" s="3" t="str">
        <x:v>Exact mint_id goes through Home to elacity-player; fresh Runtime rights/availability remain authoritative.</x:v>
      </x:c>
      <x:c r="F114" s="12" t="str">
        <x:v>Owned/creator playback requires a controlled rights-bearing listing; none exists.</x:v>
      </x:c>
      <x:c r="G114" s="3" t="str">
        <x:v>controlled-protected-play</x:v>
      </x:c>
      <x:c r="H114" s="3" t="str">
        <x:v>implemented-config-gated</x:v>
      </x:c>
      <x:c r="I114" s="3" t="str">
        <x:v>Open</x:v>
      </x:c>
      <x:c r="J114" s="3" t="str">
        <x:v>1. Open creator/purchased listing
2. Inspect denied/unavailable state</x:v>
      </x:c>
      <x:c r="K114" s="3" t="str">
        <x:v>Controlled protected listing</x:v>
      </x:c>
      <x:c r="L114" s="3" t="str"/>
      <x:c r="M114" s="3" t="str"/>
      <x:c r="N114" s="3" t="str">
        <x:v>E-049</x:v>
      </x:c>
      <x:c r="O114" s="3" t="str">
        <x:v>S-115</x:v>
      </x:c>
      <x:c r="P114" s="3" t="str">
        <x:v>marketplace</x:v>
      </x:c>
      <x:c r="Q114" s="3" t="str">
        <x:f>IF(OR(H114='Read Me + Evidence'!$K$6,H114='Read Me + Evidence'!$K$7,H114='Read Me + Evidence'!$K$8,P114='Read Me + Evidence'!$K$9,P114='Read Me + Evidence'!$K$10),'Read Me + Evidence'!$K$12,'Read Me + Evidence'!$K$11)</x:f>
        <x:v>GUI</x:v>
      </x:c>
      <x:c r="R114" s="14" t="n">
        <x:f>IF(AND(Q114='Read Me + Evidence'!$K$11,OR(D114='Read Me + Evidence'!$H$7,D114='Read Me + Evidence'!$H$8,D114='Read Me + Evidence'!$H$9)),1,0)</x:f>
        <x:v>0</x:v>
      </x:c>
      <x:c r="S114" s="14" t="n">
        <x:f>IF(AND(Q114='Read Me + Evidence'!$K$11,D114='Read Me + Evidence'!$H$7),1,0)</x:f>
        <x:v>0</x:v>
      </x:c>
      <x:c r="T114" s="14" t="n">
        <x:f>IF(AND(Q114='Read Me + Evidence'!$K$11,D114&lt;&gt;'Read Me + Evidence'!$H$12),1,0)</x:f>
        <x:v>1</x:v>
      </x:c>
      <x:c r="U114" s="3" t="str"/>
    </x:row>
    <x:row r="115" ht="153" customHeight="1">
      <x:c r="A115" s="3" t="str">
        <x:v>MARKET-10</x:v>
      </x:c>
      <x:c r="B115" s="3" t="str">
        <x:v>Marketplace</x:v>
      </x:c>
      <x:c r="C115" s="3" t="str">
        <x:v>Shared listing discovery</x:v>
      </x:c>
      <x:c r="D115" s="13" t="str">
        <x:v>Partially observed</x:v>
      </x:c>
      <x:c r="E115" s="3" t="str">
        <x:v>Portable import is implemented in Runtime; visible link-entry UX and global discovery are separate concerns.</x:v>
      </x:c>
      <x:c r="F115" s="12" t="str">
        <x:v>Current visible Marketplace navigation has no dedicated shared-listing link import. Runtime import and global discovery remain distinct; existing F-11 tracks the UI entry gap.</x:v>
      </x:c>
      <x:c r="G115" s="3" t="str">
        <x:v>safe-read-only</x:v>
      </x:c>
      <x:c r="H115" s="3" t="str">
        <x:v>runtime-only-no-ui</x:v>
      </x:c>
      <x:c r="I115" s="3" t="str">
        <x:v>Shared elastos:// listing link</x:v>
      </x:c>
      <x:c r="J115" s="3" t="str">
        <x:v>1. Map link import entry; do not substitute a global marketplace search</x:v>
      </x:c>
      <x:c r="K115" s="3" t="str">
        <x:v>Canonical shared listing</x:v>
      </x:c>
      <x:c r="L115" s="3" t="str">
        <x:v>F-11</x:v>
      </x:c>
      <x:c r="M115" s="3" t="str"/>
      <x:c r="N115" s="3" t="str">
        <x:v>E-049</x:v>
      </x:c>
      <x:c r="O115" s="3" t="str">
        <x:v>S-116, S-108</x:v>
      </x:c>
      <x:c r="P115" s="3" t="str">
        <x:v>marketplace</x:v>
      </x:c>
      <x:c r="Q115" s="3" t="str">
        <x:f>IF(OR(H115='Read Me + Evidence'!$K$6,H115='Read Me + Evidence'!$K$7,H115='Read Me + Evidence'!$K$8,P115='Read Me + Evidence'!$K$9,P115='Read Me + Evidence'!$K$10),'Read Me + Evidence'!$K$12,'Read Me + Evidence'!$K$11)</x:f>
        <x:v>Source only</x:v>
      </x:c>
      <x:c r="R115" s="14" t="n">
        <x:f>IF(AND(Q115='Read Me + Evidence'!$K$11,OR(D115='Read Me + Evidence'!$H$7,D115='Read Me + Evidence'!$H$8,D115='Read Me + Evidence'!$H$9)),1,0)</x:f>
        <x:v>0</x:v>
      </x:c>
      <x:c r="S115" s="14" t="n">
        <x:f>IF(AND(Q115='Read Me + Evidence'!$K$11,D115='Read Me + Evidence'!$H$7),1,0)</x:f>
        <x:v>0</x:v>
      </x:c>
      <x:c r="T115" s="14" t="n">
        <x:f>IF(AND(Q115='Read Me + Evidence'!$K$11,D115&lt;&gt;'Read Me + Evidence'!$H$12),1,0)</x:f>
        <x:v>0</x:v>
      </x:c>
      <x:c r="U115" s="3" t="str"/>
    </x:row>
    <x:row r="116" ht="153" customHeight="1">
      <x:c r="A116" s="3" t="str">
        <x:v>PLAYER-01</x:v>
      </x:c>
      <x:c r="B116" s="3" t="str">
        <x:v>Protected video player</x:v>
      </x:c>
      <x:c r="C116" s="3" t="str">
        <x:v>Launch and empty authority</x:v>
      </x:c>
      <x:c r="D116" s="13" t="str">
        <x:v>Partially observed</x:v>
      </x:c>
      <x:c r="E116" s="3" t="str">
        <x:v>Player requests only typed Runtime session authority; direct app launch cannot invent playback rights.</x:v>
      </x:c>
      <x:c r="F116" s="12" t="str">
        <x:v>Direct launch without mint_id renders no media and does not invent authority. F-34: duplicate generic unavailable text lacks a no-selection explanation.</x:v>
      </x:c>
      <x:c r="G116" s="3" t="str">
        <x:v>controlled-session</x:v>
      </x:c>
      <x:c r="H116" s="3" t="str">
        <x:v>implemented-source</x:v>
      </x:c>
      <x:c r="I116" s="3" t="str">
        <x:v>Home launch; Player state</x:v>
      </x:c>
      <x:c r="J116" s="3" t="str">
        <x:v>1. Open player without selected protected item
2. Inspect locked/empty state</x:v>
      </x:c>
      <x:c r="K116" s="3" t="str">
        <x:v>No media required</x:v>
      </x:c>
      <x:c r="L116" s="3" t="str">
        <x:v>F-34</x:v>
      </x:c>
      <x:c r="M116" s="3" t="str"/>
      <x:c r="N116" s="3" t="str">
        <x:v>E-050</x:v>
      </x:c>
      <x:c r="O116" s="3" t="str">
        <x:v>S-117</x:v>
      </x:c>
      <x:c r="P116" s="3" t="str">
        <x:v>elacity-player</x:v>
      </x:c>
      <x:c r="Q116" s="3" t="str">
        <x:f>IF(OR(H116='Read Me + Evidence'!$K$6,H116='Read Me + Evidence'!$K$7,H116='Read Me + Evidence'!$K$8,P116='Read Me + Evidence'!$K$9,P116='Read Me + Evidence'!$K$10),'Read Me + Evidence'!$K$12,'Read Me + Evidence'!$K$11)</x:f>
        <x:v>GUI</x:v>
      </x:c>
      <x:c r="R116" s="14" t="n">
        <x:f>IF(AND(Q116='Read Me + Evidence'!$K$11,OR(D116='Read Me + Evidence'!$H$7,D116='Read Me + Evidence'!$H$8,D116='Read Me + Evidence'!$H$9)),1,0)</x:f>
        <x:v>1</x:v>
      </x:c>
      <x:c r="S116" s="14" t="n">
        <x:f>IF(AND(Q116='Read Me + Evidence'!$K$11,D116='Read Me + Evidence'!$H$7),1,0)</x:f>
        <x:v>0</x:v>
      </x:c>
      <x:c r="T116" s="14" t="n">
        <x:f>IF(AND(Q116='Read Me + Evidence'!$K$11,D116&lt;&gt;'Read Me + Evidence'!$H$12),1,0)</x:f>
        <x:v>1</x:v>
      </x:c>
      <x:c r="U116" s="3" t="str"/>
    </x:row>
    <x:row r="117" ht="153" customHeight="1">
      <x:c r="A117" s="3" t="str">
        <x:v>PLAYER-02</x:v>
      </x:c>
      <x:c r="B117" s="3" t="str">
        <x:v>Protected video player</x:v>
      </x:c>
      <x:c r="C117" s="3" t="str">
        <x:v>Playback controls</x:v>
      </x:c>
      <x:c r="D117" s="13" t="str">
        <x:v>Blocked prerequisite</x:v>
      </x:c>
      <x:c r="E117" s="3" t="str">
        <x:v>Player owns media presentation; Home owns chrome; typed bounded reads retain exact session binding.</x:v>
      </x:c>
      <x:c r="F117" s="12" t="str">
        <x:v>No controlled rights-bearing protected video exists; playback/seek/read binding remains unproven installed.</x:v>
      </x:c>
      <x:c r="G117" s="3" t="str">
        <x:v>controlled-protected-play</x:v>
      </x:c>
      <x:c r="H117" s="3" t="str">
        <x:v>implemented-config-gated</x:v>
      </x:c>
      <x:c r="I117" s="3" t="str">
        <x:v>Native Play/Pause; Seek; Volume/Mute; Fullscreen</x:v>
      </x:c>
      <x:c r="J117" s="3" t="str">
        <x:v>1. Play approved fixture
2. Read init and segment
3. Pause/seek/resize</x:v>
      </x:c>
      <x:c r="K117" s="3" t="str">
        <x:v>Controlled rights-bearing video</x:v>
      </x:c>
      <x:c r="L117" s="3" t="str">
        <x:v>F-10</x:v>
      </x:c>
      <x:c r="M117" s="3" t="str"/>
      <x:c r="N117" s="3" t="str">
        <x:v>E-050</x:v>
      </x:c>
      <x:c r="O117" s="3" t="str">
        <x:v>S-117</x:v>
      </x:c>
      <x:c r="P117" s="3" t="str">
        <x:v>elacity-player</x:v>
      </x:c>
      <x:c r="Q117" s="3" t="str">
        <x:f>IF(OR(H117='Read Me + Evidence'!$K$6,H117='Read Me + Evidence'!$K$7,H117='Read Me + Evidence'!$K$8,P117='Read Me + Evidence'!$K$9,P117='Read Me + Evidence'!$K$10),'Read Me + Evidence'!$K$12,'Read Me + Evidence'!$K$11)</x:f>
        <x:v>GUI</x:v>
      </x:c>
      <x:c r="R117" s="14" t="n">
        <x:f>IF(AND(Q117='Read Me + Evidence'!$K$11,OR(D117='Read Me + Evidence'!$H$7,D117='Read Me + Evidence'!$H$8,D117='Read Me + Evidence'!$H$9)),1,0)</x:f>
        <x:v>0</x:v>
      </x:c>
      <x:c r="S117" s="14" t="n">
        <x:f>IF(AND(Q117='Read Me + Evidence'!$K$11,D117='Read Me + Evidence'!$H$7),1,0)</x:f>
        <x:v>0</x:v>
      </x:c>
      <x:c r="T117" s="14" t="n">
        <x:f>IF(AND(Q117='Read Me + Evidence'!$K$11,D117&lt;&gt;'Read Me + Evidence'!$H$12),1,0)</x:f>
        <x:v>1</x:v>
      </x:c>
      <x:c r="U117" s="3" t="str"/>
    </x:row>
    <x:row r="118" ht="153" customHeight="1">
      <x:c r="A118" s="3" t="str">
        <x:v>PLAYER-03</x:v>
      </x:c>
      <x:c r="B118" s="3" t="str">
        <x:v>Protected video player</x:v>
      </x:c>
      <x:c r="C118" s="3" t="str">
        <x:v>Denied and unavailable</x:v>
      </x:c>
      <x:c r="D118" s="13" t="str">
        <x:v>Blocked prerequisite</x:v>
      </x:c>
      <x:c r="E118" s="3" t="str">
        <x:v>New open fails before custody/decrypt effect when rights or fresh availability fail.</x:v>
      </x:c>
      <x:c r="F118" s="12" t="str">
        <x:v>Controlled allowed/denied accounts and fresh availability fixtures are required.</x:v>
      </x:c>
      <x:c r="G118" s="3" t="str">
        <x:v>controlled-protected-play</x:v>
      </x:c>
      <x:c r="H118" s="3" t="str">
        <x:v>implemented-config-gated</x:v>
      </x:c>
      <x:c r="I118" s="3" t="str">
        <x:v>Error/status; Retry by new admitted launch</x:v>
      </x:c>
      <x:c r="J118" s="3" t="str">
        <x:v>1. Attempt controlled denied/unavailable item</x:v>
      </x:c>
      <x:c r="K118" s="3" t="str">
        <x:v>Dedicated allowed/denied test accounts</x:v>
      </x:c>
      <x:c r="L118" s="3" t="str"/>
      <x:c r="M118" s="3" t="str"/>
      <x:c r="N118" s="3" t="str">
        <x:v>E-050</x:v>
      </x:c>
      <x:c r="O118" s="3" t="str">
        <x:v>S-087</x:v>
      </x:c>
      <x:c r="P118" s="3" t="str">
        <x:v>elacity-player</x:v>
      </x:c>
      <x:c r="Q118" s="3" t="str">
        <x:f>IF(OR(H118='Read Me + Evidence'!$K$6,H118='Read Me + Evidence'!$K$7,H118='Read Me + Evidence'!$K$8,P118='Read Me + Evidence'!$K$9,P118='Read Me + Evidence'!$K$10),'Read Me + Evidence'!$K$12,'Read Me + Evidence'!$K$11)</x:f>
        <x:v>GUI</x:v>
      </x:c>
      <x:c r="R118" s="14" t="n">
        <x:f>IF(AND(Q118='Read Me + Evidence'!$K$11,OR(D118='Read Me + Evidence'!$H$7,D118='Read Me + Evidence'!$H$8,D118='Read Me + Evidence'!$H$9)),1,0)</x:f>
        <x:v>0</x:v>
      </x:c>
      <x:c r="S118" s="14" t="n">
        <x:f>IF(AND(Q118='Read Me + Evidence'!$K$11,D118='Read Me + Evidence'!$H$7),1,0)</x:f>
        <x:v>0</x:v>
      </x:c>
      <x:c r="T118" s="14" t="n">
        <x:f>IF(AND(Q118='Read Me + Evidence'!$K$11,D118&lt;&gt;'Read Me + Evidence'!$H$12),1,0)</x:f>
        <x:v>1</x:v>
      </x:c>
      <x:c r="U118" s="3" t="str"/>
    </x:row>
    <x:row r="119" ht="153" customHeight="1">
      <x:c r="A119" s="3" t="str">
        <x:v>PLAYER-04</x:v>
      </x:c>
      <x:c r="B119" s="3" t="str">
        <x:v>Protected video player</x:v>
      </x:c>
      <x:c r="C119" s="3" t="str">
        <x:v>Close and reopen</x:v>
      </x:c>
      <x:c r="D119" s="13" t="str">
        <x:v>Blocked prerequisite</x:v>
      </x:c>
      <x:c r="E119" s="3" t="str">
        <x:v>Runtime settles exact viewer/decrypt/release ownership; old launch/read authority cannot be reused.</x:v>
      </x:c>
      <x:c r="F119" s="12" t="str">
        <x:v>Empty app close works, but protected-session cleanup/reopen requires an approved session.</x:v>
      </x:c>
      <x:c r="G119" s="3" t="str">
        <x:v>controlled-protected-play</x:v>
      </x:c>
      <x:c r="H119" s="3" t="str">
        <x:v>implemented-config-gated</x:v>
      </x:c>
      <x:c r="I119" s="3" t="str">
        <x:v>Home Close; Reopen owned item</x:v>
      </x:c>
      <x:c r="J119" s="3" t="str">
        <x:v>1. Close approved test session
2. Reopen by fresh admitted launch</x:v>
      </x:c>
      <x:c r="K119" s="3" t="str">
        <x:v>Controlled protected session</x:v>
      </x:c>
      <x:c r="L119" s="3" t="str"/>
      <x:c r="M119" s="3" t="str"/>
      <x:c r="N119" s="3" t="str">
        <x:v>E-050</x:v>
      </x:c>
      <x:c r="O119" s="3" t="str">
        <x:v>S-118</x:v>
      </x:c>
      <x:c r="P119" s="3" t="str">
        <x:v>elacity-player</x:v>
      </x:c>
      <x:c r="Q119" s="3" t="str">
        <x:f>IF(OR(H119='Read Me + Evidence'!$K$6,H119='Read Me + Evidence'!$K$7,H119='Read Me + Evidence'!$K$8,P119='Read Me + Evidence'!$K$9,P119='Read Me + Evidence'!$K$10),'Read Me + Evidence'!$K$12,'Read Me + Evidence'!$K$11)</x:f>
        <x:v>GUI</x:v>
      </x:c>
      <x:c r="R119" s="14" t="n">
        <x:f>IF(AND(Q119='Read Me + Evidence'!$K$11,OR(D119='Read Me + Evidence'!$H$7,D119='Read Me + Evidence'!$H$8,D119='Read Me + Evidence'!$H$9)),1,0)</x:f>
        <x:v>0</x:v>
      </x:c>
      <x:c r="S119" s="14" t="n">
        <x:f>IF(AND(Q119='Read Me + Evidence'!$K$11,D119='Read Me + Evidence'!$H$7),1,0)</x:f>
        <x:v>0</x:v>
      </x:c>
      <x:c r="T119" s="14" t="n">
        <x:f>IF(AND(Q119='Read Me + Evidence'!$K$11,D119&lt;&gt;'Read Me + Evidence'!$H$12),1,0)</x:f>
        <x:v>1</x:v>
      </x:c>
      <x:c r="U119" s="3" t="str"/>
    </x:row>
    <x:row r="120" ht="153" customHeight="1">
      <x:c r="A120" s="3" t="str">
        <x:v>PLAYER-05</x:v>
      </x:c>
      <x:c r="B120" s="3" t="str">
        <x:v>Protected video player</x:v>
      </x:c>
      <x:c r="C120" s="3" t="str">
        <x:v>Restart and failure cleanup</x:v>
      </x:c>
      <x:c r="D120" s="13" t="str">
        <x:v>Blocked prerequisite</x:v>
      </x:c>
      <x:c r="E120" s="3" t="str">
        <x:v>Durable viewer lifecycle settles same session with imported listing and no creator journal; installed proof remains required.</x:v>
      </x:c>
      <x:c r="F120" s="12" t="str">
        <x:v>Active protected-session restart is a separate operator gate. This audit did not restart with such a session.</x:v>
      </x:c>
      <x:c r="G120" s="3" t="str">
        <x:v>privileged-operator</x:v>
      </x:c>
      <x:c r="H120" s="3" t="str">
        <x:v>implemented-config-gated</x:v>
      </x:c>
      <x:c r="I120" s="3" t="str">
        <x:v>Operator restart; Cleanup-pending state</x:v>
      </x:c>
      <x:c r="J120" s="3" t="str">
        <x:v>1. Plan controlled restart with active disposable viewer; do not run during live audit</x:v>
      </x:c>
      <x:c r="K120" s="3" t="str">
        <x:v>Separate operator-controlled restart gate</x:v>
      </x:c>
      <x:c r="L120" s="3" t="str"/>
      <x:c r="M120" s="3" t="str"/>
      <x:c r="N120" s="3" t="str">
        <x:v>E-050</x:v>
      </x:c>
      <x:c r="O120" s="3" t="str">
        <x:v>S-087</x:v>
      </x:c>
      <x:c r="P120" s="3" t="str">
        <x:v>elacity-player</x:v>
      </x:c>
      <x:c r="Q120" s="3" t="str">
        <x:f>IF(OR(H120='Read Me + Evidence'!$K$6,H120='Read Me + Evidence'!$K$7,H120='Read Me + Evidence'!$K$8,P120='Read Me + Evidence'!$K$9,P120='Read Me + Evidence'!$K$10),'Read Me + Evidence'!$K$12,'Read Me + Evidence'!$K$11)</x:f>
        <x:v>GUI</x:v>
      </x:c>
      <x:c r="R120" s="14" t="n">
        <x:f>IF(AND(Q120='Read Me + Evidence'!$K$11,OR(D120='Read Me + Evidence'!$H$7,D120='Read Me + Evidence'!$H$8,D120='Read Me + Evidence'!$H$9)),1,0)</x:f>
        <x:v>0</x:v>
      </x:c>
      <x:c r="S120" s="14" t="n">
        <x:f>IF(AND(Q120='Read Me + Evidence'!$K$11,D120='Read Me + Evidence'!$H$7),1,0)</x:f>
        <x:v>0</x:v>
      </x:c>
      <x:c r="T120" s="14" t="n">
        <x:f>IF(AND(Q120='Read Me + Evidence'!$K$11,D120&lt;&gt;'Read Me + Evidence'!$H$12),1,0)</x:f>
        <x:v>1</x:v>
      </x:c>
      <x:c r="U120" s="3" t="str"/>
    </x:row>
    <x:row r="121" ht="153" customHeight="1">
      <x:c r="A121" s="3" t="str">
        <x:v>WALLET-01</x:v>
      </x:c>
      <x:c r="B121" s="3" t="str">
        <x:v>Wallet</x:v>
      </x:c>
      <x:c r="C121" s="3" t="str">
        <x:v>Empty and populated overview</x:v>
      </x:c>
      <x:c r="D121" s="13" t="str">
        <x:v>Partially observed</x:v>
      </x:c>
      <x:c r="E121" s="3" t="str">
        <x:v>Balance is not invented; missing/cached price state is explicit and separate from ownership.</x:v>
      </x:c>
      <x:c r="F121" s="12" t="str">
        <x:v>Wallet shows 0 accounts and unavailable total balance rather than invented funds. Hide/Show toggles the privacy control; the original shown setting is restored. Populated assets require a test account.</x:v>
      </x:c>
      <x:c r="G121" s="3" t="str">
        <x:v>safe-read-only</x:v>
      </x:c>
      <x:c r="H121" s="3" t="str">
        <x:v>implemented-source</x:v>
      </x:c>
      <x:c r="I121" s="3" t="str">
        <x:v>Balance; Account card; Asset list; Privacy eye</x:v>
      </x:c>
      <x:c r="J121" s="3" t="str">
        <x:v>1. Inspect zero accounts/zero balance/configured assets
2. Toggle privacy</x:v>
      </x:c>
      <x:c r="K121" s="3" t="str">
        <x:v>Signed-in Home</x:v>
      </x:c>
      <x:c r="L121" s="3" t="str"/>
      <x:c r="M121" s="3" t="str"/>
      <x:c r="N121" s="3" t="str">
        <x:v>E-047</x:v>
      </x:c>
      <x:c r="O121" s="3" t="str">
        <x:v>S-119</x:v>
      </x:c>
      <x:c r="P121" s="3" t="str">
        <x:v>wallet</x:v>
      </x:c>
      <x:c r="Q121" s="3" t="str">
        <x:f>IF(OR(H121='Read Me + Evidence'!$K$6,H121='Read Me + Evidence'!$K$7,H121='Read Me + Evidence'!$K$8,P121='Read Me + Evidence'!$K$9,P121='Read Me + Evidence'!$K$10),'Read Me + Evidence'!$K$12,'Read Me + Evidence'!$K$11)</x:f>
        <x:v>GUI</x:v>
      </x:c>
      <x:c r="R121" s="14" t="n">
        <x:f>IF(AND(Q121='Read Me + Evidence'!$K$11,OR(D121='Read Me + Evidence'!$H$7,D121='Read Me + Evidence'!$H$8,D121='Read Me + Evidence'!$H$9)),1,0)</x:f>
        <x:v>1</x:v>
      </x:c>
      <x:c r="S121" s="14" t="n">
        <x:f>IF(AND(Q121='Read Me + Evidence'!$K$11,D121='Read Me + Evidence'!$H$7),1,0)</x:f>
        <x:v>0</x:v>
      </x:c>
      <x:c r="T121" s="14" t="n">
        <x:f>IF(AND(Q121='Read Me + Evidence'!$K$11,D121&lt;&gt;'Read Me + Evidence'!$H$12),1,0)</x:f>
        <x:v>1</x:v>
      </x:c>
      <x:c r="U121" s="3" t="str"/>
    </x:row>
    <x:row r="122" ht="153" customHeight="1">
      <x:c r="A122" s="3" t="str">
        <x:v>WALLET-02</x:v>
      </x:c>
      <x:c r="B122" s="3" t="str">
        <x:v>Wallet</x:v>
      </x:c>
      <x:c r="C122" s="3" t="str">
        <x:v>Currency and presentation</x:v>
      </x:c>
      <x:c r="D122" s="13" t="str">
        <x:v>Partially observed</x:v>
      </x:c>
      <x:c r="E122" s="3" t="str">
        <x:v>Conversion only uses approved available price data; absent prices stay unavailable.</x:v>
      </x:c>
      <x:c r="F122" s="12" t="str">
        <x:v>Settings exposes USD/BTC/ELA. Original BTC was visually selected; USD and ELA were exercised, then BTC restored. No price approval was granted; conversion with actual assets remains blocked.</x:v>
      </x:c>
      <x:c r="G122" s="3" t="str">
        <x:v>controlled-layout</x:v>
      </x:c>
      <x:c r="H122" s="3" t="str">
        <x:v>implemented-source</x:v>
      </x:c>
      <x:c r="I122" s="3" t="str">
        <x:v>Settings; USD/BTC/ELA; Privacy</x:v>
      </x:c>
      <x:c r="J122" s="3" t="str">
        <x:v>1. Inspect currency choices
2. Restore original setting</x:v>
      </x:c>
      <x:c r="K122" s="3" t="str">
        <x:v>Restore presentation setting</x:v>
      </x:c>
      <x:c r="L122" s="3" t="str"/>
      <x:c r="M122" s="3" t="str"/>
      <x:c r="N122" s="3" t="str">
        <x:v>E-047</x:v>
      </x:c>
      <x:c r="O122" s="3" t="str">
        <x:v>S-120</x:v>
      </x:c>
      <x:c r="P122" s="3" t="str">
        <x:v>wallet</x:v>
      </x:c>
      <x:c r="Q122" s="3" t="str">
        <x:f>IF(OR(H122='Read Me + Evidence'!$K$6,H122='Read Me + Evidence'!$K$7,H122='Read Me + Evidence'!$K$8,P122='Read Me + Evidence'!$K$9,P122='Read Me + Evidence'!$K$10),'Read Me + Evidence'!$K$12,'Read Me + Evidence'!$K$11)</x:f>
        <x:v>GUI</x:v>
      </x:c>
      <x:c r="R122" s="14" t="n">
        <x:f>IF(AND(Q122='Read Me + Evidence'!$K$11,OR(D122='Read Me + Evidence'!$H$7,D122='Read Me + Evidence'!$H$8,D122='Read Me + Evidence'!$H$9)),1,0)</x:f>
        <x:v>1</x:v>
      </x:c>
      <x:c r="S122" s="14" t="n">
        <x:f>IF(AND(Q122='Read Me + Evidence'!$K$11,D122='Read Me + Evidence'!$H$7),1,0)</x:f>
        <x:v>0</x:v>
      </x:c>
      <x:c r="T122" s="14" t="n">
        <x:f>IF(AND(Q122='Read Me + Evidence'!$K$11,D122&lt;&gt;'Read Me + Evidence'!$H$12),1,0)</x:f>
        <x:v>1</x:v>
      </x:c>
      <x:c r="U122" s="3" t="str"/>
    </x:row>
    <x:row r="123" ht="153" customHeight="1">
      <x:c r="A123" s="3" t="str">
        <x:v>WALLET-03</x:v>
      </x:c>
      <x:c r="B123" s="3" t="str">
        <x:v>Wallet</x:v>
      </x:c>
      <x:c r="C123" s="3" t="str">
        <x:v>Create EVM/Bitcoin account</x:v>
      </x:c>
      <x:c r="D123" s="13" t="str">
        <x:v>Partially observed</x:v>
      </x:c>
      <x:c r="E123" s="3" t="str">
        <x:v>Wallet owns keys/account identity and requires intended passkey consent.</x:v>
      </x:c>
      <x:c r="F123" s="12" t="str">
        <x:v>Create account presents EVM and Bitcoin. Each opens its named form and Back returns to type choice. Cancel leaves 0 accounts. Create was not pressed.</x:v>
      </x:c>
      <x:c r="G123" s="3" t="str">
        <x:v>controlled-identity</x:v>
      </x:c>
      <x:c r="H123" s="3" t="str">
        <x:v>implemented-source</x:v>
      </x:c>
      <x:c r="I123" s="3" t="str">
        <x:v>Create account; Type; Label; Create; Cancel</x:v>
      </x:c>
      <x:c r="J123" s="3" t="str">
        <x:v>1. Inspect types/form
2. Cancel; create only user-approved test account</x:v>
      </x:c>
      <x:c r="K123" s="3" t="str">
        <x:v>Explicit identity/key creation approval</x:v>
      </x:c>
      <x:c r="L123" s="3" t="str"/>
      <x:c r="M123" s="3" t="str"/>
      <x:c r="N123" s="3" t="str">
        <x:v>E-047</x:v>
      </x:c>
      <x:c r="O123" s="3" t="str">
        <x:v>S-121</x:v>
      </x:c>
      <x:c r="P123" s="3" t="str">
        <x:v>wallet</x:v>
      </x:c>
      <x:c r="Q123" s="3" t="str">
        <x:f>IF(OR(H123='Read Me + Evidence'!$K$6,H123='Read Me + Evidence'!$K$7,H123='Read Me + Evidence'!$K$8,P123='Read Me + Evidence'!$K$9,P123='Read Me + Evidence'!$K$10),'Read Me + Evidence'!$K$12,'Read Me + Evidence'!$K$11)</x:f>
        <x:v>GUI</x:v>
      </x:c>
      <x:c r="R123" s="14" t="n">
        <x:f>IF(AND(Q123='Read Me + Evidence'!$K$11,OR(D123='Read Me + Evidence'!$H$7,D123='Read Me + Evidence'!$H$8,D123='Read Me + Evidence'!$H$9)),1,0)</x:f>
        <x:v>1</x:v>
      </x:c>
      <x:c r="S123" s="14" t="n">
        <x:f>IF(AND(Q123='Read Me + Evidence'!$K$11,D123='Read Me + Evidence'!$H$7),1,0)</x:f>
        <x:v>0</x:v>
      </x:c>
      <x:c r="T123" s="14" t="n">
        <x:f>IF(AND(Q123='Read Me + Evidence'!$K$11,D123&lt;&gt;'Read Me + Evidence'!$H$12),1,0)</x:f>
        <x:v>1</x:v>
      </x:c>
      <x:c r="U123" s="3" t="str"/>
    </x:row>
    <x:row r="124" ht="153" customHeight="1">
      <x:c r="A124" s="3" t="str">
        <x:v>WALLET-04</x:v>
      </x:c>
      <x:c r="B124" s="3" t="str">
        <x:v>Wallet</x:v>
      </x:c>
      <x:c r="C124" s="3" t="str">
        <x:v>Import recovery key</x:v>
      </x:c>
      <x:c r="D124" s="13" t="str">
        <x:v>Partially observed</x:v>
      </x:c>
      <x:c r="E124" s="3" t="str">
        <x:v>Wallet validates key and account type; secrets are never captured in audit evidence.</x:v>
      </x:c>
      <x:c r="F124" s="12" t="str">
        <x:v>Import recovery key shows empty key and name fields and states fresh passkey verification is required. Cancel closes it. No key was entered or read.</x:v>
      </x:c>
      <x:c r="G124" s="3" t="str">
        <x:v>controlled-secret</x:v>
      </x:c>
      <x:c r="H124" s="3" t="str">
        <x:v>implemented-source</x:v>
      </x:c>
      <x:c r="I124" s="3" t="str">
        <x:v>Import key; Network/type; Label; Import; Cancel</x:v>
      </x:c>
      <x:c r="J124" s="3" t="str">
        <x:v>1. Inspect form only; use disposable key solely under explicit test authorization</x:v>
      </x:c>
      <x:c r="K124" s="3" t="str">
        <x:v>Disposable test key handled by user</x:v>
      </x:c>
      <x:c r="L124" s="3" t="str"/>
      <x:c r="M124" s="3" t="str"/>
      <x:c r="N124" s="3" t="str">
        <x:v>E-047</x:v>
      </x:c>
      <x:c r="O124" s="3" t="str">
        <x:v>S-122</x:v>
      </x:c>
      <x:c r="P124" s="3" t="str">
        <x:v>wallet</x:v>
      </x:c>
      <x:c r="Q124" s="3" t="str">
        <x:f>IF(OR(H124='Read Me + Evidence'!$K$6,H124='Read Me + Evidence'!$K$7,H124='Read Me + Evidence'!$K$8,P124='Read Me + Evidence'!$K$9,P124='Read Me + Evidence'!$K$10),'Read Me + Evidence'!$K$12,'Read Me + Evidence'!$K$11)</x:f>
        <x:v>GUI</x:v>
      </x:c>
      <x:c r="R124" s="14" t="n">
        <x:f>IF(AND(Q124='Read Me + Evidence'!$K$11,OR(D124='Read Me + Evidence'!$H$7,D124='Read Me + Evidence'!$H$8,D124='Read Me + Evidence'!$H$9)),1,0)</x:f>
        <x:v>1</x:v>
      </x:c>
      <x:c r="S124" s="14" t="n">
        <x:f>IF(AND(Q124='Read Me + Evidence'!$K$11,D124='Read Me + Evidence'!$H$7),1,0)</x:f>
        <x:v>0</x:v>
      </x:c>
      <x:c r="T124" s="14" t="n">
        <x:f>IF(AND(Q124='Read Me + Evidence'!$K$11,D124&lt;&gt;'Read Me + Evidence'!$H$12),1,0)</x:f>
        <x:v>1</x:v>
      </x:c>
      <x:c r="U124" s="3" t="str"/>
    </x:row>
    <x:row r="125" ht="153" customHeight="1">
      <x:c r="A125" s="3" t="str">
        <x:v>WALLET-05</x:v>
      </x:c>
      <x:c r="B125" s="3" t="str">
        <x:v>Wallet</x:v>
      </x:c>
      <x:c r="C125" s="3" t="str">
        <x:v>Account select/default</x:v>
      </x:c>
      <x:c r="D125" s="13" t="str">
        <x:v>Blocked prerequisite</x:v>
      </x:c>
      <x:c r="E125" s="3" t="str">
        <x:v>Display selection differs from Runtime-verified default; exact account record controls transaction binding.</x:v>
      </x:c>
      <x:c r="F125" s="12" t="str">
        <x:v>This installed principal has 0 accounts. Default/account selection requires a user-approved disposable account.</x:v>
      </x:c>
      <x:c r="G125" s="3" t="str">
        <x:v>controlled-wallet</x:v>
      </x:c>
      <x:c r="H125" s="3" t="str">
        <x:v>implemented-source</x:v>
      </x:c>
      <x:c r="I125" s="3" t="str">
        <x:v>Show in hero; Show default wallet; Set default; Exact account choice</x:v>
      </x:c>
      <x:c r="J125" s="3" t="str">
        <x:v>1. Inspect grouped networks
2. Select intended test account
3. Restore</x:v>
      </x:c>
      <x:c r="K125" s="3" t="str">
        <x:v>Test account; Restore choice</x:v>
      </x:c>
      <x:c r="L125" s="3" t="str"/>
      <x:c r="M125" s="3" t="str"/>
      <x:c r="N125" s="3" t="str">
        <x:v>E-047</x:v>
      </x:c>
      <x:c r="O125" s="3" t="str">
        <x:v>S-123, S-124</x:v>
      </x:c>
      <x:c r="P125" s="3" t="str">
        <x:v>wallet</x:v>
      </x:c>
      <x:c r="Q125" s="3" t="str">
        <x:f>IF(OR(H125='Read Me + Evidence'!$K$6,H125='Read Me + Evidence'!$K$7,H125='Read Me + Evidence'!$K$8,P125='Read Me + Evidence'!$K$9,P125='Read Me + Evidence'!$K$10),'Read Me + Evidence'!$K$12,'Read Me + Evidence'!$K$11)</x:f>
        <x:v>GUI</x:v>
      </x:c>
      <x:c r="R125" s="14" t="n">
        <x:f>IF(AND(Q125='Read Me + Evidence'!$K$11,OR(D125='Read Me + Evidence'!$H$7,D125='Read Me + Evidence'!$H$8,D125='Read Me + Evidence'!$H$9)),1,0)</x:f>
        <x:v>0</x:v>
      </x:c>
      <x:c r="S125" s="14" t="n">
        <x:f>IF(AND(Q125='Read Me + Evidence'!$K$11,D125='Read Me + Evidence'!$H$7),1,0)</x:f>
        <x:v>0</x:v>
      </x:c>
      <x:c r="T125" s="14" t="n">
        <x:f>IF(AND(Q125='Read Me + Evidence'!$K$11,D125&lt;&gt;'Read Me + Evidence'!$H$12),1,0)</x:f>
        <x:v>1</x:v>
      </x:c>
      <x:c r="U125" s="3" t="str"/>
    </x:row>
    <x:row r="126" ht="153" customHeight="1">
      <x:c r="A126" s="3" t="str">
        <x:v>WALLET-06</x:v>
      </x:c>
      <x:c r="B126" s="3" t="str">
        <x:v>Wallet</x:v>
      </x:c>
      <x:c r="C126" s="3" t="str">
        <x:v>Rename account</x:v>
      </x:c>
      <x:c r="D126" s="13" t="str">
        <x:v>Blocked prerequisite</x:v>
      </x:c>
      <x:c r="E126" s="3" t="str">
        <x:v>Only display label changes; address and account identity remain exact.</x:v>
      </x:c>
      <x:c r="F126" s="12" t="str">
        <x:v>No disposable account exists for label changes.</x:v>
      </x:c>
      <x:c r="G126" s="3" t="str">
        <x:v>controlled-wallet</x:v>
      </x:c>
      <x:c r="H126" s="3" t="str">
        <x:v>implemented-source</x:v>
      </x:c>
      <x:c r="I126" s="3" t="str">
        <x:v>Rename; Save; Cancel</x:v>
      </x:c>
      <x:c r="J126" s="3" t="str">
        <x:v>1. Rename disposable label
2. Cancel once
3. Restore</x:v>
      </x:c>
      <x:c r="K126" s="3" t="str">
        <x:v>Disposable account label</x:v>
      </x:c>
      <x:c r="L126" s="3" t="str"/>
      <x:c r="M126" s="3" t="str"/>
      <x:c r="N126" s="3" t="str">
        <x:v>E-047</x:v>
      </x:c>
      <x:c r="O126" s="3" t="str">
        <x:v>S-125</x:v>
      </x:c>
      <x:c r="P126" s="3" t="str">
        <x:v>wallet</x:v>
      </x:c>
      <x:c r="Q126" s="3" t="str">
        <x:f>IF(OR(H126='Read Me + Evidence'!$K$6,H126='Read Me + Evidence'!$K$7,H126='Read Me + Evidence'!$K$8,P126='Read Me + Evidence'!$K$9,P126='Read Me + Evidence'!$K$10),'Read Me + Evidence'!$K$12,'Read Me + Evidence'!$K$11)</x:f>
        <x:v>GUI</x:v>
      </x:c>
      <x:c r="R126" s="14" t="n">
        <x:f>IF(AND(Q126='Read Me + Evidence'!$K$11,OR(D126='Read Me + Evidence'!$H$7,D126='Read Me + Evidence'!$H$8,D126='Read Me + Evidence'!$H$9)),1,0)</x:f>
        <x:v>0</x:v>
      </x:c>
      <x:c r="S126" s="14" t="n">
        <x:f>IF(AND(Q126='Read Me + Evidence'!$K$11,D126='Read Me + Evidence'!$H$7),1,0)</x:f>
        <x:v>0</x:v>
      </x:c>
      <x:c r="T126" s="14" t="n">
        <x:f>IF(AND(Q126='Read Me + Evidence'!$K$11,D126&lt;&gt;'Read Me + Evidence'!$H$12),1,0)</x:f>
        <x:v>1</x:v>
      </x:c>
      <x:c r="U126" s="3" t="str"/>
    </x:row>
    <x:row r="127" ht="153" customHeight="1">
      <x:c r="A127" s="3" t="str">
        <x:v>WALLET-07</x:v>
      </x:c>
      <x:c r="B127" s="3" t="str">
        <x:v>Wallet</x:v>
      </x:c>
      <x:c r="C127" s="3" t="str">
        <x:v>Receive</x:v>
      </x:c>
      <x:c r="D127" s="13" t="str">
        <x:v>Blocked prerequisite</x:v>
      </x:c>
      <x:c r="E127" s="3" t="str">
        <x:v>Address, chain and network agree; receive UI does not claim funds arrived.</x:v>
      </x:c>
      <x:c r="F127" s="12" t="str">
        <x:v>No approved public test address is available. No clipboard access occurred.</x:v>
      </x:c>
      <x:c r="G127" s="3" t="str">
        <x:v>controlled-clipboard</x:v>
      </x:c>
      <x:c r="H127" s="3" t="str">
        <x:v>implemented-source</x:v>
      </x:c>
      <x:c r="I127" s="3" t="str">
        <x:v>Receive; Account choice; QR; Copy address</x:v>
      </x:c>
      <x:c r="J127" s="3" t="str">
        <x:v>1. Inspect known test address/QR
2. Copy harmless public address with consent</x:v>
      </x:c>
      <x:c r="K127" s="3" t="str">
        <x:v>Public test account</x:v>
      </x:c>
      <x:c r="L127" s="3" t="str"/>
      <x:c r="M127" s="3" t="str"/>
      <x:c r="N127" s="3" t="str">
        <x:v>E-047</x:v>
      </x:c>
      <x:c r="O127" s="3" t="str">
        <x:v>S-126</x:v>
      </x:c>
      <x:c r="P127" s="3" t="str">
        <x:v>wallet</x:v>
      </x:c>
      <x:c r="Q127" s="3" t="str">
        <x:f>IF(OR(H127='Read Me + Evidence'!$K$6,H127='Read Me + Evidence'!$K$7,H127='Read Me + Evidence'!$K$8,P127='Read Me + Evidence'!$K$9,P127='Read Me + Evidence'!$K$10),'Read Me + Evidence'!$K$12,'Read Me + Evidence'!$K$11)</x:f>
        <x:v>GUI</x:v>
      </x:c>
      <x:c r="R127" s="14" t="n">
        <x:f>IF(AND(Q127='Read Me + Evidence'!$K$11,OR(D127='Read Me + Evidence'!$H$7,D127='Read Me + Evidence'!$H$8,D127='Read Me + Evidence'!$H$9)),1,0)</x:f>
        <x:v>0</x:v>
      </x:c>
      <x:c r="S127" s="14" t="n">
        <x:f>IF(AND(Q127='Read Me + Evidence'!$K$11,D127='Read Me + Evidence'!$H$7),1,0)</x:f>
        <x:v>0</x:v>
      </x:c>
      <x:c r="T127" s="14" t="n">
        <x:f>IF(AND(Q127='Read Me + Evidence'!$K$11,D127&lt;&gt;'Read Me + Evidence'!$H$12),1,0)</x:f>
        <x:v>1</x:v>
      </x:c>
      <x:c r="U127" s="3" t="str"/>
    </x:row>
    <x:row r="128" ht="153" customHeight="1">
      <x:c r="A128" s="3" t="str">
        <x:v>WALLET-08</x:v>
      </x:c>
      <x:c r="B128" s="3" t="str">
        <x:v>Wallet</x:v>
      </x:c>
      <x:c r="C128" s="3" t="str">
        <x:v>Send admission</x:v>
      </x:c>
      <x:c r="D128" s="13" t="str">
        <x:v>Partially observed</x:v>
      </x:c>
      <x:c r="E128" s="3" t="str">
        <x:v>UI explains unavailable signing paths. Current built-in send path is passkey-managed EVM, not every displayed account type.</x:v>
      </x:c>
      <x:c r="F128" s="12" t="str">
        <x:v>Zero-account overview offers Create or Connect and no active Send control. Watch-only and unsupported-account branches need test accounts.</x:v>
      </x:c>
      <x:c r="G128" s="3" t="str">
        <x:v>safe-read-only</x:v>
      </x:c>
      <x:c r="H128" s="3" t="str">
        <x:v>implemented-source</x:v>
      </x:c>
      <x:c r="I128" s="3" t="str">
        <x:v>Send; Choose account; Choose asset</x:v>
      </x:c>
      <x:c r="J128" s="3" t="str">
        <x:v>1. Open Send with empty/watch-only/unsupported/valid account</x:v>
      </x:c>
      <x:c r="K128" s="3" t="str">
        <x:v>Inspect only; no funds effect</x:v>
      </x:c>
      <x:c r="L128" s="3" t="str"/>
      <x:c r="M128" s="3" t="str"/>
      <x:c r="N128" s="3" t="str">
        <x:v>E-047</x:v>
      </x:c>
      <x:c r="O128" s="3" t="str">
        <x:v>S-127, S-128</x:v>
      </x:c>
      <x:c r="P128" s="3" t="str">
        <x:v>wallet</x:v>
      </x:c>
      <x:c r="Q128" s="3" t="str">
        <x:f>IF(OR(H128='Read Me + Evidence'!$K$6,H128='Read Me + Evidence'!$K$7,H128='Read Me + Evidence'!$K$8,P128='Read Me + Evidence'!$K$9,P128='Read Me + Evidence'!$K$10),'Read Me + Evidence'!$K$12,'Read Me + Evidence'!$K$11)</x:f>
        <x:v>GUI</x:v>
      </x:c>
      <x:c r="R128" s="14" t="n">
        <x:f>IF(AND(Q128='Read Me + Evidence'!$K$11,OR(D128='Read Me + Evidence'!$H$7,D128='Read Me + Evidence'!$H$8,D128='Read Me + Evidence'!$H$9)),1,0)</x:f>
        <x:v>1</x:v>
      </x:c>
      <x:c r="S128" s="14" t="n">
        <x:f>IF(AND(Q128='Read Me + Evidence'!$K$11,D128='Read Me + Evidence'!$H$7),1,0)</x:f>
        <x:v>0</x:v>
      </x:c>
      <x:c r="T128" s="14" t="n">
        <x:f>IF(AND(Q128='Read Me + Evidence'!$K$11,D128&lt;&gt;'Read Me + Evidence'!$H$12),1,0)</x:f>
        <x:v>1</x:v>
      </x:c>
      <x:c r="U128" s="3" t="str"/>
    </x:row>
    <x:row r="129" ht="153" customHeight="1">
      <x:c r="A129" s="3" t="str">
        <x:v>WALLET-09</x:v>
      </x:c>
      <x:c r="B129" s="3" t="str">
        <x:v>Wallet</x:v>
      </x:c>
      <x:c r="C129" s="3" t="str">
        <x:v>Send form and review</x:v>
      </x:c>
      <x:c r="D129" s="13" t="str">
        <x:v>Blocked prerequisite</x:v>
      </x:c>
      <x:c r="E129" s="3" t="str">
        <x:v>Exact account/network/asset/recipient/amount and fees stay visible; Runtime/Wallet own effect.</x:v>
      </x:c>
      <x:c r="F129" s="12" t="str">
        <x:v>No test account or explicit transfer review authority is available.</x:v>
      </x:c>
      <x:c r="G129" s="3" t="str">
        <x:v>controlled-financial</x:v>
      </x:c>
      <x:c r="H129" s="3" t="str">
        <x:v>implemented-source</x:v>
      </x:c>
      <x:c r="I129" s="3" t="str">
        <x:v>Recipient; Amount; Review; Back; Cancel; Confirm</x:v>
      </x:c>
      <x:c r="J129" s="3" t="str">
        <x:v>1. Inspect invalid address/amount
2. Review approved test transfer
3. Cancel by default</x:v>
      </x:c>
      <x:c r="K129" s="3" t="str">
        <x:v>Explicit financial approval for dispatch</x:v>
      </x:c>
      <x:c r="L129" s="3" t="str"/>
      <x:c r="M129" s="3" t="str"/>
      <x:c r="N129" s="3" t="str">
        <x:v>E-047</x:v>
      </x:c>
      <x:c r="O129" s="3" t="str">
        <x:v>S-129</x:v>
      </x:c>
      <x:c r="P129" s="3" t="str">
        <x:v>wallet</x:v>
      </x:c>
      <x:c r="Q129" s="3" t="str">
        <x:f>IF(OR(H129='Read Me + Evidence'!$K$6,H129='Read Me + Evidence'!$K$7,H129='Read Me + Evidence'!$K$8,P129='Read Me + Evidence'!$K$9,P129='Read Me + Evidence'!$K$10),'Read Me + Evidence'!$K$12,'Read Me + Evidence'!$K$11)</x:f>
        <x:v>GUI</x:v>
      </x:c>
      <x:c r="R129" s="14" t="n">
        <x:f>IF(AND(Q129='Read Me + Evidence'!$K$11,OR(D129='Read Me + Evidence'!$H$7,D129='Read Me + Evidence'!$H$8,D129='Read Me + Evidence'!$H$9)),1,0)</x:f>
        <x:v>0</x:v>
      </x:c>
      <x:c r="S129" s="14" t="n">
        <x:f>IF(AND(Q129='Read Me + Evidence'!$K$11,D129='Read Me + Evidence'!$H$7),1,0)</x:f>
        <x:v>0</x:v>
      </x:c>
      <x:c r="T129" s="14" t="n">
        <x:f>IF(AND(Q129='Read Me + Evidence'!$K$11,D129&lt;&gt;'Read Me + Evidence'!$H$12),1,0)</x:f>
        <x:v>1</x:v>
      </x:c>
      <x:c r="U129" s="3" t="str"/>
    </x:row>
    <x:row r="130" ht="153" customHeight="1">
      <x:c r="A130" s="3" t="str">
        <x:v>WALLET-10</x:v>
      </x:c>
      <x:c r="B130" s="3" t="str">
        <x:v>Wallet</x:v>
      </x:c>
      <x:c r="C130" s="3" t="str">
        <x:v>Sign/send result and replay</x:v>
      </x:c>
      <x:c r="D130" s="13" t="str">
        <x:v>Blocked prerequisite</x:v>
      </x:c>
      <x:c r="E130" s="3" t="str">
        <x:v>One exact transaction effect and broadcast; cancellation and failure are honest.</x:v>
      </x:c>
      <x:c r="F130" s="12" t="str">
        <x:v>A funded disposable account and approved recipient/amount are required. No signing or transfer occurred.</x:v>
      </x:c>
      <x:c r="G130" s="3" t="str">
        <x:v>controlled-financial</x:v>
      </x:c>
      <x:c r="H130" s="3" t="str">
        <x:v>implemented-source</x:v>
      </x:c>
      <x:c r="I130" s="3" t="str">
        <x:v>Confirm passkey; Pending/completed/error</x:v>
      </x:c>
      <x:c r="J130" s="3" t="str">
        <x:v>1. Perform separately approved bounded transfer
2. Inspect pending/failure/resume</x:v>
      </x:c>
      <x:c r="K130" s="3" t="str">
        <x:v>Funded disposable account; Approved recipient/amount</x:v>
      </x:c>
      <x:c r="L130" s="3" t="str"/>
      <x:c r="M130" s="3" t="str"/>
      <x:c r="N130" s="3" t="str">
        <x:v>E-047</x:v>
      </x:c>
      <x:c r="O130" s="3" t="str">
        <x:v>S-130</x:v>
      </x:c>
      <x:c r="P130" s="3" t="str">
        <x:v>wallet</x:v>
      </x:c>
      <x:c r="Q130" s="3" t="str">
        <x:f>IF(OR(H130='Read Me + Evidence'!$K$6,H130='Read Me + Evidence'!$K$7,H130='Read Me + Evidence'!$K$8,P130='Read Me + Evidence'!$K$9,P130='Read Me + Evidence'!$K$10),'Read Me + Evidence'!$K$12,'Read Me + Evidence'!$K$11)</x:f>
        <x:v>GUI</x:v>
      </x:c>
      <x:c r="R130" s="14" t="n">
        <x:f>IF(AND(Q130='Read Me + Evidence'!$K$11,OR(D130='Read Me + Evidence'!$H$7,D130='Read Me + Evidence'!$H$8,D130='Read Me + Evidence'!$H$9)),1,0)</x:f>
        <x:v>0</x:v>
      </x:c>
      <x:c r="S130" s="14" t="n">
        <x:f>IF(AND(Q130='Read Me + Evidence'!$K$11,D130='Read Me + Evidence'!$H$7),1,0)</x:f>
        <x:v>0</x:v>
      </x:c>
      <x:c r="T130" s="14" t="n">
        <x:f>IF(AND(Q130='Read Me + Evidence'!$K$11,D130&lt;&gt;'Read Me + Evidence'!$H$12),1,0)</x:f>
        <x:v>1</x:v>
      </x:c>
      <x:c r="U130" s="3" t="str"/>
    </x:row>
    <x:row r="131" ht="153" customHeight="1">
      <x:c r="A131" s="3" t="str">
        <x:v>WALLET-11</x:v>
      </x:c>
      <x:c r="B131" s="3" t="str">
        <x:v>Wallet</x:v>
      </x:c>
      <x:c r="C131" s="3" t="str">
        <x:v>Activity</x:v>
      </x:c>
      <x:c r="D131" s="13" t="str">
        <x:v>Partially observed</x:v>
      </x:c>
      <x:c r="E131" s="3" t="str">
        <x:v>Displayed record is Runtime-derived; empty/cached/rejected/completed states differ.</x:v>
      </x:c>
      <x:c r="F131" s="12" t="str">
        <x:v>Activity opens and states No wallet activity yet. Populated pending/rejected/completed records require controlled requests.</x:v>
      </x:c>
      <x:c r="G131" s="3" t="str">
        <x:v>safe-read-only</x:v>
      </x:c>
      <x:c r="H131" s="3" t="str">
        <x:v>implemented-source</x:v>
      </x:c>
      <x:c r="I131" s="3" t="str">
        <x:v>Activity; Pending request badge</x:v>
      </x:c>
      <x:c r="J131" s="3" t="str">
        <x:v>1. Inspect test transaction history and pending request</x:v>
      </x:c>
      <x:c r="K131" s="3" t="str">
        <x:v>Signed-in Home</x:v>
      </x:c>
      <x:c r="L131" s="3" t="str"/>
      <x:c r="M131" s="3" t="str"/>
      <x:c r="N131" s="3" t="str">
        <x:v>E-047</x:v>
      </x:c>
      <x:c r="O131" s="3" t="str">
        <x:v>S-131</x:v>
      </x:c>
      <x:c r="P131" s="3" t="str">
        <x:v>wallet</x:v>
      </x:c>
      <x:c r="Q131" s="3" t="str">
        <x:f>IF(OR(H131='Read Me + Evidence'!$K$6,H131='Read Me + Evidence'!$K$7,H131='Read Me + Evidence'!$K$8,P131='Read Me + Evidence'!$K$9,P131='Read Me + Evidence'!$K$10),'Read Me + Evidence'!$K$12,'Read Me + Evidence'!$K$11)</x:f>
        <x:v>GUI</x:v>
      </x:c>
      <x:c r="R131" s="14" t="n">
        <x:f>IF(AND(Q131='Read Me + Evidence'!$K$11,OR(D131='Read Me + Evidence'!$H$7,D131='Read Me + Evidence'!$H$8,D131='Read Me + Evidence'!$H$9)),1,0)</x:f>
        <x:v>1</x:v>
      </x:c>
      <x:c r="S131" s="14" t="n">
        <x:f>IF(AND(Q131='Read Me + Evidence'!$K$11,D131='Read Me + Evidence'!$H$7),1,0)</x:f>
        <x:v>0</x:v>
      </x:c>
      <x:c r="T131" s="14" t="n">
        <x:f>IF(AND(Q131='Read Me + Evidence'!$K$11,D131&lt;&gt;'Read Me + Evidence'!$H$12),1,0)</x:f>
        <x:v>1</x:v>
      </x:c>
      <x:c r="U131" s="3" t="str"/>
    </x:row>
    <x:row r="132" ht="153" customHeight="1">
      <x:c r="A132" s="3" t="str">
        <x:v>WALLET-12</x:v>
      </x:c>
      <x:c r="B132" s="3" t="str">
        <x:v>Wallet</x:v>
      </x:c>
      <x:c r="C132" s="3" t="str">
        <x:v>Approval review</x:v>
      </x:c>
      <x:c r="D132" s="13" t="str">
        <x:v>Blocked prerequisite</x:v>
      </x:c>
      <x:c r="E132" s="3" t="str">
        <x:v>Wallet/Inbox own trusted consent; passkey signs exact request, not arbitrary capsule data.</x:v>
      </x:c>
      <x:c r="F132" s="12" t="str">
        <x:v>No controlled Wallet approval request exists; the pre-existing network-price request remains in Inbox.</x:v>
      </x:c>
      <x:c r="G132" s="3" t="str">
        <x:v>controlled-permission</x:v>
      </x:c>
      <x:c r="H132" s="3" t="str">
        <x:v>implemented-source</x:v>
      </x:c>
      <x:c r="I132" s="3" t="str">
        <x:v>Allow/Approve; Exact account access; Reject</x:v>
      </x:c>
      <x:c r="J132" s="3" t="str">
        <x:v>1. Inspect controlled request account/origin/scope
2. Reject or explicit approval</x:v>
      </x:c>
      <x:c r="K132" s="3" t="str">
        <x:v>Controlled request</x:v>
      </x:c>
      <x:c r="L132" s="3" t="str"/>
      <x:c r="M132" s="3" t="str"/>
      <x:c r="N132" s="3" t="str">
        <x:v>E-047</x:v>
      </x:c>
      <x:c r="O132" s="3" t="str">
        <x:v>S-132</x:v>
      </x:c>
      <x:c r="P132" s="3" t="str">
        <x:v>wallet</x:v>
      </x:c>
      <x:c r="Q132" s="3" t="str">
        <x:f>IF(OR(H132='Read Me + Evidence'!$K$6,H132='Read Me + Evidence'!$K$7,H132='Read Me + Evidence'!$K$8,P132='Read Me + Evidence'!$K$9,P132='Read Me + Evidence'!$K$10),'Read Me + Evidence'!$K$12,'Read Me + Evidence'!$K$11)</x:f>
        <x:v>GUI</x:v>
      </x:c>
      <x:c r="R132" s="14" t="n">
        <x:f>IF(AND(Q132='Read Me + Evidence'!$K$11,OR(D132='Read Me + Evidence'!$H$7,D132='Read Me + Evidence'!$H$8,D132='Read Me + Evidence'!$H$9)),1,0)</x:f>
        <x:v>0</x:v>
      </x:c>
      <x:c r="S132" s="14" t="n">
        <x:f>IF(AND(Q132='Read Me + Evidence'!$K$11,D132='Read Me + Evidence'!$H$7),1,0)</x:f>
        <x:v>0</x:v>
      </x:c>
      <x:c r="T132" s="14" t="n">
        <x:f>IF(AND(Q132='Read Me + Evidence'!$K$11,D132&lt;&gt;'Read Me + Evidence'!$H$12),1,0)</x:f>
        <x:v>1</x:v>
      </x:c>
      <x:c r="U132" s="3" t="str"/>
    </x:row>
    <x:row r="133" ht="153" customHeight="1">
      <x:c r="A133" s="3" t="str">
        <x:v>WALLET-13</x:v>
      </x:c>
      <x:c r="B133" s="3" t="str">
        <x:v>Wallet</x:v>
      </x:c>
      <x:c r="C133" s="3" t="str">
        <x:v>Connect approval method</x:v>
      </x:c>
      <x:c r="D133" s="13" t="str">
        <x:v>Partially observed</x:v>
      </x:c>
      <x:c r="E133" s="3" t="str">
        <x:v>One Runtime connector path selects methods; connector UI does not own signing authority.</x:v>
      </x:c>
      <x:c r="F133" s="12" t="str">
        <x:v>Connect a wallet leads to the signer section. MetaMask opens its Home-owned connector window, showing 0 linked and no approval requests. External Connect wallet remains untouched.</x:v>
      </x:c>
      <x:c r="G133" s="3" t="str">
        <x:v>controlled-wallet</x:v>
      </x:c>
      <x:c r="H133" s="3" t="str">
        <x:v>implemented-source</x:v>
      </x:c>
      <x:c r="I133" s="3" t="str">
        <x:v>Connect; MetaMask; UniSat; WalletConnect</x:v>
      </x:c>
      <x:c r="J133" s="3" t="str">
        <x:v>1. Inspect available methods
2. Open connector
3. Cancel before external access</x:v>
      </x:c>
      <x:c r="K133" s="3" t="str">
        <x:v>User-operated extension/external wallet</x:v>
      </x:c>
      <x:c r="L133" s="3" t="str"/>
      <x:c r="M133" s="3" t="str"/>
      <x:c r="N133" s="3" t="str">
        <x:v>E-047</x:v>
      </x:c>
      <x:c r="O133" s="3" t="str">
        <x:v>S-120</x:v>
      </x:c>
      <x:c r="P133" s="3" t="str">
        <x:v>wallet</x:v>
      </x:c>
      <x:c r="Q133" s="3" t="str">
        <x:f>IF(OR(H133='Read Me + Evidence'!$K$6,H133='Read Me + Evidence'!$K$7,H133='Read Me + Evidence'!$K$8,P133='Read Me + Evidence'!$K$9,P133='Read Me + Evidence'!$K$10),'Read Me + Evidence'!$K$12,'Read Me + Evidence'!$K$11)</x:f>
        <x:v>GUI</x:v>
      </x:c>
      <x:c r="R133" s="14" t="n">
        <x:f>IF(AND(Q133='Read Me + Evidence'!$K$11,OR(D133='Read Me + Evidence'!$H$7,D133='Read Me + Evidence'!$H$8,D133='Read Me + Evidence'!$H$9)),1,0)</x:f>
        <x:v>1</x:v>
      </x:c>
      <x:c r="S133" s="14" t="n">
        <x:f>IF(AND(Q133='Read Me + Evidence'!$K$11,D133='Read Me + Evidence'!$H$7),1,0)</x:f>
        <x:v>0</x:v>
      </x:c>
      <x:c r="T133" s="14" t="n">
        <x:f>IF(AND(Q133='Read Me + Evidence'!$K$11,D133&lt;&gt;'Read Me + Evidence'!$H$12),1,0)</x:f>
        <x:v>1</x:v>
      </x:c>
      <x:c r="U133" s="3" t="str"/>
    </x:row>
    <x:row r="134" ht="153" customHeight="1">
      <x:c r="A134" s="3" t="str">
        <x:v>WALLET-14</x:v>
      </x:c>
      <x:c r="B134" s="3" t="str">
        <x:v>Wallet</x:v>
      </x:c>
      <x:c r="C134" s="3" t="str">
        <x:v>Show/copy recovery key</x:v>
      </x:c>
      <x:c r="D134" s="13" t="str">
        <x:v>Blocked prerequisite</x:v>
      </x:c>
      <x:c r="E134" s="3" t="str">
        <x:v>Runtime step-up protects disclosure. Any actual key-export test uses disposable account with redacted evidence.</x:v>
      </x:c>
      <x:c r="F134" s="12" t="str">
        <x:v>No disposable account exists and secret disclosure is outside this audit authority. No recovery material was displayed.</x:v>
      </x:c>
      <x:c r="G134" s="3" t="str">
        <x:v>controlled-secret</x:v>
      </x:c>
      <x:c r="H134" s="3" t="str">
        <x:v>implemented-source</x:v>
      </x:c>
      <x:c r="I134" s="3" t="str">
        <x:v>Show recovery key; Passkey; Copy key</x:v>
      </x:c>
      <x:c r="J134" s="3" t="str">
        <x:v>1. Inspect consent boundary only; stop before displaying real secret</x:v>
      </x:c>
      <x:c r="K134" s="3" t="str">
        <x:v>Explicit secret-disclosure approval</x:v>
      </x:c>
      <x:c r="L134" s="3" t="str"/>
      <x:c r="M134" s="3" t="str"/>
      <x:c r="N134" s="3" t="str">
        <x:v>E-047</x:v>
      </x:c>
      <x:c r="O134" s="3" t="str">
        <x:v>S-133</x:v>
      </x:c>
      <x:c r="P134" s="3" t="str">
        <x:v>wallet</x:v>
      </x:c>
      <x:c r="Q134" s="3" t="str">
        <x:f>IF(OR(H134='Read Me + Evidence'!$K$6,H134='Read Me + Evidence'!$K$7,H134='Read Me + Evidence'!$K$8,P134='Read Me + Evidence'!$K$9,P134='Read Me + Evidence'!$K$10),'Read Me + Evidence'!$K$12,'Read Me + Evidence'!$K$11)</x:f>
        <x:v>GUI</x:v>
      </x:c>
      <x:c r="R134" s="14" t="n">
        <x:f>IF(AND(Q134='Read Me + Evidence'!$K$11,OR(D134='Read Me + Evidence'!$H$7,D134='Read Me + Evidence'!$H$8,D134='Read Me + Evidence'!$H$9)),1,0)</x:f>
        <x:v>0</x:v>
      </x:c>
      <x:c r="S134" s="14" t="n">
        <x:f>IF(AND(Q134='Read Me + Evidence'!$K$11,D134='Read Me + Evidence'!$H$7),1,0)</x:f>
        <x:v>0</x:v>
      </x:c>
      <x:c r="T134" s="14" t="n">
        <x:f>IF(AND(Q134='Read Me + Evidence'!$K$11,D134&lt;&gt;'Read Me + Evidence'!$H$12),1,0)</x:f>
        <x:v>1</x:v>
      </x:c>
      <x:c r="U134" s="3" t="str"/>
    </x:row>
    <x:row r="135" ht="153" customHeight="1">
      <x:c r="A135" s="3" t="str">
        <x:v>WALLET-15</x:v>
      </x:c>
      <x:c r="B135" s="3" t="str">
        <x:v>Wallet</x:v>
      </x:c>
      <x:c r="C135" s="3" t="str">
        <x:v>Delete account</x:v>
      </x:c>
      <x:c r="D135" s="13" t="str">
        <x:v>Blocked prerequisite</x:v>
      </x:c>
      <x:c r="E135" s="3" t="str">
        <x:v>Removal is explicit; recovery implications are clear and unrelated accounts remain intact.</x:v>
      </x:c>
      <x:c r="F135" s="12" t="str">
        <x:v>No disposable account exists. Account deletion was not attempted.</x:v>
      </x:c>
      <x:c r="G135" s="3" t="str">
        <x:v>destructive-controlled</x:v>
      </x:c>
      <x:c r="H135" s="3" t="str">
        <x:v>implemented-source</x:v>
      </x:c>
      <x:c r="I135" s="3" t="str">
        <x:v>Delete account; Cancel; Delete</x:v>
      </x:c>
      <x:c r="J135" s="3" t="str">
        <x:v>1. Preview confirmation on disposable account
2. Cancel by default</x:v>
      </x:c>
      <x:c r="K135" s="3" t="str">
        <x:v>Disposable recoverable account</x:v>
      </x:c>
      <x:c r="L135" s="3" t="str"/>
      <x:c r="M135" s="3" t="str"/>
      <x:c r="N135" s="3" t="str">
        <x:v>E-047</x:v>
      </x:c>
      <x:c r="O135" s="3" t="str">
        <x:v>S-134</x:v>
      </x:c>
      <x:c r="P135" s="3" t="str">
        <x:v>wallet</x:v>
      </x:c>
      <x:c r="Q135" s="3" t="str">
        <x:f>IF(OR(H135='Read Me + Evidence'!$K$6,H135='Read Me + Evidence'!$K$7,H135='Read Me + Evidence'!$K$8,P135='Read Me + Evidence'!$K$9,P135='Read Me + Evidence'!$K$10),'Read Me + Evidence'!$K$12,'Read Me + Evidence'!$K$11)</x:f>
        <x:v>GUI</x:v>
      </x:c>
      <x:c r="R135" s="14" t="n">
        <x:f>IF(AND(Q135='Read Me + Evidence'!$K$11,OR(D135='Read Me + Evidence'!$H$7,D135='Read Me + Evidence'!$H$8,D135='Read Me + Evidence'!$H$9)),1,0)</x:f>
        <x:v>0</x:v>
      </x:c>
      <x:c r="S135" s="14" t="n">
        <x:f>IF(AND(Q135='Read Me + Evidence'!$K$11,D135='Read Me + Evidence'!$H$7),1,0)</x:f>
        <x:v>0</x:v>
      </x:c>
      <x:c r="T135" s="14" t="n">
        <x:f>IF(AND(Q135='Read Me + Evidence'!$K$11,D135&lt;&gt;'Read Me + Evidence'!$H$12),1,0)</x:f>
        <x:v>1</x:v>
      </x:c>
      <x:c r="U135" s="3" t="str"/>
    </x:row>
    <x:row r="136" ht="153" customHeight="1">
      <x:c r="A136" s="3" t="str">
        <x:v>MM-01</x:v>
      </x:c>
      <x:c r="B136" s="3" t="str">
        <x:v>MetaMask connector</x:v>
      </x:c>
      <x:c r="C136" s="3" t="str">
        <x:v>Availability and connect</x:v>
      </x:c>
      <x:c r="D136" s="13" t="str">
        <x:v>Partially observed</x:v>
      </x:c>
      <x:c r="E136" s="3" t="str">
        <x:v>Connector explains unavailable prerequisite and submits typed Runtime request; no silent substitute method.</x:v>
      </x:c>
      <x:c r="F136" s="12" t="str">
        <x:v>MetaMask preview opens with Connect wallet, 0 linked accounts and no approval requests. Closed without requesting external account access.</x:v>
      </x:c>
      <x:c r="G136" s="3" t="str">
        <x:v>controlled-wallet</x:v>
      </x:c>
      <x:c r="H136" s="3" t="str">
        <x:v>implemented-config-gated</x:v>
      </x:c>
      <x:c r="I136" s="3" t="str">
        <x:v>Connect; Status</x:v>
      </x:c>
      <x:c r="J136" s="3" t="str">
        <x:v>1. Open connector
2. Inspect missing/locked/configured branch
3. Cancel access</x:v>
      </x:c>
      <x:c r="K136" s="3" t="str">
        <x:v>Installed supported test extension</x:v>
      </x:c>
      <x:c r="L136" s="3" t="str"/>
      <x:c r="M136" s="3" t="str"/>
      <x:c r="N136" s="3" t="str">
        <x:v>E-047</x:v>
      </x:c>
      <x:c r="O136" s="3" t="str">
        <x:v>S-135</x:v>
      </x:c>
      <x:c r="P136" s="3" t="str">
        <x:v>wallet-metamask</x:v>
      </x:c>
      <x:c r="Q136" s="3" t="str">
        <x:f>IF(OR(H136='Read Me + Evidence'!$K$6,H136='Read Me + Evidence'!$K$7,H136='Read Me + Evidence'!$K$8,P136='Read Me + Evidence'!$K$9,P136='Read Me + Evidence'!$K$10),'Read Me + Evidence'!$K$12,'Read Me + Evidence'!$K$11)</x:f>
        <x:v>GUI</x:v>
      </x:c>
      <x:c r="R136" s="14" t="n">
        <x:f>IF(AND(Q136='Read Me + Evidence'!$K$11,OR(D136='Read Me + Evidence'!$H$7,D136='Read Me + Evidence'!$H$8,D136='Read Me + Evidence'!$H$9)),1,0)</x:f>
        <x:v>1</x:v>
      </x:c>
      <x:c r="S136" s="14" t="n">
        <x:f>IF(AND(Q136='Read Me + Evidence'!$K$11,D136='Read Me + Evidence'!$H$7),1,0)</x:f>
        <x:v>0</x:v>
      </x:c>
      <x:c r="T136" s="14" t="n">
        <x:f>IF(AND(Q136='Read Me + Evidence'!$K$11,D136&lt;&gt;'Read Me + Evidence'!$H$12),1,0)</x:f>
        <x:v>1</x:v>
      </x:c>
      <x:c r="U136" s="3" t="str"/>
    </x:row>
    <x:row r="137" ht="153" customHeight="1">
      <x:c r="A137" s="3" t="str">
        <x:v>MM-02</x:v>
      </x:c>
      <x:c r="B137" s="3" t="str">
        <x:v>MetaMask connector</x:v>
      </x:c>
      <x:c r="C137" s="3" t="str">
        <x:v>Exact approval handoff</x:v>
      </x:c>
      <x:c r="D137" s="13" t="str">
        <x:v>Blocked prerequisite</x:v>
      </x:c>
      <x:c r="E137" s="3" t="str">
        <x:v>Home/Inbox/Wallet remain trusted approval owner; exact account/chain/request binding is preserved.</x:v>
      </x:c>
      <x:c r="F137" s="12" t="str">
        <x:v>Needs a controlled external-wallet request and user-operated test account.</x:v>
      </x:c>
      <x:c r="G137" s="3" t="str">
        <x:v>controlled-permission</x:v>
      </x:c>
      <x:c r="H137" s="3" t="str">
        <x:v>implemented-config-gated</x:v>
      </x:c>
      <x:c r="I137" s="3" t="str">
        <x:v>Request review; Account/network; Cancel/reject</x:v>
      </x:c>
      <x:c r="J137" s="3" t="str">
        <x:v>1. Use controlled Wallet request
2. Inspect external prompt
3. Reject once</x:v>
      </x:c>
      <x:c r="K137" s="3" t="str">
        <x:v>Controlled connector request</x:v>
      </x:c>
      <x:c r="L137" s="3" t="str"/>
      <x:c r="M137" s="3" t="str"/>
      <x:c r="N137" s="3" t="str">
        <x:v>E-047</x:v>
      </x:c>
      <x:c r="O137" s="3" t="str">
        <x:v>S-135</x:v>
      </x:c>
      <x:c r="P137" s="3" t="str">
        <x:v>wallet-metamask</x:v>
      </x:c>
      <x:c r="Q137" s="3" t="str">
        <x:f>IF(OR(H137='Read Me + Evidence'!$K$6,H137='Read Me + Evidence'!$K$7,H137='Read Me + Evidence'!$K$8,P137='Read Me + Evidence'!$K$9,P137='Read Me + Evidence'!$K$10),'Read Me + Evidence'!$K$12,'Read Me + Evidence'!$K$11)</x:f>
        <x:v>GUI</x:v>
      </x:c>
      <x:c r="R137" s="14" t="n">
        <x:f>IF(AND(Q137='Read Me + Evidence'!$K$11,OR(D137='Read Me + Evidence'!$H$7,D137='Read Me + Evidence'!$H$8,D137='Read Me + Evidence'!$H$9)),1,0)</x:f>
        <x:v>0</x:v>
      </x:c>
      <x:c r="S137" s="14" t="n">
        <x:f>IF(AND(Q137='Read Me + Evidence'!$K$11,D137='Read Me + Evidence'!$H$7),1,0)</x:f>
        <x:v>0</x:v>
      </x:c>
      <x:c r="T137" s="14" t="n">
        <x:f>IF(AND(Q137='Read Me + Evidence'!$K$11,D137&lt;&gt;'Read Me + Evidence'!$H$12),1,0)</x:f>
        <x:v>1</x:v>
      </x:c>
      <x:c r="U137" s="3" t="str"/>
    </x:row>
    <x:row r="138" ht="153" customHeight="1">
      <x:c r="A138" s="3" t="str">
        <x:v>MM-03</x:v>
      </x:c>
      <x:c r="B138" s="3" t="str">
        <x:v>MetaMask connector</x:v>
      </x:c>
      <x:c r="C138" s="3" t="str">
        <x:v>Return and error</x:v>
      </x:c>
      <x:c r="D138" s="13" t="str">
        <x:v>Blocked prerequisite</x:v>
      </x:c>
      <x:c r="E138" s="3" t="str">
        <x:v>Pending, rejected, expired and disconnected states cannot falsely claim signing success.</x:v>
      </x:c>
      <x:c r="F138" s="12" t="str">
        <x:v>Preview close succeeds; rejection/expiry/pending semantics require an approved external-wallet test session.</x:v>
      </x:c>
      <x:c r="G138" s="3" t="str">
        <x:v>controlled-wallet</x:v>
      </x:c>
      <x:c r="H138" s="3" t="str">
        <x:v>implemented-config-gated</x:v>
      </x:c>
      <x:c r="I138" s="3" t="str">
        <x:v>Close; Reopen; Expired request</x:v>
      </x:c>
      <x:c r="J138" s="3" t="str">
        <x:v>1. Close connector during controlled pending request
2. Inspect returned status</x:v>
      </x:c>
      <x:c r="K138" s="3" t="str">
        <x:v>Controlled external wallet session</x:v>
      </x:c>
      <x:c r="L138" s="3" t="str"/>
      <x:c r="M138" s="3" t="str"/>
      <x:c r="N138" s="3" t="str">
        <x:v>E-047</x:v>
      </x:c>
      <x:c r="O138" s="3" t="str">
        <x:v>S-135</x:v>
      </x:c>
      <x:c r="P138" s="3" t="str">
        <x:v>wallet-metamask</x:v>
      </x:c>
      <x:c r="Q138" s="3" t="str">
        <x:f>IF(OR(H138='Read Me + Evidence'!$K$6,H138='Read Me + Evidence'!$K$7,H138='Read Me + Evidence'!$K$8,P138='Read Me + Evidence'!$K$9,P138='Read Me + Evidence'!$K$10),'Read Me + Evidence'!$K$12,'Read Me + Evidence'!$K$11)</x:f>
        <x:v>GUI</x:v>
      </x:c>
      <x:c r="R138" s="14" t="n">
        <x:f>IF(AND(Q138='Read Me + Evidence'!$K$11,OR(D138='Read Me + Evidence'!$H$7,D138='Read Me + Evidence'!$H$8,D138='Read Me + Evidence'!$H$9)),1,0)</x:f>
        <x:v>0</x:v>
      </x:c>
      <x:c r="S138" s="14" t="n">
        <x:f>IF(AND(Q138='Read Me + Evidence'!$K$11,D138='Read Me + Evidence'!$H$7),1,0)</x:f>
        <x:v>0</x:v>
      </x:c>
      <x:c r="T138" s="14" t="n">
        <x:f>IF(AND(Q138='Read Me + Evidence'!$K$11,D138&lt;&gt;'Read Me + Evidence'!$H$12),1,0)</x:f>
        <x:v>1</x:v>
      </x:c>
      <x:c r="U138" s="3" t="str"/>
    </x:row>
    <x:row r="139" ht="153" customHeight="1">
      <x:c r="A139" s="3" t="str">
        <x:v>UNI-01</x:v>
      </x:c>
      <x:c r="B139" s="3" t="str">
        <x:v>UniSat connector</x:v>
      </x:c>
      <x:c r="C139" s="3" t="str">
        <x:v>Availability and connect</x:v>
      </x:c>
      <x:c r="D139" s="13" t="str">
        <x:v>Partially observed</x:v>
      </x:c>
      <x:c r="E139" s="3" t="str">
        <x:v>Connector explains unavailable prerequisite and submits typed Runtime request; no silent substitute method.</x:v>
      </x:c>
      <x:c r="F139" s="12" t="str">
        <x:v>UniSat preview shows Connect UniSat, 0 linked accounts and no requests. Closed before requesting external account access.</x:v>
      </x:c>
      <x:c r="G139" s="3" t="str">
        <x:v>controlled-wallet</x:v>
      </x:c>
      <x:c r="H139" s="3" t="str">
        <x:v>implemented-config-gated</x:v>
      </x:c>
      <x:c r="I139" s="3" t="str">
        <x:v>Connect; Status</x:v>
      </x:c>
      <x:c r="J139" s="3" t="str">
        <x:v>1. Open connector
2. Inspect missing/locked/configured branch
3. Cancel access</x:v>
      </x:c>
      <x:c r="K139" s="3" t="str">
        <x:v>Installed supported test extension</x:v>
      </x:c>
      <x:c r="L139" s="3" t="str"/>
      <x:c r="M139" s="3" t="str"/>
      <x:c r="N139" s="3" t="str">
        <x:v>E-047</x:v>
      </x:c>
      <x:c r="O139" s="3" t="str">
        <x:v>S-136</x:v>
      </x:c>
      <x:c r="P139" s="3" t="str">
        <x:v>wallet-unisat</x:v>
      </x:c>
      <x:c r="Q139" s="3" t="str">
        <x:f>IF(OR(H139='Read Me + Evidence'!$K$6,H139='Read Me + Evidence'!$K$7,H139='Read Me + Evidence'!$K$8,P139='Read Me + Evidence'!$K$9,P139='Read Me + Evidence'!$K$10),'Read Me + Evidence'!$K$12,'Read Me + Evidence'!$K$11)</x:f>
        <x:v>GUI</x:v>
      </x:c>
      <x:c r="R139" s="14" t="n">
        <x:f>IF(AND(Q139='Read Me + Evidence'!$K$11,OR(D139='Read Me + Evidence'!$H$7,D139='Read Me + Evidence'!$H$8,D139='Read Me + Evidence'!$H$9)),1,0)</x:f>
        <x:v>1</x:v>
      </x:c>
      <x:c r="S139" s="14" t="n">
        <x:f>IF(AND(Q139='Read Me + Evidence'!$K$11,D139='Read Me + Evidence'!$H$7),1,0)</x:f>
        <x:v>0</x:v>
      </x:c>
      <x:c r="T139" s="14" t="n">
        <x:f>IF(AND(Q139='Read Me + Evidence'!$K$11,D139&lt;&gt;'Read Me + Evidence'!$H$12),1,0)</x:f>
        <x:v>1</x:v>
      </x:c>
      <x:c r="U139" s="3" t="str"/>
    </x:row>
    <x:row r="140" ht="153" customHeight="1">
      <x:c r="A140" s="3" t="str">
        <x:v>UNI-02</x:v>
      </x:c>
      <x:c r="B140" s="3" t="str">
        <x:v>UniSat connector</x:v>
      </x:c>
      <x:c r="C140" s="3" t="str">
        <x:v>Exact approval handoff</x:v>
      </x:c>
      <x:c r="D140" s="13" t="str">
        <x:v>Blocked prerequisite</x:v>
      </x:c>
      <x:c r="E140" s="3" t="str">
        <x:v>Home/Inbox/Wallet remain trusted approval owner; exact account/chain/request binding is preserved.</x:v>
      </x:c>
      <x:c r="F140" s="12" t="str">
        <x:v>Needs a controlled UniSat approval request and user-operated test account.</x:v>
      </x:c>
      <x:c r="G140" s="3" t="str">
        <x:v>controlled-permission</x:v>
      </x:c>
      <x:c r="H140" s="3" t="str">
        <x:v>implemented-config-gated</x:v>
      </x:c>
      <x:c r="I140" s="3" t="str">
        <x:v>Request review; Account/network; Cancel/reject</x:v>
      </x:c>
      <x:c r="J140" s="3" t="str">
        <x:v>1. Use controlled Wallet request
2. Inspect external prompt
3. Reject once</x:v>
      </x:c>
      <x:c r="K140" s="3" t="str">
        <x:v>Controlled connector request</x:v>
      </x:c>
      <x:c r="L140" s="3" t="str"/>
      <x:c r="M140" s="3" t="str"/>
      <x:c r="N140" s="3" t="str">
        <x:v>E-047</x:v>
      </x:c>
      <x:c r="O140" s="3" t="str">
        <x:v>S-136</x:v>
      </x:c>
      <x:c r="P140" s="3" t="str">
        <x:v>wallet-unisat</x:v>
      </x:c>
      <x:c r="Q140" s="3" t="str">
        <x:f>IF(OR(H140='Read Me + Evidence'!$K$6,H140='Read Me + Evidence'!$K$7,H140='Read Me + Evidence'!$K$8,P140='Read Me + Evidence'!$K$9,P140='Read Me + Evidence'!$K$10),'Read Me + Evidence'!$K$12,'Read Me + Evidence'!$K$11)</x:f>
        <x:v>GUI</x:v>
      </x:c>
      <x:c r="R140" s="14" t="n">
        <x:f>IF(AND(Q140='Read Me + Evidence'!$K$11,OR(D140='Read Me + Evidence'!$H$7,D140='Read Me + Evidence'!$H$8,D140='Read Me + Evidence'!$H$9)),1,0)</x:f>
        <x:v>0</x:v>
      </x:c>
      <x:c r="S140" s="14" t="n">
        <x:f>IF(AND(Q140='Read Me + Evidence'!$K$11,D140='Read Me + Evidence'!$H$7),1,0)</x:f>
        <x:v>0</x:v>
      </x:c>
      <x:c r="T140" s="14" t="n">
        <x:f>IF(AND(Q140='Read Me + Evidence'!$K$11,D140&lt;&gt;'Read Me + Evidence'!$H$12),1,0)</x:f>
        <x:v>1</x:v>
      </x:c>
      <x:c r="U140" s="3" t="str"/>
    </x:row>
    <x:row r="141" ht="153" customHeight="1">
      <x:c r="A141" s="3" t="str">
        <x:v>UNI-03</x:v>
      </x:c>
      <x:c r="B141" s="3" t="str">
        <x:v>UniSat connector</x:v>
      </x:c>
      <x:c r="C141" s="3" t="str">
        <x:v>Return and error</x:v>
      </x:c>
      <x:c r="D141" s="13" t="str">
        <x:v>Blocked prerequisite</x:v>
      </x:c>
      <x:c r="E141" s="3" t="str">
        <x:v>Pending, rejected, expired and disconnected states cannot falsely claim signing success.</x:v>
      </x:c>
      <x:c r="F141" s="12" t="str">
        <x:v>Preview close succeeds. Pending/rejection/expiry tests need an approved external-wallet session.</x:v>
      </x:c>
      <x:c r="G141" s="3" t="str">
        <x:v>controlled-wallet</x:v>
      </x:c>
      <x:c r="H141" s="3" t="str">
        <x:v>implemented-config-gated</x:v>
      </x:c>
      <x:c r="I141" s="3" t="str">
        <x:v>Close; Reopen; Expired request</x:v>
      </x:c>
      <x:c r="J141" s="3" t="str">
        <x:v>1. Close connector during controlled pending request
2. Inspect returned status</x:v>
      </x:c>
      <x:c r="K141" s="3" t="str">
        <x:v>Controlled external wallet session</x:v>
      </x:c>
      <x:c r="L141" s="3" t="str"/>
      <x:c r="M141" s="3" t="str"/>
      <x:c r="N141" s="3" t="str">
        <x:v>E-047</x:v>
      </x:c>
      <x:c r="O141" s="3" t="str">
        <x:v>S-136</x:v>
      </x:c>
      <x:c r="P141" s="3" t="str">
        <x:v>wallet-unisat</x:v>
      </x:c>
      <x:c r="Q141" s="3" t="str">
        <x:f>IF(OR(H141='Read Me + Evidence'!$K$6,H141='Read Me + Evidence'!$K$7,H141='Read Me + Evidence'!$K$8,P141='Read Me + Evidence'!$K$9,P141='Read Me + Evidence'!$K$10),'Read Me + Evidence'!$K$12,'Read Me + Evidence'!$K$11)</x:f>
        <x:v>GUI</x:v>
      </x:c>
      <x:c r="R141" s="14" t="n">
        <x:f>IF(AND(Q141='Read Me + Evidence'!$K$11,OR(D141='Read Me + Evidence'!$H$7,D141='Read Me + Evidence'!$H$8,D141='Read Me + Evidence'!$H$9)),1,0)</x:f>
        <x:v>0</x:v>
      </x:c>
      <x:c r="S141" s="14" t="n">
        <x:f>IF(AND(Q141='Read Me + Evidence'!$K$11,D141='Read Me + Evidence'!$H$7),1,0)</x:f>
        <x:v>0</x:v>
      </x:c>
      <x:c r="T141" s="14" t="n">
        <x:f>IF(AND(Q141='Read Me + Evidence'!$K$11,D141&lt;&gt;'Read Me + Evidence'!$H$12),1,0)</x:f>
        <x:v>1</x:v>
      </x:c>
      <x:c r="U141" s="3" t="str"/>
    </x:row>
    <x:row r="142" ht="153" customHeight="1">
      <x:c r="A142" s="3" t="str">
        <x:v>WC-01</x:v>
      </x:c>
      <x:c r="B142" s="3" t="str">
        <x:v>WalletConnect connector</x:v>
      </x:c>
      <x:c r="C142" s="3" t="str">
        <x:v>Availability and connect</x:v>
      </x:c>
      <x:c r="D142" s="13" t="str">
        <x:v>Blocked prerequisite</x:v>
      </x:c>
      <x:c r="E142" s="3" t="str">
        <x:v>Connector explains unavailable prerequisite and submits typed Runtime request; no silent substitute method.</x:v>
      </x:c>
      <x:c r="F142" s="12" t="str">
        <x:v>WalletConnect is absent from the visible signer list. Source gates it on pinned operator configuration; no configuration or external session was created.</x:v>
      </x:c>
      <x:c r="G142" s="3" t="str">
        <x:v>controlled-wallet</x:v>
      </x:c>
      <x:c r="H142" s="3" t="str">
        <x:v>implemented-config-gated</x:v>
      </x:c>
      <x:c r="I142" s="3" t="str">
        <x:v>Connect; Status</x:v>
      </x:c>
      <x:c r="J142" s="3" t="str">
        <x:v>1. Open connector
2. Inspect missing/locked/configured branch
3. Cancel access</x:v>
      </x:c>
      <x:c r="K142" s="3" t="str">
        <x:v>Operator WalletConnect setup; External test wallet</x:v>
      </x:c>
      <x:c r="L142" s="3" t="str"/>
      <x:c r="M142" s="3" t="str"/>
      <x:c r="N142" s="3" t="str">
        <x:v>E-047</x:v>
      </x:c>
      <x:c r="O142" s="3" t="str">
        <x:v>S-137</x:v>
      </x:c>
      <x:c r="P142" s="3" t="str">
        <x:v>wallet-walletconnect</x:v>
      </x:c>
      <x:c r="Q142" s="3" t="str">
        <x:f>IF(OR(H142='Read Me + Evidence'!$K$6,H142='Read Me + Evidence'!$K$7,H142='Read Me + Evidence'!$K$8,P142='Read Me + Evidence'!$K$9,P142='Read Me + Evidence'!$K$10),'Read Me + Evidence'!$K$12,'Read Me + Evidence'!$K$11)</x:f>
        <x:v>GUI</x:v>
      </x:c>
      <x:c r="R142" s="14" t="n">
        <x:f>IF(AND(Q142='Read Me + Evidence'!$K$11,OR(D142='Read Me + Evidence'!$H$7,D142='Read Me + Evidence'!$H$8,D142='Read Me + Evidence'!$H$9)),1,0)</x:f>
        <x:v>0</x:v>
      </x:c>
      <x:c r="S142" s="14" t="n">
        <x:f>IF(AND(Q142='Read Me + Evidence'!$K$11,D142='Read Me + Evidence'!$H$7),1,0)</x:f>
        <x:v>0</x:v>
      </x:c>
      <x:c r="T142" s="14" t="n">
        <x:f>IF(AND(Q142='Read Me + Evidence'!$K$11,D142&lt;&gt;'Read Me + Evidence'!$H$12),1,0)</x:f>
        <x:v>1</x:v>
      </x:c>
      <x:c r="U142" s="3" t="str"/>
    </x:row>
    <x:row r="143" ht="153" customHeight="1">
      <x:c r="A143" s="3" t="str">
        <x:v>WC-02</x:v>
      </x:c>
      <x:c r="B143" s="3" t="str">
        <x:v>WalletConnect connector</x:v>
      </x:c>
      <x:c r="C143" s="3" t="str">
        <x:v>Exact approval handoff</x:v>
      </x:c>
      <x:c r="D143" s="13" t="str">
        <x:v>Blocked prerequisite</x:v>
      </x:c>
      <x:c r="E143" s="3" t="str">
        <x:v>Home/Inbox/Wallet remain trusted approval owner; exact account/chain/request binding is preserved.</x:v>
      </x:c>
      <x:c r="F143" s="12" t="str">
        <x:v>Requires configured WalletConnect and a controlled approval request.</x:v>
      </x:c>
      <x:c r="G143" s="3" t="str">
        <x:v>controlled-permission</x:v>
      </x:c>
      <x:c r="H143" s="3" t="str">
        <x:v>implemented-config-gated</x:v>
      </x:c>
      <x:c r="I143" s="3" t="str">
        <x:v>Request review; Account/network; Cancel/reject</x:v>
      </x:c>
      <x:c r="J143" s="3" t="str">
        <x:v>1. Use controlled Wallet request
2. Inspect external prompt
3. Reject once</x:v>
      </x:c>
      <x:c r="K143" s="3" t="str">
        <x:v>Controlled connector request</x:v>
      </x:c>
      <x:c r="L143" s="3" t="str"/>
      <x:c r="M143" s="3" t="str"/>
      <x:c r="N143" s="3" t="str">
        <x:v>E-047</x:v>
      </x:c>
      <x:c r="O143" s="3" t="str">
        <x:v>S-137</x:v>
      </x:c>
      <x:c r="P143" s="3" t="str">
        <x:v>wallet-walletconnect</x:v>
      </x:c>
      <x:c r="Q143" s="3" t="str">
        <x:f>IF(OR(H143='Read Me + Evidence'!$K$6,H143='Read Me + Evidence'!$K$7,H143='Read Me + Evidence'!$K$8,P143='Read Me + Evidence'!$K$9,P143='Read Me + Evidence'!$K$10),'Read Me + Evidence'!$K$12,'Read Me + Evidence'!$K$11)</x:f>
        <x:v>GUI</x:v>
      </x:c>
      <x:c r="R143" s="14" t="n">
        <x:f>IF(AND(Q143='Read Me + Evidence'!$K$11,OR(D143='Read Me + Evidence'!$H$7,D143='Read Me + Evidence'!$H$8,D143='Read Me + Evidence'!$H$9)),1,0)</x:f>
        <x:v>0</x:v>
      </x:c>
      <x:c r="S143" s="14" t="n">
        <x:f>IF(AND(Q143='Read Me + Evidence'!$K$11,D143='Read Me + Evidence'!$H$7),1,0)</x:f>
        <x:v>0</x:v>
      </x:c>
      <x:c r="T143" s="14" t="n">
        <x:f>IF(AND(Q143='Read Me + Evidence'!$K$11,D143&lt;&gt;'Read Me + Evidence'!$H$12),1,0)</x:f>
        <x:v>1</x:v>
      </x:c>
      <x:c r="U143" s="3" t="str"/>
    </x:row>
    <x:row r="144" ht="153" customHeight="1">
      <x:c r="A144" s="3" t="str">
        <x:v>WC-03</x:v>
      </x:c>
      <x:c r="B144" s="3" t="str">
        <x:v>WalletConnect connector</x:v>
      </x:c>
      <x:c r="C144" s="3" t="str">
        <x:v>Return and error</x:v>
      </x:c>
      <x:c r="D144" s="13" t="str">
        <x:v>Blocked prerequisite</x:v>
      </x:c>
      <x:c r="E144" s="3" t="str">
        <x:v>Pending, rejected, expired and disconnected states cannot falsely claim signing success.</x:v>
      </x:c>
      <x:c r="F144" s="12" t="str">
        <x:v>Requires a controlled WalletConnect session to test pending/rejected/expired results.</x:v>
      </x:c>
      <x:c r="G144" s="3" t="str">
        <x:v>controlled-wallet</x:v>
      </x:c>
      <x:c r="H144" s="3" t="str">
        <x:v>implemented-config-gated</x:v>
      </x:c>
      <x:c r="I144" s="3" t="str">
        <x:v>Close; Reopen; Expired request</x:v>
      </x:c>
      <x:c r="J144" s="3" t="str">
        <x:v>1. Close connector during controlled pending request
2. Inspect returned status</x:v>
      </x:c>
      <x:c r="K144" s="3" t="str">
        <x:v>Controlled external wallet session</x:v>
      </x:c>
      <x:c r="L144" s="3" t="str"/>
      <x:c r="M144" s="3" t="str"/>
      <x:c r="N144" s="3" t="str">
        <x:v>E-047</x:v>
      </x:c>
      <x:c r="O144" s="3" t="str">
        <x:v>S-137</x:v>
      </x:c>
      <x:c r="P144" s="3" t="str">
        <x:v>wallet-walletconnect</x:v>
      </x:c>
      <x:c r="Q144" s="3" t="str">
        <x:f>IF(OR(H144='Read Me + Evidence'!$K$6,H144='Read Me + Evidence'!$K$7,H144='Read Me + Evidence'!$K$8,P144='Read Me + Evidence'!$K$9,P144='Read Me + Evidence'!$K$10),'Read Me + Evidence'!$K$12,'Read Me + Evidence'!$K$11)</x:f>
        <x:v>GUI</x:v>
      </x:c>
      <x:c r="R144" s="14" t="n">
        <x:f>IF(AND(Q144='Read Me + Evidence'!$K$11,OR(D144='Read Me + Evidence'!$H$7,D144='Read Me + Evidence'!$H$8,D144='Read Me + Evidence'!$H$9)),1,0)</x:f>
        <x:v>0</x:v>
      </x:c>
      <x:c r="S144" s="14" t="n">
        <x:f>IF(AND(Q144='Read Me + Evidence'!$K$11,D144='Read Me + Evidence'!$H$7),1,0)</x:f>
        <x:v>0</x:v>
      </x:c>
      <x:c r="T144" s="14" t="n">
        <x:f>IF(AND(Q144='Read Me + Evidence'!$K$11,D144&lt;&gt;'Read Me + Evidence'!$H$12),1,0)</x:f>
        <x:v>1</x:v>
      </x:c>
      <x:c r="U144" s="3" t="str"/>
    </x:row>
    <x:row r="145" ht="153" customHeight="1">
      <x:c r="A145" s="3" t="str">
        <x:v>SERVICE-01</x:v>
      </x:c>
      <x:c r="B145" s="3" t="str">
        <x:v>Services</x:v>
      </x:c>
      <x:c r="C145" s="3" t="str">
        <x:v>Local/remote inventory</x:v>
      </x:c>
      <x:c r="D145" s="13" t="str">
        <x:v>Partially observed</x:v>
      </x:c>
      <x:c r="E145" s="3" t="str">
        <x:v>Runtime projects service status; provider presence and service permission are separate.</x:v>
      </x:c>
      <x:c r="F145" s="12" t="str">
        <x:v>Initially zero shared and subscribed offers. Private Browser Engine and Exit cards are visible. No remote offers exist; refresh preserves inventory.</x:v>
      </x:c>
      <x:c r="G145" s="3" t="str">
        <x:v>safe-read-only</x:v>
      </x:c>
      <x:c r="H145" s="3" t="str">
        <x:v>implemented-source</x:v>
      </x:c>
      <x:c r="I145" s="3" t="str">
        <x:v>This device; From People; Refresh</x:v>
      </x:c>
      <x:c r="J145" s="3" t="str">
        <x:v>1. Inspect local configured services
2. Inspect empty remote offers</x:v>
      </x:c>
      <x:c r="K145" s="3" t="str">
        <x:v>Signed-in Home</x:v>
      </x:c>
      <x:c r="L145" s="3" t="str"/>
      <x:c r="M145" s="3" t="str"/>
      <x:c r="N145" s="3" t="str">
        <x:v>E-048</x:v>
      </x:c>
      <x:c r="O145" s="3" t="str">
        <x:v>S-138</x:v>
      </x:c>
      <x:c r="P145" s="3" t="str">
        <x:v>services</x:v>
      </x:c>
      <x:c r="Q145" s="3" t="str">
        <x:f>IF(OR(H145='Read Me + Evidence'!$K$6,H145='Read Me + Evidence'!$K$7,H145='Read Me + Evidence'!$K$8,P145='Read Me + Evidence'!$K$9,P145='Read Me + Evidence'!$K$10),'Read Me + Evidence'!$K$12,'Read Me + Evidence'!$K$11)</x:f>
        <x:v>GUI</x:v>
      </x:c>
      <x:c r="R145" s="14" t="n">
        <x:f>IF(AND(Q145='Read Me + Evidence'!$K$11,OR(D145='Read Me + Evidence'!$H$7,D145='Read Me + Evidence'!$H$8,D145='Read Me + Evidence'!$H$9)),1,0)</x:f>
        <x:v>1</x:v>
      </x:c>
      <x:c r="S145" s="14" t="n">
        <x:f>IF(AND(Q145='Read Me + Evidence'!$K$11,D145='Read Me + Evidence'!$H$7),1,0)</x:f>
        <x:v>0</x:v>
      </x:c>
      <x:c r="T145" s="14" t="n">
        <x:f>IF(AND(Q145='Read Me + Evidence'!$K$11,D145&lt;&gt;'Read Me + Evidence'!$H$12),1,0)</x:f>
        <x:v>1</x:v>
      </x:c>
      <x:c r="U145" s="3" t="str"/>
    </x:row>
    <x:row r="146" ht="153" customHeight="1">
      <x:c r="A146" s="3" t="str">
        <x:v>SERVICE-02</x:v>
      </x:c>
      <x:c r="B146" s="3" t="str">
        <x:v>Services</x:v>
      </x:c>
      <x:c r="C146" s="3" t="str">
        <x:v>Select local service</x:v>
      </x:c>
      <x:c r="D146" s="13" t="str">
        <x:v>Partially observed</x:v>
      </x:c>
      <x:c r="E146" s="3" t="str">
        <x:v>Runtime owns selection and reports pending/applied/error state honestly.</x:v>
      </x:c>
      <x:c r="F146" s="12" t="str">
        <x:v>Share with People applies immediately, not a preview. The tester unintentionally enabled Browser Engine while inspecting this action, then used Stop sharing confirmation to restore Private. Zero shared offers was verified again. No peer grant was approved.</x:v>
      </x:c>
      <x:c r="G146" s="3" t="str">
        <x:v>controlled-service</x:v>
      </x:c>
      <x:c r="H146" s="3" t="str">
        <x:v>implemented-source</x:v>
      </x:c>
      <x:c r="I146" s="3" t="str">
        <x:v>Enable/Disable or offered action; Confirm; Cancel</x:v>
      </x:c>
      <x:c r="J146" s="3" t="str">
        <x:v>1. Inspect available action
2. Cancel; select only controlled service</x:v>
      </x:c>
      <x:c r="K146" s="3" t="str">
        <x:v>Operator-approved test service</x:v>
      </x:c>
      <x:c r="L146" s="3" t="str"/>
      <x:c r="M146" s="3" t="str"/>
      <x:c r="N146" s="3" t="str">
        <x:v>E-048</x:v>
      </x:c>
      <x:c r="O146" s="3" t="str">
        <x:v>S-139</x:v>
      </x:c>
      <x:c r="P146" s="3" t="str">
        <x:v>services</x:v>
      </x:c>
      <x:c r="Q146" s="3" t="str">
        <x:f>IF(OR(H146='Read Me + Evidence'!$K$6,H146='Read Me + Evidence'!$K$7,H146='Read Me + Evidence'!$K$8,P146='Read Me + Evidence'!$K$9,P146='Read Me + Evidence'!$K$10),'Read Me + Evidence'!$K$12,'Read Me + Evidence'!$K$11)</x:f>
        <x:v>GUI</x:v>
      </x:c>
      <x:c r="R146" s="14" t="n">
        <x:f>IF(AND(Q146='Read Me + Evidence'!$K$11,OR(D146='Read Me + Evidence'!$H$7,D146='Read Me + Evidence'!$H$8,D146='Read Me + Evidence'!$H$9)),1,0)</x:f>
        <x:v>1</x:v>
      </x:c>
      <x:c r="S146" s="14" t="n">
        <x:f>IF(AND(Q146='Read Me + Evidence'!$K$11,D146='Read Me + Evidence'!$H$7),1,0)</x:f>
        <x:v>0</x:v>
      </x:c>
      <x:c r="T146" s="14" t="n">
        <x:f>IF(AND(Q146='Read Me + Evidence'!$K$11,D146&lt;&gt;'Read Me + Evidence'!$H$12),1,0)</x:f>
        <x:v>1</x:v>
      </x:c>
      <x:c r="U146" s="3" t="str"/>
    </x:row>
    <x:row r="147" ht="153" customHeight="1">
      <x:c r="A147" s="3" t="str">
        <x:v>SERVICE-03</x:v>
      </x:c>
      <x:c r="B147" s="3" t="str">
        <x:v>Services</x:v>
      </x:c>
      <x:c r="C147" s="3" t="str">
        <x:v>Remote service request</x:v>
      </x:c>
      <x:c r="D147" s="13" t="str">
        <x:v>Blocked prerequisite</x:v>
      </x:c>
      <x:c r="E147" s="3" t="str">
        <x:v>Discovered Profile/service offer is not a grant; typed Runtime policy governs selection.</x:v>
      </x:c>
      <x:c r="F147" s="12" t="str">
        <x:v>No consenting remote Runtime or connected Profile offers exist; no remote service request was sent.</x:v>
      </x:c>
      <x:c r="G147" s="3" t="str">
        <x:v>multi-runtime-controlled</x:v>
      </x:c>
      <x:c r="H147" s="3" t="str">
        <x:v>implemented-source</x:v>
      </x:c>
      <x:c r="I147" s="3" t="str">
        <x:v>Request/selected action; Confirm; Cancel</x:v>
      </x:c>
      <x:c r="J147" s="3" t="str">
        <x:v>1. Inspect a real test offer if present
2. Request only with peer consent</x:v>
      </x:c>
      <x:c r="K147" s="3" t="str">
        <x:v>Consenting remote Runtime/offer</x:v>
      </x:c>
      <x:c r="L147" s="3" t="str"/>
      <x:c r="M147" s="3" t="str"/>
      <x:c r="N147" s="3" t="str">
        <x:v>E-048</x:v>
      </x:c>
      <x:c r="O147" s="3" t="str">
        <x:v>S-140</x:v>
      </x:c>
      <x:c r="P147" s="3" t="str">
        <x:v>services</x:v>
      </x:c>
      <x:c r="Q147" s="3" t="str">
        <x:f>IF(OR(H147='Read Me + Evidence'!$K$6,H147='Read Me + Evidence'!$K$7,H147='Read Me + Evidence'!$K$8,P147='Read Me + Evidence'!$K$9,P147='Read Me + Evidence'!$K$10),'Read Me + Evidence'!$K$12,'Read Me + Evidence'!$K$11)</x:f>
        <x:v>GUI</x:v>
      </x:c>
      <x:c r="R147" s="14" t="n">
        <x:f>IF(AND(Q147='Read Me + Evidence'!$K$11,OR(D147='Read Me + Evidence'!$H$7,D147='Read Me + Evidence'!$H$8,D147='Read Me + Evidence'!$H$9)),1,0)</x:f>
        <x:v>0</x:v>
      </x:c>
      <x:c r="S147" s="14" t="n">
        <x:f>IF(AND(Q147='Read Me + Evidence'!$K$11,D147='Read Me + Evidence'!$H$7),1,0)</x:f>
        <x:v>0</x:v>
      </x:c>
      <x:c r="T147" s="14" t="n">
        <x:f>IF(AND(Q147='Read Me + Evidence'!$K$11,D147&lt;&gt;'Read Me + Evidence'!$H$12),1,0)</x:f>
        <x:v>1</x:v>
      </x:c>
      <x:c r="U147" s="3" t="str"/>
    </x:row>
    <x:row r="148" ht="153" customHeight="1">
      <x:c r="A148" s="3" t="str">
        <x:v>SERVICE-04</x:v>
      </x:c>
      <x:c r="B148" s="3" t="str">
        <x:v>Services</x:v>
      </x:c>
      <x:c r="C148" s="3" t="str">
        <x:v>Read-only and unavailable cards</x:v>
      </x:c>
      <x:c r="D148" s="13" t="str">
        <x:v>Partially observed</x:v>
      </x:c>
      <x:c r="E148" s="3" t="str">
        <x:v>Unavailable or read-only service stays explicit; UI invents no enable button.</x:v>
      </x:c>
      <x:c r="F148" s="12" t="str">
        <x:v>Private local cards clearly show approval-needed state. A read-only configured-remote service card is absent and needs an operator fixture.</x:v>
      </x:c>
      <x:c r="G148" s="3" t="str">
        <x:v>safe-read-only</x:v>
      </x:c>
      <x:c r="H148" s="3" t="str">
        <x:v>implemented-source</x:v>
      </x:c>
      <x:c r="I148" s="3" t="str">
        <x:v>Read-only status; No action</x:v>
      </x:c>
      <x:c r="J148" s="3" t="str">
        <x:v>1. Inspect service cards without writable affordance</x:v>
      </x:c>
      <x:c r="K148" s="3" t="str">
        <x:v>Signed-in Home</x:v>
      </x:c>
      <x:c r="L148" s="3" t="str"/>
      <x:c r="M148" s="3" t="str"/>
      <x:c r="N148" s="3" t="str">
        <x:v>E-048</x:v>
      </x:c>
      <x:c r="O148" s="3" t="str">
        <x:v>S-141</x:v>
      </x:c>
      <x:c r="P148" s="3" t="str">
        <x:v>services</x:v>
      </x:c>
      <x:c r="Q148" s="3" t="str">
        <x:f>IF(OR(H148='Read Me + Evidence'!$K$6,H148='Read Me + Evidence'!$K$7,H148='Read Me + Evidence'!$K$8,P148='Read Me + Evidence'!$K$9,P148='Read Me + Evidence'!$K$10),'Read Me + Evidence'!$K$12,'Read Me + Evidence'!$K$11)</x:f>
        <x:v>GUI</x:v>
      </x:c>
      <x:c r="R148" s="14" t="n">
        <x:f>IF(AND(Q148='Read Me + Evidence'!$K$11,OR(D148='Read Me + Evidence'!$H$7,D148='Read Me + Evidence'!$H$8,D148='Read Me + Evidence'!$H$9)),1,0)</x:f>
        <x:v>1</x:v>
      </x:c>
      <x:c r="S148" s="14" t="n">
        <x:f>IF(AND(Q148='Read Me + Evidence'!$K$11,D148='Read Me + Evidence'!$H$7),1,0)</x:f>
        <x:v>0</x:v>
      </x:c>
      <x:c r="T148" s="14" t="n">
        <x:f>IF(AND(Q148='Read Me + Evidence'!$K$11,D148&lt;&gt;'Read Me + Evidence'!$H$12),1,0)</x:f>
        <x:v>1</x:v>
      </x:c>
      <x:c r="U148" s="3" t="str"/>
    </x:row>
    <x:row r="149" ht="153" customHeight="1">
      <x:c r="A149" s="3" t="str">
        <x:v>SERVICE-05</x:v>
      </x:c>
      <x:c r="B149" s="3" t="str">
        <x:v>Services</x:v>
      </x:c>
      <x:c r="C149" s="3" t="str">
        <x:v>Error and refresh</x:v>
      </x:c>
      <x:c r="D149" s="13" t="str">
        <x:v>Partially observed</x:v>
      </x:c>
      <x:c r="E149" s="3" t="str">
        <x:v>Public error copy hides topology and configuration secrets; local and remote sections stay usable.</x:v>
      </x:c>
      <x:c r="F149" s="12" t="str">
        <x:v>Refresh succeeds and reports Services updated; empty remote sections remain usable. No naturally failing provider response was available.</x:v>
      </x:c>
      <x:c r="G149" s="3" t="str">
        <x:v>safe-read-only</x:v>
      </x:c>
      <x:c r="H149" s="3" t="str">
        <x:v>implemented-source</x:v>
      </x:c>
      <x:c r="I149" s="3" t="str">
        <x:v>Refresh; Error state</x:v>
      </x:c>
      <x:c r="J149" s="3" t="str">
        <x:v>1. Inspect naturally unavailable service
2. Refresh once</x:v>
      </x:c>
      <x:c r="K149" s="3" t="str">
        <x:v>Signed-in Home</x:v>
      </x:c>
      <x:c r="L149" s="3" t="str"/>
      <x:c r="M149" s="3" t="str"/>
      <x:c r="N149" s="3" t="str">
        <x:v>E-048</x:v>
      </x:c>
      <x:c r="O149" s="3" t="str">
        <x:v>S-142</x:v>
      </x:c>
      <x:c r="P149" s="3" t="str">
        <x:v>services</x:v>
      </x:c>
      <x:c r="Q149" s="3" t="str">
        <x:f>IF(OR(H149='Read Me + Evidence'!$K$6,H149='Read Me + Evidence'!$K$7,H149='Read Me + Evidence'!$K$8,P149='Read Me + Evidence'!$K$9,P149='Read Me + Evidence'!$K$10),'Read Me + Evidence'!$K$12,'Read Me + Evidence'!$K$11)</x:f>
        <x:v>GUI</x:v>
      </x:c>
      <x:c r="R149" s="14" t="n">
        <x:f>IF(AND(Q149='Read Me + Evidence'!$K$11,OR(D149='Read Me + Evidence'!$H$7,D149='Read Me + Evidence'!$H$8,D149='Read Me + Evidence'!$H$9)),1,0)</x:f>
        <x:v>1</x:v>
      </x:c>
      <x:c r="S149" s="14" t="n">
        <x:f>IF(AND(Q149='Read Me + Evidence'!$K$11,D149='Read Me + Evidence'!$H$7),1,0)</x:f>
        <x:v>0</x:v>
      </x:c>
      <x:c r="T149" s="14" t="n">
        <x:f>IF(AND(Q149='Read Me + Evidence'!$K$11,D149&lt;&gt;'Read Me + Evidence'!$H$12),1,0)</x:f>
        <x:v>1</x:v>
      </x:c>
      <x:c r="U149" s="3" t="str"/>
    </x:row>
    <x:row r="150" ht="153" customHeight="1">
      <x:c r="A150" s="3" t="str">
        <x:v>SERVICE-06</x:v>
      </x:c>
      <x:c r="B150" s="3" t="str">
        <x:v>Services</x:v>
      </x:c>
      <x:c r="C150" s="3" t="str">
        <x:v>Future offer kinds</x:v>
      </x:c>
      <x:c r="D150" s="13" t="str">
        <x:v>Not applicable</x:v>
      </x:c>
      <x:c r="E150" s="3" t="str">
        <x:v>Provider-backed offers and principal grants are explicit open work; current discovery is not a universal service market.</x:v>
      </x:c>
      <x:c r="F150" s="12" t="str">
        <x:v>Future offer kinds are planning scope, not an installed live action. Current UI names Browser Engine and Browser Exit explicitly.</x:v>
      </x:c>
      <x:c r="G150" s="3" t="str">
        <x:v>deferred</x:v>
      </x:c>
      <x:c r="H150" s="3" t="str">
        <x:v>planned</x:v>
      </x:c>
      <x:c r="I150" s="3" t="str">
        <x:v>Remote Exit/storage/relay/model/hosting</x:v>
      </x:c>
      <x:c r="J150" s="3" t="str">
        <x:v>1. Record missing remote offer support as planned, not a failed local control</x:v>
      </x:c>
      <x:c r="K150" s="3" t="str">
        <x:v>Later reviewed remote-service implementation</x:v>
      </x:c>
      <x:c r="L150" s="3" t="str">
        <x:v>F-09</x:v>
      </x:c>
      <x:c r="M150" s="3" t="str"/>
      <x:c r="N150" s="3" t="str">
        <x:v>E-048</x:v>
      </x:c>
      <x:c r="O150" s="3" t="str">
        <x:v>S-143</x:v>
      </x:c>
      <x:c r="P150" s="3" t="str">
        <x:v>services</x:v>
      </x:c>
      <x:c r="Q150" s="3" t="str">
        <x:f>IF(OR(H150='Read Me + Evidence'!$K$6,H150='Read Me + Evidence'!$K$7,H150='Read Me + Evidence'!$K$8,P150='Read Me + Evidence'!$K$9,P150='Read Me + Evidence'!$K$10),'Read Me + Evidence'!$K$12,'Read Me + Evidence'!$K$11)</x:f>
        <x:v>Source only</x:v>
      </x:c>
      <x:c r="R150" s="14" t="n">
        <x:f>IF(AND(Q150='Read Me + Evidence'!$K$11,OR(D150='Read Me + Evidence'!$H$7,D150='Read Me + Evidence'!$H$8,D150='Read Me + Evidence'!$H$9)),1,0)</x:f>
        <x:v>0</x:v>
      </x:c>
      <x:c r="S150" s="14" t="n">
        <x:f>IF(AND(Q150='Read Me + Evidence'!$K$11,D150='Read Me + Evidence'!$H$7),1,0)</x:f>
        <x:v>0</x:v>
      </x:c>
      <x:c r="T150" s="14" t="n">
        <x:f>IF(AND(Q150='Read Me + Evidence'!$K$11,D150&lt;&gt;'Read Me + Evidence'!$H$12),1,0)</x:f>
        <x:v>0</x:v>
      </x:c>
      <x:c r="U150" s="3" t="str"/>
    </x:row>
    <x:row r="151" ht="153" customHeight="1">
      <x:c r="A151" s="3" t="str">
        <x:v>AI-01</x:v>
      </x:c>
      <x:c r="B151" s="3" t="str">
        <x:v>Assistant</x:v>
      </x:c>
      <x:c r="C151" s="3" t="str">
        <x:v>Empty workspace and starters</x:v>
      </x:c>
      <x:c r="D151" s="13" t="str">
        <x:v>Pass</x:v>
      </x:c>
      <x:c r="E151" s="3" t="str">
        <x:v>Starter sets editable prompt; empty search and no session states are clear.</x:v>
      </x:c>
      <x:c r="F151" s="12" t="str">
        <x:v>Empty Chat and Build have labeled starter actions and zero-offer status. Space on Chat plan starter populates the Message exactly; Send stays disabled with no model. Search aud shows No sessions match, clearing restores New chat. Draft cleared and Chat restored.</x:v>
      </x:c>
      <x:c r="G151" s="3" t="str">
        <x:v>safe-read-only</x:v>
      </x:c>
      <x:c r="H151" s="3" t="str">
        <x:v>implemented-source</x:v>
      </x:c>
      <x:c r="I151" s="3" t="str">
        <x:v>New conversation; Starter prompt; Search</x:v>
      </x:c>
      <x:c r="J151" s="3" t="str">
        <x:v>1. Inspect empty workspace
2. Choose harmless starter without send
3. Search</x:v>
      </x:c>
      <x:c r="K151" s="3" t="str">
        <x:v>Signed-in Home</x:v>
      </x:c>
      <x:c r="L151" s="3" t="str"/>
      <x:c r="M151" s="3" t="str"/>
      <x:c r="N151" s="3" t="str">
        <x:v>E-054</x:v>
      </x:c>
      <x:c r="O151" s="3" t="str">
        <x:v>S-144</x:v>
      </x:c>
      <x:c r="P151" s="3" t="str">
        <x:v>assistant</x:v>
      </x:c>
      <x:c r="Q151" s="3" t="str">
        <x:f>IF(OR(H151='Read Me + Evidence'!$K$6,H151='Read Me + Evidence'!$K$7,H151='Read Me + Evidence'!$K$8,P151='Read Me + Evidence'!$K$9,P151='Read Me + Evidence'!$K$10),'Read Me + Evidence'!$K$12,'Read Me + Evidence'!$K$11)</x:f>
        <x:v>GUI</x:v>
      </x:c>
      <x:c r="R151" s="14" t="n">
        <x:f>IF(AND(Q151='Read Me + Evidence'!$K$11,OR(D151='Read Me + Evidence'!$H$7,D151='Read Me + Evidence'!$H$8,D151='Read Me + Evidence'!$H$9)),1,0)</x:f>
        <x:v>1</x:v>
      </x:c>
      <x:c r="S151" s="14" t="n">
        <x:f>IF(AND(Q151='Read Me + Evidence'!$K$11,D151='Read Me + Evidence'!$H$7),1,0)</x:f>
        <x:v>1</x:v>
      </x:c>
      <x:c r="T151" s="14" t="n">
        <x:f>IF(AND(Q151='Read Me + Evidence'!$K$11,D151&lt;&gt;'Read Me + Evidence'!$H$12),1,0)</x:f>
        <x:v>1</x:v>
      </x:c>
      <x:c r="U151" s="3" t="str"/>
    </x:row>
    <x:row r="152" ht="153" customHeight="1">
      <x:c r="A152" s="3" t="str">
        <x:v>AI-02</x:v>
      </x:c>
      <x:c r="B152" s="3" t="str">
        <x:v>Assistant</x:v>
      </x:c>
      <x:c r="C152" s="3" t="str">
        <x:v>Session management</x:v>
      </x:c>
      <x:c r="D152" s="13" t="str">
        <x:v>Partially observed</x:v>
      </x:c>
      <x:c r="E152" s="3" t="str">
        <x:v>Typed workspace owns persistence; labels/focus/conflicts remain clear.</x:v>
      </x:c>
      <x:c r="F152" s="12" t="str">
        <x:v>F-17 fixed and independently verified at03757c2b: changing the already-empty Chat workspace to Build saves without error, and Build survives closing/reopening Assistant. Chat restored with empty prompt. Rename/pin/delete and populated-session/conflict UX remain untested.</x:v>
      </x:c>
      <x:c r="G152" s="3" t="str">
        <x:v>controlled-files</x:v>
      </x:c>
      <x:c r="H152" s="3" t="str">
        <x:v>implemented-source</x:v>
      </x:c>
      <x:c r="I152" s="3" t="str">
        <x:v>Select; Pin/unpin; Rename; Save/Cancel; Delete/Keep</x:v>
      </x:c>
      <x:c r="J152" s="3" t="str">
        <x:v>1. Create only disposable conversation
2. Inspect rename/pin/delete
3. Cancel deletion</x:v>
      </x:c>
      <x:c r="K152" s="3" t="str">
        <x:v>Disposable Assistant session</x:v>
      </x:c>
      <x:c r="L152" s="3" t="str">
        <x:v>F-17</x:v>
      </x:c>
      <x:c r="M152" s="3" t="str"/>
      <x:c r="N152" s="3" t="str">
        <x:v>E-037; E-038; E-039</x:v>
      </x:c>
      <x:c r="O152" s="3" t="str">
        <x:v>S-145</x:v>
      </x:c>
      <x:c r="P152" s="3" t="str">
        <x:v>assistant</x:v>
      </x:c>
      <x:c r="Q152" s="3" t="str">
        <x:f>IF(OR(H152='Read Me + Evidence'!$K$6,H152='Read Me + Evidence'!$K$7,H152='Read Me + Evidence'!$K$8,P152='Read Me + Evidence'!$K$9,P152='Read Me + Evidence'!$K$10),'Read Me + Evidence'!$K$12,'Read Me + Evidence'!$K$11)</x:f>
        <x:v>GUI</x:v>
      </x:c>
      <x:c r="R152" s="14" t="n">
        <x:f>IF(AND(Q152='Read Me + Evidence'!$K$11,OR(D152='Read Me + Evidence'!$H$7,D152='Read Me + Evidence'!$H$8,D152='Read Me + Evidence'!$H$9)),1,0)</x:f>
        <x:v>1</x:v>
      </x:c>
      <x:c r="S152" s="14" t="n">
        <x:f>IF(AND(Q152='Read Me + Evidence'!$K$11,D152='Read Me + Evidence'!$H$7),1,0)</x:f>
        <x:v>0</x:v>
      </x:c>
      <x:c r="T152" s="14" t="n">
        <x:f>IF(AND(Q152='Read Me + Evidence'!$K$11,D152&lt;&gt;'Read Me + Evidence'!$H$12),1,0)</x:f>
        <x:v>1</x:v>
      </x:c>
      <x:c r="U152" s="3" t="str"/>
    </x:row>
    <x:row r="153" ht="153" customHeight="1">
      <x:c r="A153" s="3" t="str">
        <x:v>AI-03</x:v>
      </x:c>
      <x:c r="B153" s="3" t="str">
        <x:v>Assistant</x:v>
      </x:c>
      <x:c r="C153" s="3" t="str">
        <x:v>Modes</x:v>
      </x:c>
      <x:c r="D153" s="13" t="str">
        <x:v>Partially observed</x:v>
      </x:c>
      <x:c r="E153" s="3" t="str">
        <x:v>Only eligible typed offers are selectable; missing modality produces explicit unavailable state.</x:v>
      </x:c>
      <x:c r="F153" s="12" t="str">
        <x:v>Chat/Build/Studio select correctly through screenshot-grounded clicks. Text/media modes expose the correct zero-offer state with disabled Send/Generate. Empty workspace mode persists after F-17 repair. Configured eligible-offer paths remain untested.</x:v>
      </x:c>
      <x:c r="G153" s="3" t="str">
        <x:v>safe-read-only</x:v>
      </x:c>
      <x:c r="H153" s="3" t="str">
        <x:v>implemented-source</x:v>
      </x:c>
      <x:c r="I153" s="3" t="str">
        <x:v>Chat; Build; Studio</x:v>
      </x:c>
      <x:c r="J153" s="3" t="str">
        <x:v>1. Switch each mode
2. Inspect prompts/offer choices/results</x:v>
      </x:c>
      <x:c r="K153" s="3" t="str">
        <x:v>Signed-in Home</x:v>
      </x:c>
      <x:c r="L153" s="3" t="str">
        <x:v>F-16; F-17</x:v>
      </x:c>
      <x:c r="M153" s="3" t="str"/>
      <x:c r="N153" s="3" t="str">
        <x:v>E-034; E-037; E-039</x:v>
      </x:c>
      <x:c r="O153" s="3" t="str">
        <x:v>S-146</x:v>
      </x:c>
      <x:c r="P153" s="3" t="str">
        <x:v>assistant</x:v>
      </x:c>
      <x:c r="Q153" s="3" t="str">
        <x:f>IF(OR(H153='Read Me + Evidence'!$K$6,H153='Read Me + Evidence'!$K$7,H153='Read Me + Evidence'!$K$8,P153='Read Me + Evidence'!$K$9,P153='Read Me + Evidence'!$K$10),'Read Me + Evidence'!$K$12,'Read Me + Evidence'!$K$11)</x:f>
        <x:v>GUI</x:v>
      </x:c>
      <x:c r="R153" s="14" t="n">
        <x:f>IF(AND(Q153='Read Me + Evidence'!$K$11,OR(D153='Read Me + Evidence'!$H$7,D153='Read Me + Evidence'!$H$8,D153='Read Me + Evidence'!$H$9)),1,0)</x:f>
        <x:v>1</x:v>
      </x:c>
      <x:c r="S153" s="14" t="n">
        <x:f>IF(AND(Q153='Read Me + Evidence'!$K$11,D153='Read Me + Evidence'!$H$7),1,0)</x:f>
        <x:v>0</x:v>
      </x:c>
      <x:c r="T153" s="14" t="n">
        <x:f>IF(AND(Q153='Read Me + Evidence'!$K$11,D153&lt;&gt;'Read Me + Evidence'!$H$12),1,0)</x:f>
        <x:v>1</x:v>
      </x:c>
      <x:c r="U153" s="3" t="str"/>
    </x:row>
    <x:row r="154" ht="153" customHeight="1">
      <x:c r="A154" s="3" t="str">
        <x:v>AI-04</x:v>
      </x:c>
      <x:c r="B154" s="3" t="str">
        <x:v>Assistant</x:v>
      </x:c>
      <x:c r="C154" s="3" t="str">
        <x:v>No model offers</x:v>
      </x:c>
      <x:c r="D154" s="13" t="str">
        <x:v>Pass</x:v>
      </x:c>
      <x:c r="E154" s="3" t="str">
        <x:v>Assistant distinguishes no configured offer from provider startup failure; it does not invent a backend.</x:v>
      </x:c>
      <x:c r="F154" s="12" t="str">
        <x:v>Final03757c2b: Assistant completes startup and reports No model offers available. Chat/Build show No text offers with disabled selector/Send; Studio shows No image or video offers and disabled Generate. F-16/F-17 repaired; no workspace-save error.</x:v>
      </x:c>
      <x:c r="G154" s="3" t="str">
        <x:v>safe-read-only</x:v>
      </x:c>
      <x:c r="H154" s="3" t="str">
        <x:v>implemented-config-gated</x:v>
      </x:c>
      <x:c r="I154" s="3" t="str">
        <x:v>Offer selector; No text/image/video offers; Disabled send</x:v>
      </x:c>
      <x:c r="J154" s="3" t="str">
        <x:v>1. Open each mode with zero configured offers</x:v>
      </x:c>
      <x:c r="K154" s="3" t="str">
        <x:v>Zero-offer configuration</x:v>
      </x:c>
      <x:c r="L154" s="3" t="str">
        <x:v>F-02; F-08; F-16</x:v>
      </x:c>
      <x:c r="M154" s="3" t="str"/>
      <x:c r="N154" s="3" t="str">
        <x:v>E-034; E-036; E-038; E-039</x:v>
      </x:c>
      <x:c r="O154" s="3" t="str">
        <x:v>S-147</x:v>
      </x:c>
      <x:c r="P154" s="3" t="str">
        <x:v>assistant</x:v>
      </x:c>
      <x:c r="Q154" s="3" t="str">
        <x:f>IF(OR(H154='Read Me + Evidence'!$K$6,H154='Read Me + Evidence'!$K$7,H154='Read Me + Evidence'!$K$8,P154='Read Me + Evidence'!$K$9,P154='Read Me + Evidence'!$K$10),'Read Me + Evidence'!$K$12,'Read Me + Evidence'!$K$11)</x:f>
        <x:v>GUI</x:v>
      </x:c>
      <x:c r="R154" s="14" t="n">
        <x:f>IF(AND(Q154='Read Me + Evidence'!$K$11,OR(D154='Read Me + Evidence'!$H$7,D154='Read Me + Evidence'!$H$8,D154='Read Me + Evidence'!$H$9)),1,0)</x:f>
        <x:v>1</x:v>
      </x:c>
      <x:c r="S154" s="14" t="n">
        <x:f>IF(AND(Q154='Read Me + Evidence'!$K$11,D154='Read Me + Evidence'!$H$7),1,0)</x:f>
        <x:v>1</x:v>
      </x:c>
      <x:c r="T154" s="14" t="n">
        <x:f>IF(AND(Q154='Read Me + Evidence'!$K$11,D154&lt;&gt;'Read Me + Evidence'!$H$12),1,0)</x:f>
        <x:v>1</x:v>
      </x:c>
      <x:c r="U154" s="3" t="str"/>
    </x:row>
    <x:row r="155" ht="153" customHeight="1">
      <x:c r="A155" s="3" t="str">
        <x:v>AI-05</x:v>
      </x:c>
      <x:c r="B155" s="3" t="str">
        <x:v>Assistant</x:v>
      </x:c>
      <x:c r="C155" s="3" t="str">
        <x:v>Chat run</x:v>
      </x:c>
      <x:c r="D155" s="13" t="str">
        <x:v>Blocked prerequisite</x:v>
      </x:c>
      <x:c r="E155" s="3" t="str">
        <x:v>Runtime owns admission/provider/run lifecycle; Assistant receives typed events and public output only.</x:v>
      </x:c>
      <x:c r="F155" s="12" t="str">
        <x:v>Installed Assistant now starts correctly but exposes zero configured model offers. A compatible approved backend/offer and model/cost consent are required for this run branch; no request was submitted.</x:v>
      </x:c>
      <x:c r="G155" s="3" t="str">
        <x:v>controlled-model</x:v>
      </x:c>
      <x:c r="H155" s="3" t="str">
        <x:v>implemented-config-gated</x:v>
      </x:c>
      <x:c r="I155" s="3" t="str">
        <x:v>Prompt; Offer; Send; Streaming response</x:v>
      </x:c>
      <x:c r="J155" s="3" t="str">
        <x:v>1. Use approved harmless prompt and configured text offer</x:v>
      </x:c>
      <x:c r="K155" s="3" t="str">
        <x:v>Configured provider/offer; User consent to model submission</x:v>
      </x:c>
      <x:c r="L155" s="3" t="str"/>
      <x:c r="M155" s="3" t="str"/>
      <x:c r="N155" s="3" t="str">
        <x:v>E-036; E-038; E-039</x:v>
      </x:c>
      <x:c r="O155" s="3" t="str">
        <x:v>S-148</x:v>
      </x:c>
      <x:c r="P155" s="3" t="str">
        <x:v>assistant</x:v>
      </x:c>
      <x:c r="Q155" s="3" t="str">
        <x:f>IF(OR(H155='Read Me + Evidence'!$K$6,H155='Read Me + Evidence'!$K$7,H155='Read Me + Evidence'!$K$8,P155='Read Me + Evidence'!$K$9,P155='Read Me + Evidence'!$K$10),'Read Me + Evidence'!$K$12,'Read Me + Evidence'!$K$11)</x:f>
        <x:v>GUI</x:v>
      </x:c>
      <x:c r="R155" s="14" t="n">
        <x:f>IF(AND(Q155='Read Me + Evidence'!$K$11,OR(D155='Read Me + Evidence'!$H$7,D155='Read Me + Evidence'!$H$8,D155='Read Me + Evidence'!$H$9)),1,0)</x:f>
        <x:v>0</x:v>
      </x:c>
      <x:c r="S155" s="14" t="n">
        <x:f>IF(AND(Q155='Read Me + Evidence'!$K$11,D155='Read Me + Evidence'!$H$7),1,0)</x:f>
        <x:v>0</x:v>
      </x:c>
      <x:c r="T155" s="14" t="n">
        <x:f>IF(AND(Q155='Read Me + Evidence'!$K$11,D155&lt;&gt;'Read Me + Evidence'!$H$12),1,0)</x:f>
        <x:v>1</x:v>
      </x:c>
      <x:c r="U155" s="3" t="str"/>
    </x:row>
    <x:row r="156" ht="153" customHeight="1">
      <x:c r="A156" s="3" t="str">
        <x:v>AI-06</x:v>
      </x:c>
      <x:c r="B156" s="3" t="str">
        <x:v>Assistant</x:v>
      </x:c>
      <x:c r="C156" s="3" t="str">
        <x:v>Build mode</x:v>
      </x:c>
      <x:c r="D156" s="13" t="str">
        <x:v>Blocked prerequisite</x:v>
      </x:c>
      <x:c r="E156" s="3" t="str">
        <x:v>Build is typed model/workspace behavior; UI does not acquire arbitrary host execution authority.</x:v>
      </x:c>
      <x:c r="F156" s="12" t="str">
        <x:v>Installed Assistant now starts correctly but exposes zero configured model offers. A compatible approved backend/offer and model/cost consent are required for this run branch; no request was submitted.</x:v>
      </x:c>
      <x:c r="G156" s="3" t="str">
        <x:v>controlled-model</x:v>
      </x:c>
      <x:c r="H156" s="3" t="str">
        <x:v>implemented-config-gated</x:v>
      </x:c>
      <x:c r="I156" s="3" t="str">
        <x:v>Build prompt; Offer; Send; Output</x:v>
      </x:c>
      <x:c r="J156" s="3" t="str">
        <x:v>1. Submit bounded code request only to approved offer</x:v>
      </x:c>
      <x:c r="K156" s="3" t="str">
        <x:v>Configured text offer; Disposable workspace</x:v>
      </x:c>
      <x:c r="L156" s="3" t="str"/>
      <x:c r="M156" s="3" t="str"/>
      <x:c r="N156" s="3" t="str">
        <x:v>E-036; E-038; E-039</x:v>
      </x:c>
      <x:c r="O156" s="3" t="str">
        <x:v>S-148</x:v>
      </x:c>
      <x:c r="P156" s="3" t="str">
        <x:v>assistant</x:v>
      </x:c>
      <x:c r="Q156" s="3" t="str">
        <x:f>IF(OR(H156='Read Me + Evidence'!$K$6,H156='Read Me + Evidence'!$K$7,H156='Read Me + Evidence'!$K$8,P156='Read Me + Evidence'!$K$9,P156='Read Me + Evidence'!$K$10),'Read Me + Evidence'!$K$12,'Read Me + Evidence'!$K$11)</x:f>
        <x:v>GUI</x:v>
      </x:c>
      <x:c r="R156" s="14" t="n">
        <x:f>IF(AND(Q156='Read Me + Evidence'!$K$11,OR(D156='Read Me + Evidence'!$H$7,D156='Read Me + Evidence'!$H$8,D156='Read Me + Evidence'!$H$9)),1,0)</x:f>
        <x:v>0</x:v>
      </x:c>
      <x:c r="S156" s="14" t="n">
        <x:f>IF(AND(Q156='Read Me + Evidence'!$K$11,D156='Read Me + Evidence'!$H$7),1,0)</x:f>
        <x:v>0</x:v>
      </x:c>
      <x:c r="T156" s="14" t="n">
        <x:f>IF(AND(Q156='Read Me + Evidence'!$K$11,D156&lt;&gt;'Read Me + Evidence'!$H$12),1,0)</x:f>
        <x:v>1</x:v>
      </x:c>
      <x:c r="U156" s="3" t="str"/>
    </x:row>
    <x:row r="157" ht="153" customHeight="1">
      <x:c r="A157" s="3" t="str">
        <x:v>AI-07</x:v>
      </x:c>
      <x:c r="B157" s="3" t="str">
        <x:v>Assistant</x:v>
      </x:c>
      <x:c r="C157" s="3" t="str">
        <x:v>Studio generation</x:v>
      </x:c>
      <x:c r="D157" s="13" t="str">
        <x:v>Blocked prerequisite</x:v>
      </x:c>
      <x:c r="E157" s="3" t="str">
        <x:v>Provider returns typed bounded content result; no raw backend URL or credential reaches app.</x:v>
      </x:c>
      <x:c r="F157" s="12" t="str">
        <x:v>Installed Assistant now starts correctly but exposes zero configured model offers. A compatible approved backend/offer and model/cost consent are required for this run branch; no request was submitted.</x:v>
      </x:c>
      <x:c r="G157" s="3" t="str">
        <x:v>controlled-model</x:v>
      </x:c>
      <x:c r="H157" s="3" t="str">
        <x:v>implemented-config-gated</x:v>
      </x:c>
      <x:c r="I157" s="3" t="str">
        <x:v>Image/video offer; Generate; Progress; Result</x:v>
      </x:c>
      <x:c r="J157" s="3" t="str">
        <x:v>1. Inspect supported operation
2. Generate only approved small artifact</x:v>
      </x:c>
      <x:c r="K157" s="3" t="str">
        <x:v>Configured image/video offer; Cost approval</x:v>
      </x:c>
      <x:c r="L157" s="3" t="str"/>
      <x:c r="M157" s="3" t="str"/>
      <x:c r="N157" s="3" t="str">
        <x:v>E-036; E-038; E-039</x:v>
      </x:c>
      <x:c r="O157" s="3" t="str">
        <x:v>S-149</x:v>
      </x:c>
      <x:c r="P157" s="3" t="str">
        <x:v>assistant</x:v>
      </x:c>
      <x:c r="Q157" s="3" t="str">
        <x:f>IF(OR(H157='Read Me + Evidence'!$K$6,H157='Read Me + Evidence'!$K$7,H157='Read Me + Evidence'!$K$8,P157='Read Me + Evidence'!$K$9,P157='Read Me + Evidence'!$K$10),'Read Me + Evidence'!$K$12,'Read Me + Evidence'!$K$11)</x:f>
        <x:v>GUI</x:v>
      </x:c>
      <x:c r="R157" s="14" t="n">
        <x:f>IF(AND(Q157='Read Me + Evidence'!$K$11,OR(D157='Read Me + Evidence'!$H$7,D157='Read Me + Evidence'!$H$8,D157='Read Me + Evidence'!$H$9)),1,0)</x:f>
        <x:v>0</x:v>
      </x:c>
      <x:c r="S157" s="14" t="n">
        <x:f>IF(AND(Q157='Read Me + Evidence'!$K$11,D157='Read Me + Evidence'!$H$7),1,0)</x:f>
        <x:v>0</x:v>
      </x:c>
      <x:c r="T157" s="14" t="n">
        <x:f>IF(AND(Q157='Read Me + Evidence'!$K$11,D157&lt;&gt;'Read Me + Evidence'!$H$12),1,0)</x:f>
        <x:v>1</x:v>
      </x:c>
      <x:c r="U157" s="3" t="str"/>
    </x:row>
    <x:row r="158" ht="153" customHeight="1">
      <x:c r="A158" s="3" t="str">
        <x:v>AI-08</x:v>
      </x:c>
      <x:c r="B158" s="3" t="str">
        <x:v>Assistant</x:v>
      </x:c>
      <x:c r="C158" s="3" t="str">
        <x:v>Cancel and failure</x:v>
      </x:c>
      <x:c r="D158" s="13" t="str">
        <x:v>Blocked prerequisite</x:v>
      </x:c>
      <x:c r="E158" s="3" t="str">
        <x:v>Cancellation settles exact run; errors do not claim success or duplicate work.</x:v>
      </x:c>
      <x:c r="F158" s="12" t="str">
        <x:v>Installed Assistant now starts correctly but exposes zero configured model offers. A compatible approved backend/offer and model/cost consent are required for this run branch; no request was submitted.</x:v>
      </x:c>
      <x:c r="G158" s="3" t="str">
        <x:v>controlled-model</x:v>
      </x:c>
      <x:c r="H158" s="3" t="str">
        <x:v>implemented-config-gated</x:v>
      </x:c>
      <x:c r="I158" s="3" t="str">
        <x:v>Stop; Run failed/cancelled; Retry by new run</x:v>
      </x:c>
      <x:c r="J158" s="3" t="str">
        <x:v>1. Start controlled bounded run
2. Stop once
3. Inspect terminal state</x:v>
      </x:c>
      <x:c r="K158" s="3" t="str">
        <x:v>Controlled model run</x:v>
      </x:c>
      <x:c r="L158" s="3" t="str"/>
      <x:c r="M158" s="3" t="str"/>
      <x:c r="N158" s="3" t="str">
        <x:v>E-036; E-038; E-039</x:v>
      </x:c>
      <x:c r="O158" s="3" t="str">
        <x:v>S-148</x:v>
      </x:c>
      <x:c r="P158" s="3" t="str">
        <x:v>assistant</x:v>
      </x:c>
      <x:c r="Q158" s="3" t="str">
        <x:f>IF(OR(H158='Read Me + Evidence'!$K$6,H158='Read Me + Evidence'!$K$7,H158='Read Me + Evidence'!$K$8,P158='Read Me + Evidence'!$K$9,P158='Read Me + Evidence'!$K$10),'Read Me + Evidence'!$K$12,'Read Me + Evidence'!$K$11)</x:f>
        <x:v>GUI</x:v>
      </x:c>
      <x:c r="R158" s="14" t="n">
        <x:f>IF(AND(Q158='Read Me + Evidence'!$K$11,OR(D158='Read Me + Evidence'!$H$7,D158='Read Me + Evidence'!$H$8,D158='Read Me + Evidence'!$H$9)),1,0)</x:f>
        <x:v>0</x:v>
      </x:c>
      <x:c r="S158" s="14" t="n">
        <x:f>IF(AND(Q158='Read Me + Evidence'!$K$11,D158='Read Me + Evidence'!$H$7),1,0)</x:f>
        <x:v>0</x:v>
      </x:c>
      <x:c r="T158" s="14" t="n">
        <x:f>IF(AND(Q158='Read Me + Evidence'!$K$11,D158&lt;&gt;'Read Me + Evidence'!$H$12),1,0)</x:f>
        <x:v>1</x:v>
      </x:c>
      <x:c r="U158" s="3" t="str"/>
    </x:row>
    <x:row r="159" ht="153" customHeight="1">
      <x:c r="A159" s="3" t="str">
        <x:v>AI-09</x:v>
      </x:c>
      <x:c r="B159" s="3" t="str">
        <x:v>Assistant</x:v>
      </x:c>
      <x:c r="C159" s="3" t="str">
        <x:v>Safe rendering</x:v>
      </x:c>
      <x:c r="D159" s="13" t="str">
        <x:v>Blocked prerequisite</x:v>
      </x:c>
      <x:c r="E159" s="3" t="str">
        <x:v>Untrusted output renders through bounded safe subset and vendored math; arbitrary HTML/network links remain inert.</x:v>
      </x:c>
      <x:c r="F159" s="12" t="str">
        <x:v>No approved generated response fixture is present for live HTML/math/code rendering. Existing source rendering tests remain separate from GUI proof.</x:v>
      </x:c>
      <x:c r="G159" s="3" t="str">
        <x:v>safe-read-only</x:v>
      </x:c>
      <x:c r="H159" s="3" t="str">
        <x:v>implemented-source</x:v>
      </x:c>
      <x:c r="I159" s="3" t="str">
        <x:v>Markdown; Tables; Code; Inline/display math; Inert links</x:v>
      </x:c>
      <x:c r="J159" s="3" t="str">
        <x:v>1. Inspect controlled literal HTML/math/code output</x:v>
      </x:c>
      <x:c r="K159" s="3" t="str">
        <x:v>Harmless rendering fixture</x:v>
      </x:c>
      <x:c r="L159" s="3" t="str"/>
      <x:c r="M159" s="3" t="str"/>
      <x:c r="N159" s="3" t="str">
        <x:v>E-038; E-039</x:v>
      </x:c>
      <x:c r="O159" s="3" t="str">
        <x:v>S-150</x:v>
      </x:c>
      <x:c r="P159" s="3" t="str">
        <x:v>assistant</x:v>
      </x:c>
      <x:c r="Q159" s="3" t="str">
        <x:f>IF(OR(H159='Read Me + Evidence'!$K$6,H159='Read Me + Evidence'!$K$7,H159='Read Me + Evidence'!$K$8,P159='Read Me + Evidence'!$K$9,P159='Read Me + Evidence'!$K$10),'Read Me + Evidence'!$K$12,'Read Me + Evidence'!$K$11)</x:f>
        <x:v>GUI</x:v>
      </x:c>
      <x:c r="R159" s="14" t="n">
        <x:f>IF(AND(Q159='Read Me + Evidence'!$K$11,OR(D159='Read Me + Evidence'!$H$7,D159='Read Me + Evidence'!$H$8,D159='Read Me + Evidence'!$H$9)),1,0)</x:f>
        <x:v>0</x:v>
      </x:c>
      <x:c r="S159" s="14" t="n">
        <x:f>IF(AND(Q159='Read Me + Evidence'!$K$11,D159='Read Me + Evidence'!$H$7),1,0)</x:f>
        <x:v>0</x:v>
      </x:c>
      <x:c r="T159" s="14" t="n">
        <x:f>IF(AND(Q159='Read Me + Evidence'!$K$11,D159&lt;&gt;'Read Me + Evidence'!$H$12),1,0)</x:f>
        <x:v>1</x:v>
      </x:c>
      <x:c r="U159" s="3" t="str"/>
    </x:row>
    <x:row r="160" ht="153" customHeight="1">
      <x:c r="A160" s="3" t="str">
        <x:v>AI-10</x:v>
      </x:c>
      <x:c r="B160" s="3" t="str">
        <x:v>Assistant</x:v>
      </x:c>
      <x:c r="C160" s="3" t="str">
        <x:v>Typed content output</x:v>
      </x:c>
      <x:c r="D160" s="13" t="str">
        <x:v>Blocked prerequisite</x:v>
      </x:c>
      <x:c r="E160" s="3" t="str">
        <x:v>Only validated Runtime content resource launches; ordinary URLs do not gain authority.</x:v>
      </x:c>
      <x:c r="F160" s="12" t="str">
        <x:v>No approved typed generated artifact exists. Content-open authority and unavailable-link behavior need a controlled output fixture.</x:v>
      </x:c>
      <x:c r="G160" s="3" t="str">
        <x:v>controlled-session</x:v>
      </x:c>
      <x:c r="H160" s="3" t="str">
        <x:v>implemented-config-gated</x:v>
      </x:c>
      <x:c r="I160" s="3" t="str">
        <x:v>Studio result; Content link</x:v>
      </x:c>
      <x:c r="J160" s="3" t="str">
        <x:v>1. Open approved typed artifact
2. Inspect unavailable link branch</x:v>
      </x:c>
      <x:c r="K160" s="3" t="str">
        <x:v>Approved generated artifact</x:v>
      </x:c>
      <x:c r="L160" s="3" t="str"/>
      <x:c r="M160" s="3" t="str"/>
      <x:c r="N160" s="3" t="str">
        <x:v>E-038; E-039</x:v>
      </x:c>
      <x:c r="O160" s="3" t="str">
        <x:v>S-151</x:v>
      </x:c>
      <x:c r="P160" s="3" t="str">
        <x:v>assistant</x:v>
      </x:c>
      <x:c r="Q160" s="3" t="str">
        <x:f>IF(OR(H160='Read Me + Evidence'!$K$6,H160='Read Me + Evidence'!$K$7,H160='Read Me + Evidence'!$K$8,P160='Read Me + Evidence'!$K$9,P160='Read Me + Evidence'!$K$10),'Read Me + Evidence'!$K$12,'Read Me + Evidence'!$K$11)</x:f>
        <x:v>GUI</x:v>
      </x:c>
      <x:c r="R160" s="14" t="n">
        <x:f>IF(AND(Q160='Read Me + Evidence'!$K$11,OR(D160='Read Me + Evidence'!$H$7,D160='Read Me + Evidence'!$H$8,D160='Read Me + Evidence'!$H$9)),1,0)</x:f>
        <x:v>0</x:v>
      </x:c>
      <x:c r="S160" s="14" t="n">
        <x:f>IF(AND(Q160='Read Me + Evidence'!$K$11,D160='Read Me + Evidence'!$H$7),1,0)</x:f>
        <x:v>0</x:v>
      </x:c>
      <x:c r="T160" s="14" t="n">
        <x:f>IF(AND(Q160='Read Me + Evidence'!$K$11,D160&lt;&gt;'Read Me + Evidence'!$H$12),1,0)</x:f>
        <x:v>1</x:v>
      </x:c>
      <x:c r="U160" s="3" t="str"/>
    </x:row>
    <x:row r="161" ht="153" customHeight="1">
      <x:c r="A161" s="3" t="str">
        <x:v>AI-11</x:v>
      </x:c>
      <x:c r="B161" s="3" t="str">
        <x:v>Assistant</x:v>
      </x:c>
      <x:c r="C161" s="3" t="str">
        <x:v>Transcript Clipboard</x:v>
      </x:c>
      <x:c r="D161" s="13" t="str">
        <x:v>Blocked prerequisite</x:v>
      </x:c>
      <x:c r="E161" s="3" t="str">
        <x:v>Home Clipboard mediates copy and reports denial without exposing other sessions.</x:v>
      </x:c>
      <x:c r="F161" s="12" t="str">
        <x:v>No harmless test transcript exists because no model offer is configured. Existing sessions/host Clipboard were preserved.</x:v>
      </x:c>
      <x:c r="G161" s="3" t="str">
        <x:v>controlled-clipboard</x:v>
      </x:c>
      <x:c r="H161" s="3" t="str">
        <x:v>implemented-source</x:v>
      </x:c>
      <x:c r="I161" s="3" t="str">
        <x:v>Copy transcript; Copy status</x:v>
      </x:c>
      <x:c r="J161" s="3" t="str">
        <x:v>1. Copy harmless test transcript
2. Deny once</x:v>
      </x:c>
      <x:c r="K161" s="3" t="str">
        <x:v>Harmless disposable transcript</x:v>
      </x:c>
      <x:c r="L161" s="3" t="str"/>
      <x:c r="M161" s="3" t="str"/>
      <x:c r="N161" s="3" t="str">
        <x:v>E-039</x:v>
      </x:c>
      <x:c r="O161" s="3" t="str">
        <x:v>S-152</x:v>
      </x:c>
      <x:c r="P161" s="3" t="str">
        <x:v>assistant</x:v>
      </x:c>
      <x:c r="Q161" s="3" t="str">
        <x:f>IF(OR(H161='Read Me + Evidence'!$K$6,H161='Read Me + Evidence'!$K$7,H161='Read Me + Evidence'!$K$8,P161='Read Me + Evidence'!$K$9,P161='Read Me + Evidence'!$K$10),'Read Me + Evidence'!$K$12,'Read Me + Evidence'!$K$11)</x:f>
        <x:v>GUI</x:v>
      </x:c>
      <x:c r="R161" s="14" t="n">
        <x:f>IF(AND(Q161='Read Me + Evidence'!$K$11,OR(D161='Read Me + Evidence'!$H$7,D161='Read Me + Evidence'!$H$8,D161='Read Me + Evidence'!$H$9)),1,0)</x:f>
        <x:v>0</x:v>
      </x:c>
      <x:c r="S161" s="14" t="n">
        <x:f>IF(AND(Q161='Read Me + Evidence'!$K$11,D161='Read Me + Evidence'!$H$7),1,0)</x:f>
        <x:v>0</x:v>
      </x:c>
      <x:c r="T161" s="14" t="n">
        <x:f>IF(AND(Q161='Read Me + Evidence'!$K$11,D161&lt;&gt;'Read Me + Evidence'!$H$12),1,0)</x:f>
        <x:v>1</x:v>
      </x:c>
      <x:c r="U161" s="3" t="str"/>
    </x:row>
    <x:row r="162" ht="153" customHeight="1">
      <x:c r="A162" s="3" t="str">
        <x:v>AI-12</x:v>
      </x:c>
      <x:c r="B162" s="3" t="str">
        <x:v>Assistant</x:v>
      </x:c>
      <x:c r="C162" s="3" t="str">
        <x:v>Reopen/conflict</x:v>
      </x:c>
      <x:c r="D162" s="13" t="str">
        <x:v>Partially observed</x:v>
      </x:c>
      <x:c r="E162" s="3" t="str">
        <x:v>Runtime workspace revisions govern persistence; stale UI does not overwrite silently.</x:v>
      </x:c>
      <x:c r="F162" s="12" t="str">
        <x:v>E-039 proves mode and empty workspace survive closing/reopening a new app frame. Current reopened Assistant again loads that workspace and accepts harmless starter/search actions. Populated-session revision conflict needs a dedicated disposable concurrent fixture.</x:v>
      </x:c>
      <x:c r="G162" s="3" t="str">
        <x:v>controlled-files</x:v>
      </x:c>
      <x:c r="H162" s="3" t="str">
        <x:v>implemented-source</x:v>
      </x:c>
      <x:c r="I162" s="3" t="str">
        <x:v>Close; Reopen; Workspace conflict message</x:v>
      </x:c>
      <x:c r="J162" s="3" t="str">
        <x:v>1. Reopen disposable session
2. Inspect save/conflict state</x:v>
      </x:c>
      <x:c r="K162" s="3" t="str">
        <x:v>Disposable Assistant workspace</x:v>
      </x:c>
      <x:c r="L162" s="3" t="str"/>
      <x:c r="M162" s="3" t="str"/>
      <x:c r="N162" s="3" t="str">
        <x:v>E-039; E-054</x:v>
      </x:c>
      <x:c r="O162" s="3" t="str">
        <x:v>S-153</x:v>
      </x:c>
      <x:c r="P162" s="3" t="str">
        <x:v>assistant</x:v>
      </x:c>
      <x:c r="Q162" s="3" t="str">
        <x:f>IF(OR(H162='Read Me + Evidence'!$K$6,H162='Read Me + Evidence'!$K$7,H162='Read Me + Evidence'!$K$8,P162='Read Me + Evidence'!$K$9,P162='Read Me + Evidence'!$K$10),'Read Me + Evidence'!$K$12,'Read Me + Evidence'!$K$11)</x:f>
        <x:v>GUI</x:v>
      </x:c>
      <x:c r="R162" s="14" t="n">
        <x:f>IF(AND(Q162='Read Me + Evidence'!$K$11,OR(D162='Read Me + Evidence'!$H$7,D162='Read Me + Evidence'!$H$8,D162='Read Me + Evidence'!$H$9)),1,0)</x:f>
        <x:v>1</x:v>
      </x:c>
      <x:c r="S162" s="14" t="n">
        <x:f>IF(AND(Q162='Read Me + Evidence'!$K$11,D162='Read Me + Evidence'!$H$7),1,0)</x:f>
        <x:v>0</x:v>
      </x:c>
      <x:c r="T162" s="14" t="n">
        <x:f>IF(AND(Q162='Read Me + Evidence'!$K$11,D162&lt;&gt;'Read Me + Evidence'!$H$12),1,0)</x:f>
        <x:v>1</x:v>
      </x:c>
      <x:c r="U162" s="3" t="str"/>
    </x:row>
    <x:row r="163" ht="153" customHeight="1">
      <x:c r="A163" s="3" t="str">
        <x:v>MODEL-01</x:v>
      </x:c>
      <x:c r="B163" s="3" t="str">
        <x:v>Model bootstrap and identity</x:v>
      </x:c>
      <x:c r="C163" s="3" t="str">
        <x:v>Native startup contract</x:v>
      </x:c>
      <x:c r="D163" s="13" t="str">
        <x:v>Pass</x:v>
      </x:c>
      <x:c r="E163" s="3" t="str">
        <x:v>Runtime can start the provider through the shared Init contract, confirm readiness and read offers.</x:v>
      </x:c>
      <x:c r="F163" s="12" t="str">
        <x:v>The installed candidate starts model-provider through the shared Init contract and confirms readiness. The release and installed provider artifacts match. Assistant reaches the truthful zero-offer state; one approved compatible offer is the next setup requirement.</x:v>
      </x:c>
      <x:c r="G163" s="3" t="str">
        <x:v>safe-read-only</x:v>
      </x:c>
      <x:c r="H163" s="3" t="str">
        <x:v>implemented-config-gated</x:v>
      </x:c>
      <x:c r="I163" s="3" t="str">
        <x:v>Background Init/readiness; no app control</x:v>
      </x:c>
      <x:c r="J163" s="3" t="str">
        <x:v>1. Compare Runtime Init envelope to strict model Init parser</x:v>
      </x:c>
      <x:c r="K163" s="3" t="str">
        <x:v>Source diagnosis only</x:v>
      </x:c>
      <x:c r="L163" s="3" t="str">
        <x:v>F-02</x:v>
      </x:c>
      <x:c r="M163" s="3" t="str">
        <x:v>Prior startup log reported model-provider startup failed; source shows incompatible normal Init envelope. [Prior bounded startup finding; no new provider execution/test in this audit.]</x:v>
      </x:c>
      <x:c r="N163" s="3" t="str">
        <x:v>E-036; E-039; E-054; E-108</x:v>
      </x:c>
      <x:c r="O163" s="3" t="str">
        <x:v>S-154, S-155, S-156</x:v>
      </x:c>
      <x:c r="P163" s="3" t="str">
        <x:v>model-provider</x:v>
      </x:c>
      <x:c r="Q163" s="3" t="str">
        <x:f>IF(OR(H163='Read Me + Evidence'!$K$6,H163='Read Me + Evidence'!$K$7,H163='Read Me + Evidence'!$K$8,P163='Read Me + Evidence'!$K$9,P163='Read Me + Evidence'!$K$10),'Read Me + Evidence'!$K$12,'Read Me + Evidence'!$K$11)</x:f>
        <x:v>Source only</x:v>
      </x:c>
      <x:c r="R163" s="14" t="n">
        <x:f>IF(AND(Q163='Read Me + Evidence'!$K$11,OR(D163='Read Me + Evidence'!$H$7,D163='Read Me + Evidence'!$H$8,D163='Read Me + Evidence'!$H$9)),1,0)</x:f>
        <x:v>0</x:v>
      </x:c>
      <x:c r="S163" s="14" t="n">
        <x:f>IF(AND(Q163='Read Me + Evidence'!$K$11,D163='Read Me + Evidence'!$H$7),1,0)</x:f>
        <x:v>0</x:v>
      </x:c>
      <x:c r="T163" s="14" t="n">
        <x:f>IF(AND(Q163='Read Me + Evidence'!$K$11,D163&lt;&gt;'Read Me + Evidence'!$H$12),1,0)</x:f>
        <x:v>0</x:v>
      </x:c>
      <x:c r="U163" s="3" t="str">
        <x:v>Source c95cf4c9 and 7c4fc929: verified bootstrap artifacts and bounded local engine lifecycle. Combined model provider tests pass (182 unit, 5 process; one existing ignored case). Existing installed verdict is unchanged.</x:v>
      </x:c>
    </x:row>
    <x:row r="164" ht="153" customHeight="1">
      <x:c r="A164" s="3" t="str">
        <x:v>MODEL-02</x:v>
      </x:c>
      <x:c r="B164" s="3" t="str">
        <x:v>Model bootstrap and identity</x:v>
      </x:c>
      <x:c r="C164" s="3" t="str">
        <x:v>First usable local offer</x:v>
      </x:c>
      <x:c r="D164" s="13" t="str">
        <x:v>Blocked prerequisite</x:v>
      </x:c>
      <x:c r="E164" s="3" t="str">
        <x:v>The user can select an approved compatible available model, see readiness and download size before starting, and proceed without guessing an API endpoint or seeing topology.</x:v>
      </x:c>
      <x:c r="F164" s="12" t="str">
        <x:v>Source-home installs the native model provider but supplies no selected compatible inference backend or model weights. Operator choice and approval are required.</x:v>
      </x:c>
      <x:c r="G164" s="3" t="str">
        <x:v>privileged-operator</x:v>
      </x:c>
      <x:c r="H164" s="3" t="str">
        <x:v>proposed-needs-decision</x:v>
      </x:c>
      <x:c r="I164" s="3" t="str">
        <x:v>Operator offer configuration; Assistant selector</x:v>
      </x:c>
      <x:c r="J164" s="3" t="str">
        <x:v>1. Inventory installed model assets and selected source-home profile</x:v>
      </x:c>
      <x:c r="K164" s="3" t="str">
        <x:v>Operator-selected compatible model backend</x:v>
      </x:c>
      <x:c r="L164" s="3" t="str">
        <x:v>F-08</x:v>
      </x:c>
      <x:c r="M164" s="3" t="str"/>
      <x:c r="N164" s="3" t="str">
        <x:v>E-036; E-039</x:v>
      </x:c>
      <x:c r="O164" s="3" t="str">
        <x:v>S-157, S-158, S-159</x:v>
      </x:c>
      <x:c r="P164" s="3" t="str">
        <x:v>model-provider</x:v>
      </x:c>
      <x:c r="Q164" s="3" t="str">
        <x:f>IF(OR(H164='Read Me + Evidence'!$K$6,H164='Read Me + Evidence'!$K$7,H164='Read Me + Evidence'!$K$8,P164='Read Me + Evidence'!$K$9,P164='Read Me + Evidence'!$K$10),'Read Me + Evidence'!$K$12,'Read Me + Evidence'!$K$11)</x:f>
        <x:v>Source only</x:v>
      </x:c>
      <x:c r="R164" s="14" t="n">
        <x:f>IF(AND(Q164='Read Me + Evidence'!$K$11,OR(D164='Read Me + Evidence'!$H$7,D164='Read Me + Evidence'!$H$8,D164='Read Me + Evidence'!$H$9)),1,0)</x:f>
        <x:v>0</x:v>
      </x:c>
      <x:c r="S164" s="14" t="n">
        <x:f>IF(AND(Q164='Read Me + Evidence'!$K$11,D164='Read Me + Evidence'!$H$7),1,0)</x:f>
        <x:v>0</x:v>
      </x:c>
      <x:c r="T164" s="14" t="n">
        <x:f>IF(AND(Q164='Read Me + Evidence'!$K$11,D164&lt;&gt;'Read Me + Evidence'!$H$12),1,0)</x:f>
        <x:v>0</x:v>
      </x:c>
      <x:c r="U164" s="3" t="str">
        <x:v>Source 8e6d298d: 21 tests cover pending cancellation, late acceptance and saved-turn recovery. Lost create responses retain unknown acceptance and block implicit resend. Agent queue acceptance clears copied text; Runtime acceptance is separate. Local engine/model verification and hosted fixtures remain covered. CID Get remains planned. Installed draft/reload and lost-response interaction proof remain open.</x:v>
      </x:c>
    </x:row>
    <x:row r="165" ht="153" customHeight="1">
      <x:c r="A165" s="3" t="str">
        <x:v>MODEL-03</x:v>
      </x:c>
      <x:c r="B165" s="3" t="str">
        <x:v>Model bootstrap and identity</x:v>
      </x:c>
      <x:c r="C165" s="3" t="str">
        <x:v>Zero offers versus invalid config</x:v>
      </x:c>
      <x:c r="D165" s="13" t="str">
        <x:v>Partially observed</x:v>
      </x:c>
      <x:c r="E165" s="3" t="str">
        <x:v>The UI distinguishes unconfigured from unavailable and gives a useful next action while keeping private configuration details private.</x:v>
      </x:c>
      <x:c r="F165" s="12" t="str">
        <x:v>Missing model configuration is now surfaced as zero offers, distinct from the repaired startup failure. Malformed live config was not injected into this installation.</x:v>
      </x:c>
      <x:c r="G165" s="3" t="str">
        <x:v>privileged-operator</x:v>
      </x:c>
      <x:c r="H165" s="3" t="str">
        <x:v>implemented-config-gated</x:v>
      </x:c>
      <x:c r="I165" s="3" t="str">
        <x:v>Empty offers; Unavailable provider; Error</x:v>
      </x:c>
      <x:c r="J165" s="3" t="str">
        <x:v>1. Compare expected missing-config and malformed-config branches from source</x:v>
      </x:c>
      <x:c r="K165" s="3" t="str">
        <x:v>Source-only configuration boundary</x:v>
      </x:c>
      <x:c r="L165" s="3" t="str">
        <x:v>F-08</x:v>
      </x:c>
      <x:c r="M165" s="3" t="str"/>
      <x:c r="N165" s="3" t="str">
        <x:v>E-036; E-039; E-108</x:v>
      </x:c>
      <x:c r="O165" s="3" t="str">
        <x:v>S-160, S-159</x:v>
      </x:c>
      <x:c r="P165" s="3" t="str">
        <x:v>model-provider</x:v>
      </x:c>
      <x:c r="Q165" s="3" t="str">
        <x:f>IF(OR(H165='Read Me + Evidence'!$K$6,H165='Read Me + Evidence'!$K$7,H165='Read Me + Evidence'!$K$8,P165='Read Me + Evidence'!$K$9,P165='Read Me + Evidence'!$K$10),'Read Me + Evidence'!$K$12,'Read Me + Evidence'!$K$11)</x:f>
        <x:v>Source only</x:v>
      </x:c>
      <x:c r="R165" s="14" t="n">
        <x:f>IF(AND(Q165='Read Me + Evidence'!$K$11,OR(D165='Read Me + Evidence'!$H$7,D165='Read Me + Evidence'!$H$8,D165='Read Me + Evidence'!$H$9)),1,0)</x:f>
        <x:v>0</x:v>
      </x:c>
      <x:c r="S165" s="14" t="n">
        <x:f>IF(AND(Q165='Read Me + Evidence'!$K$11,D165='Read Me + Evidence'!$H$7),1,0)</x:f>
        <x:v>0</x:v>
      </x:c>
      <x:c r="T165" s="14" t="n">
        <x:f>IF(AND(Q165='Read Me + Evidence'!$K$11,D165&lt;&gt;'Read Me + Evidence'!$H$12),1,0)</x:f>
        <x:v>0</x:v>
      </x:c>
      <x:c r="U165" s="3" t="str">
        <x:v>Combined source model tests preserve missing-config zero offers and invalid-config refusal. Hosted terminal evidence and honest unknown cancellation settlement have fixture coverage; installed negative configuration proof remains open.</x:v>
      </x:c>
    </x:row>
    <x:row r="166" ht="153" customHeight="1">
      <x:c r="A166" s="3" t="str">
        <x:v>MODEL-04</x:v>
      </x:c>
      <x:c r="B166" s="3" t="str">
        <x:v>Model bootstrap and identity</x:v>
      </x:c>
      <x:c r="C166" s="3" t="str">
        <x:v>Profile/DID model discovery</x:v>
      </x:c>
      <x:c r="D166" s="13" t="str">
        <x:v>Not applicable</x:v>
      </x:c>
      <x:c r="E166" s="3" t="str">
        <x:v>Profile identifies the service owner. Runtime checks the signed offer and grant, then selects the route while keeping topology private.</x:v>
      </x:c>
      <x:c r="F166" s="12" t="str">
        <x:v>This is deferred protocol/planning scope, not an installed end-user action. Discovery, verified content retrieval, grants and provider invocation stay separate; no remote model authority or installation was invented.</x:v>
      </x:c>
      <x:c r="G166" s="3" t="str">
        <x:v>deferred</x:v>
      </x:c>
      <x:c r="H166" s="3" t="str">
        <x:v>proposed-needs-decision</x:v>
      </x:c>
      <x:c r="I166" s="3" t="str">
        <x:v>Future People/Carrier model offer</x:v>
      </x:c>
      <x:c r="J166" s="3" t="str">
        <x:v>1. Describe desired discovery without fabricating a current control</x:v>
      </x:c>
      <x:c r="K166" s="3" t="str">
        <x:v>Future remote service-offer/grant slice</x:v>
      </x:c>
      <x:c r="L166" s="3" t="str">
        <x:v>F-09</x:v>
      </x:c>
      <x:c r="M166" s="3" t="str"/>
      <x:c r="N166" s="3" t="str">
        <x:v>E-036; E-040</x:v>
      </x:c>
      <x:c r="O166" s="3" t="str">
        <x:v>S-143</x:v>
      </x:c>
      <x:c r="P166" s="3" t="str">
        <x:v>model-provider</x:v>
      </x:c>
      <x:c r="Q166" s="3" t="str">
        <x:f>IF(OR(H166='Read Me + Evidence'!$K$6,H166='Read Me + Evidence'!$K$7,H166='Read Me + Evidence'!$K$8,P166='Read Me + Evidence'!$K$9,P166='Read Me + Evidence'!$K$10),'Read Me + Evidence'!$K$12,'Read Me + Evidence'!$K$11)</x:f>
        <x:v>Source only</x:v>
      </x:c>
      <x:c r="R166" s="14" t="n">
        <x:f>IF(AND(Q166='Read Me + Evidence'!$K$11,OR(D166='Read Me + Evidence'!$H$7,D166='Read Me + Evidence'!$H$8,D166='Read Me + Evidence'!$H$9)),1,0)</x:f>
        <x:v>0</x:v>
      </x:c>
      <x:c r="S166" s="14" t="n">
        <x:f>IF(AND(Q166='Read Me + Evidence'!$K$11,D166='Read Me + Evidence'!$H$7),1,0)</x:f>
        <x:v>0</x:v>
      </x:c>
      <x:c r="T166" s="14" t="n">
        <x:f>IF(AND(Q166='Read Me + Evidence'!$K$11,D166&lt;&gt;'Read Me + Evidence'!$H$12),1,0)</x:f>
        <x:v>0</x:v>
      </x:c>
      <x:c r="U166" s="3" t="str">
        <x:v>Remote Profile-offer discovery and principal grants remain planned. They are not a completed model bootstrap flow.</x:v>
      </x:c>
    </x:row>
    <x:row r="167" ht="153" customHeight="1">
      <x:c r="A167" s="3" t="str">
        <x:v>MODEL-05</x:v>
      </x:c>
      <x:c r="B167" s="3" t="str">
        <x:v>Model bootstrap and identity</x:v>
      </x:c>
      <x:c r="C167" s="3" t="str">
        <x:v>CID weight retrieval</x:v>
      </x:c>
      <x:c r="D167" s="13" t="str">
        <x:v>Not applicable</x:v>
      </x:c>
      <x:c r="E167" s="3" t="str">
        <x:v>The content provider retrieves and verifies an approved CID artifact; a compatible loader makes it usable, and the UI reports download size, progress and readiness.</x:v>
      </x:c>
      <x:c r="F167" s="12" t="str">
        <x:v>This is deferred protocol/planning scope, not an installed end-user action. Discovery, verified content retrieval, grants and provider invocation stay separate; no remote model authority or installation was invented.</x:v>
      </x:c>
      <x:c r="G167" s="3" t="str">
        <x:v>deferred</x:v>
      </x:c>
      <x:c r="H167" s="3" t="str">
        <x:v>proposed-needs-decision</x:v>
      </x:c>
      <x:c r="I167" s="3" t="str">
        <x:v>Future approved model content artifact</x:v>
      </x:c>
      <x:c r="J167" s="3" t="str">
        <x:v>1. Distinguish content retrieval from model invocation</x:v>
      </x:c>
      <x:c r="K167" s="3" t="str">
        <x:v>Approved model artifact/license/integrity/loader path</x:v>
      </x:c>
      <x:c r="L167" s="3" t="str">
        <x:v>F-09</x:v>
      </x:c>
      <x:c r="M167" s="3" t="str"/>
      <x:c r="N167" s="3" t="str">
        <x:v>E-036; E-040</x:v>
      </x:c>
      <x:c r="O167" s="3" t="str">
        <x:v>S-161, S-162, S-157</x:v>
      </x:c>
      <x:c r="P167" s="3" t="str">
        <x:v>model-provider</x:v>
      </x:c>
      <x:c r="Q167" s="3" t="str">
        <x:f>IF(OR(H167='Read Me + Evidence'!$K$6,H167='Read Me + Evidence'!$K$7,H167='Read Me + Evidence'!$K$8,P167='Read Me + Evidence'!$K$9,P167='Read Me + Evidence'!$K$10),'Read Me + Evidence'!$K$12,'Read Me + Evidence'!$K$11)</x:f>
        <x:v>Source only</x:v>
      </x:c>
      <x:c r="R167" s="14" t="n">
        <x:f>IF(AND(Q167='Read Me + Evidence'!$K$11,OR(D167='Read Me + Evidence'!$H$7,D167='Read Me + Evidence'!$H$8,D167='Read Me + Evidence'!$H$9)),1,0)</x:f>
        <x:v>0</x:v>
      </x:c>
      <x:c r="S167" s="14" t="n">
        <x:f>IF(AND(Q167='Read Me + Evidence'!$K$11,D167='Read Me + Evidence'!$H$7),1,0)</x:f>
        <x:v>0</x:v>
      </x:c>
      <x:c r="T167" s="14" t="n">
        <x:f>IF(AND(Q167='Read Me + Evidence'!$K$11,D167&lt;&gt;'Read Me + Evidence'!$H$12),1,0)</x:f>
        <x:v>0</x:v>
      </x:c>
      <x:c r="U167" s="3" t="str">
        <x:v>CID integrity does not supply service permission or loader compatibility. End-user model artifact retrieval/loading and its UI need a reviewed decision; not built or tested as this flow.</x:v>
      </x:c>
    </x:row>
    <x:row r="168" ht="153" customHeight="1">
      <x:c r="A168" s="3" t="str">
        <x:v>MODEL-06</x:v>
      </x:c>
      <x:c r="B168" s="3" t="str">
        <x:v>Model bootstrap and identity</x:v>
      </x:c>
      <x:c r="C168" s="3" t="str">
        <x:v>Carrier/IPFS ownership</x:v>
      </x:c>
      <x:c r="D168" s="13" t="str">
        <x:v>Not applicable</x:v>
      </x:c>
      <x:c r="E168" s="3" t="str">
        <x:v>The capsule requests typed inference, the provider executes it, and Runtime with Carrier handles selected remote transport without exposing topology to the capsule.</x:v>
      </x:c>
      <x:c r="F168" s="12" t="str">
        <x:v>This is deferred protocol/planning scope, not an installed end-user action. Discovery, verified content retrieval, grants and provider invocation stay separate; no remote model authority or installation was invented.</x:v>
      </x:c>
      <x:c r="G168" s="3" t="str">
        <x:v>deferred</x:v>
      </x:c>
      <x:c r="H168" s="3" t="str">
        <x:v>proposed-needs-decision</x:v>
      </x:c>
      <x:c r="I168" s="3" t="str">
        <x:v>Typed content fetch and typed model run</x:v>
      </x:c>
      <x:c r="J168" s="3" t="str">
        <x:v>1. Map discovery
2. grant
3. fetch where applicable
4. invoke as separate boundaries</x:v>
      </x:c>
      <x:c r="K168" s="3" t="str">
        <x:v>Separate operator/protocol proof</x:v>
      </x:c>
      <x:c r="L168" s="3" t="str">
        <x:v>F-09</x:v>
      </x:c>
      <x:c r="M168" s="3" t="str"/>
      <x:c r="N168" s="3" t="str">
        <x:v>E-036; E-040</x:v>
      </x:c>
      <x:c r="O168" s="3" t="str">
        <x:v>S-161, S-143, S-159</x:v>
      </x:c>
      <x:c r="P168" s="3" t="str">
        <x:v>model-provider</x:v>
      </x:c>
      <x:c r="Q168" s="3" t="str">
        <x:f>IF(OR(H168='Read Me + Evidence'!$K$6,H168='Read Me + Evidence'!$K$7,H168='Read Me + Evidence'!$K$8,P168='Read Me + Evidence'!$K$9,P168='Read Me + Evidence'!$K$10),'Read Me + Evidence'!$K$12,'Read Me + Evidence'!$K$11)</x:f>
        <x:v>Source only</x:v>
      </x:c>
      <x:c r="R168" s="14" t="n">
        <x:f>IF(AND(Q168='Read Me + Evidence'!$K$11,OR(D168='Read Me + Evidence'!$H$7,D168='Read Me + Evidence'!$H$8,D168='Read Me + Evidence'!$H$9)),1,0)</x:f>
        <x:v>0</x:v>
      </x:c>
      <x:c r="S168" s="14" t="n">
        <x:f>IF(AND(Q168='Read Me + Evidence'!$K$11,D168='Read Me + Evidence'!$H$7),1,0)</x:f>
        <x:v>0</x:v>
      </x:c>
      <x:c r="T168" s="14" t="n">
        <x:f>IF(AND(Q168='Read Me + Evidence'!$K$11,D168&lt;&gt;'Read Me + Evidence'!$H$12),1,0)</x:f>
        <x:v>0</x:v>
      </x:c>
      <x:c r="U168" s="3" t="str">
        <x:v>The local typed inference contract exists. The integrated remote discovery/grant/transport journey remains a separate planned flow.</x:v>
      </x:c>
    </x:row>
    <x:row r="169" ht="153" customHeight="1">
      <x:c r="A169" s="3" t="str">
        <x:v>BROWSER-01</x:v>
      </x:c>
      <x:c r="B169" s="3" t="str">
        <x:v>Browser</x:v>
      </x:c>
      <x:c r="C169" s="3" t="str">
        <x:v>Initial page and URL</x:v>
      </x:c>
      <x:c r="D169" s="13" t="str">
        <x:v>Fail</x:v>
      </x:c>
      <x:c r="E169" s="3" t="str">
        <x:v>Viewer eligibility is checked before page replacement. Runtime admits a compatible Engine before page, profile or stream effects. Both report typed compatibility errors.</x:v>
      </x:c>
      <x:c r="F169" s="12" t="str">
        <x:v>Earlier foreground runs found intermittent startup and navigation failures. E-108 adds a current cold launch: the macOS VM path reached Ready in 38.5 seconds, then Home Close removed the VM supervisor, VZ supervisor, and TURN process. The older intermittent finding remains open until repeated navigation and restart acceptance passes.</x:v>
      </x:c>
      <x:c r="G169" s="3" t="str">
        <x:v>controlled-network</x:v>
      </x:c>
      <x:c r="H169" s="3" t="str">
        <x:v>Installed Brave viewer denial passed: zero Engine requests, zero Runtime sessions, clean window close. Engine media proof remains open.</x:v>
      </x:c>
      <x:c r="I169" s="3" t="str">
        <x:v>Address; Navigate/Enter; Loading/status</x:v>
      </x:c>
      <x:c r="J169" s="3" t="str">
        <x:v>1. Open an approved harmless URL
2. Use an incompatible Engine fixture
3. Verify typed rejection before page/profile/stream allocation
4. Disable viewer WebRTC in a controlled fixture; verify typed rejection and preservation of an existing page</x:v>
      </x:c>
      <x:c r="K169" s="3" t="str">
        <x:v>Approved public page; Running Browser substrate</x:v>
      </x:c>
      <x:c r="L169" s="3" t="str">
        <x:v>F-13; F-43; F-52</x:v>
      </x:c>
      <x:c r="M169" s="3" t="str"/>
      <x:c r="N169" s="3" t="str">
        <x:v>E-053; E-060; E-064; E-108</x:v>
      </x:c>
      <x:c r="O169" s="3" t="str">
        <x:v>S-163</x:v>
      </x:c>
      <x:c r="P169" s="3" t="str">
        <x:v>browser</x:v>
      </x:c>
      <x:c r="Q169" s="3" t="str">
        <x:f>IF(OR(H169='Read Me + Evidence'!$K$6,H169='Read Me + Evidence'!$K$7,H169='Read Me + Evidence'!$K$8,P169='Read Me + Evidence'!$K$9,P169='Read Me + Evidence'!$K$10),'Read Me + Evidence'!$K$12,'Read Me + Evidence'!$K$11)</x:f>
        <x:v>GUI</x:v>
      </x:c>
      <x:c r="R169" s="14" t="n">
        <x:f>IF(AND(Q169='Read Me + Evidence'!$K$11,OR(D169='Read Me + Evidence'!$H$7,D169='Read Me + Evidence'!$H$8,D169='Read Me + Evidence'!$H$9)),1,0)</x:f>
        <x:v>1</x:v>
      </x:c>
      <x:c r="S169" s="14" t="n">
        <x:f>IF(AND(Q169='Read Me + Evidence'!$K$11,D169='Read Me + Evidence'!$H$7),1,0)</x:f>
        <x:v>0</x:v>
      </x:c>
      <x:c r="T169" s="14" t="n">
        <x:f>IF(AND(Q169='Read Me + Evidence'!$K$11,D169&lt;&gt;'Read Me + Evidence'!$H$12),1,0)</x:f>
        <x:v>1</x:v>
      </x:c>
      <x:c r="U169" s="3" t="str"/>
    </x:row>
    <x:row r="170" ht="153" customHeight="1">
      <x:c r="A170" s="3" t="str">
        <x:v>BROWSER-02</x:v>
      </x:c>
      <x:c r="B170" s="3" t="str">
        <x:v>Browser</x:v>
      </x:c>
      <x:c r="C170" s="3" t="str">
        <x:v>History</x:v>
      </x:c>
      <x:c r="D170" s="13" t="str">
        <x:v>Fail</x:v>
      </x:c>
      <x:c r="E170" s="3" t="str">
        <x:v>Buttons reflect exact page history and preserve current admitted page owner.</x:v>
      </x:c>
      <x:c r="F170" s="12" t="str">
        <x:v>E064 foreground navigation, Back, Forward and Refresh reached expected pages; sticky Opening was F52. In E084 a later visible foreground navigation to the official Selenium popup fixture retained the old ela.city frame for over 60 seconds with Opening. F43 is intermittent and is now observed in foreground operation.</x:v>
      </x:c>
      <x:c r="G170" s="3" t="str">
        <x:v>controlled-network</x:v>
      </x:c>
      <x:c r="H170" s="3" t="str">
        <x:v>implemented-source</x:v>
      </x:c>
      <x:c r="I170" s="3" t="str">
        <x:v>Back; Forward; Reload</x:v>
      </x:c>
      <x:c r="J170" s="3" t="str">
        <x:v>1. Navigate two harmless pages
2. Back/forward/reload</x:v>
      </x:c>
      <x:c r="K170" s="3" t="str">
        <x:v>Harmless public pages</x:v>
      </x:c>
      <x:c r="L170" s="3" t="str">
        <x:v>F-43; F-52</x:v>
      </x:c>
      <x:c r="M170" s="3" t="str"/>
      <x:c r="N170" s="3" t="str">
        <x:v>E-064; E-084</x:v>
      </x:c>
      <x:c r="O170" s="3" t="str">
        <x:v>S-164</x:v>
      </x:c>
      <x:c r="P170" s="3" t="str">
        <x:v>browser</x:v>
      </x:c>
      <x:c r="Q170" s="3" t="str">
        <x:f>IF(OR(H170='Read Me + Evidence'!$K$6,H170='Read Me + Evidence'!$K$7,H170='Read Me + Evidence'!$K$8,P170='Read Me + Evidence'!$K$9,P170='Read Me + Evidence'!$K$10),'Read Me + Evidence'!$K$12,'Read Me + Evidence'!$K$11)</x:f>
        <x:v>GUI</x:v>
      </x:c>
      <x:c r="R170" s="14" t="n">
        <x:f>IF(AND(Q170='Read Me + Evidence'!$K$11,OR(D170='Read Me + Evidence'!$H$7,D170='Read Me + Evidence'!$H$8,D170='Read Me + Evidence'!$H$9)),1,0)</x:f>
        <x:v>1</x:v>
      </x:c>
      <x:c r="S170" s="14" t="n">
        <x:f>IF(AND(Q170='Read Me + Evidence'!$K$11,D170='Read Me + Evidence'!$H$7),1,0)</x:f>
        <x:v>0</x:v>
      </x:c>
      <x:c r="T170" s="14" t="n">
        <x:f>IF(AND(Q170='Read Me + Evidence'!$K$11,D170&lt;&gt;'Read Me + Evidence'!$H$12),1,0)</x:f>
        <x:v>1</x:v>
      </x:c>
      <x:c r="U170" s="3" t="str"/>
    </x:row>
    <x:row r="171" ht="153" customHeight="1">
      <x:c r="A171" s="3" t="str">
        <x:v>BROWSER-03</x:v>
      </x:c>
      <x:c r="B171" s="3" t="str">
        <x:v>Browser</x:v>
      </x:c>
      <x:c r="C171" s="3" t="str">
        <x:v>Engine/Exit settings</x:v>
      </x:c>
      <x:c r="D171" s="13" t="str">
        <x:v>Partially observed</x:v>
      </x:c>
      <x:c r="E171" s="3" t="str">
        <x:v>Runtime selects from admitted Engine/Exit offers. Automatic Engine selection meets display/isolation requirements. Explicit selection preserves operator intent.</x:v>
      </x:c>
      <x:c r="F171" s="12" t="str">
        <x:v>Settings exposes the local MicroVM engine and This device Exit; disabled during load and enabled after Ready. Selections/configuration preserved; controlled remote-service switch lacks a peer fixture.</x:v>
      </x:c>
      <x:c r="G171" s="3" t="str">
        <x:v>controlled-service</x:v>
      </x:c>
      <x:c r="H171" s="3" t="str">
        <x:v>Shared inventory validates versions and capabilities. Automatic and explicit selection tests pass. Remote installed proof pending.</x:v>
      </x:c>
      <x:c r="I171" s="3" t="str">
        <x:v>Settings; Browser Engine; Exit</x:v>
      </x:c>
      <x:c r="J171" s="3" t="str">
        <x:v>1. Inspect local/remote choices
2. Select a controlled service
3. Test incompatible default and explicit Engine
4. Verify approved compatible choice or typed rejection</x:v>
      </x:c>
      <x:c r="K171" s="3" t="str">
        <x:v>Operator-approved service selection</x:v>
      </x:c>
      <x:c r="L171" s="3" t="str"/>
      <x:c r="M171" s="3" t="str"/>
      <x:c r="N171" s="3" t="str">
        <x:v>E-053</x:v>
      </x:c>
      <x:c r="O171" s="3" t="str">
        <x:v>S-165</x:v>
      </x:c>
      <x:c r="P171" s="3" t="str">
        <x:v>browser</x:v>
      </x:c>
      <x:c r="Q171" s="3" t="str">
        <x:f>IF(OR(H171='Read Me + Evidence'!$K$6,H171='Read Me + Evidence'!$K$7,H171='Read Me + Evidence'!$K$8,P171='Read Me + Evidence'!$K$9,P171='Read Me + Evidence'!$K$10),'Read Me + Evidence'!$K$12,'Read Me + Evidence'!$K$11)</x:f>
        <x:v>GUI</x:v>
      </x:c>
      <x:c r="R171" s="14" t="n">
        <x:f>IF(AND(Q171='Read Me + Evidence'!$K$11,OR(D171='Read Me + Evidence'!$H$7,D171='Read Me + Evidence'!$H$8,D171='Read Me + Evidence'!$H$9)),1,0)</x:f>
        <x:v>1</x:v>
      </x:c>
      <x:c r="S171" s="14" t="n">
        <x:f>IF(AND(Q171='Read Me + Evidence'!$K$11,D171='Read Me + Evidence'!$H$7),1,0)</x:f>
        <x:v>0</x:v>
      </x:c>
      <x:c r="T171" s="14" t="n">
        <x:f>IF(AND(Q171='Read Me + Evidence'!$K$11,D171&lt;&gt;'Read Me + Evidence'!$H$12),1,0)</x:f>
        <x:v>1</x:v>
      </x:c>
      <x:c r="U171" s="3" t="str"/>
    </x:row>
    <x:row r="172" ht="153" customHeight="1">
      <x:c r="A172" s="3" t="str">
        <x:v>BROWSER-04</x:v>
      </x:c>
      <x:c r="B172" s="3" t="str">
        <x:v>Browser</x:v>
      </x:c>
      <x:c r="C172" s="3" t="str">
        <x:v>Display and interaction</x:v>
      </x:c>
      <x:c r="D172" s="13" t="str">
        <x:v>Fail</x:v>
      </x:c>
      <x:c r="E172" s="3" t="str">
        <x:v>WebRTC is product display; focus/input/audio stay bound to exact page and stable Home chrome.</x:v>
      </x:c>
      <x:c r="F172" s="12" t="str">
        <x:v>Foreground public test-form input: pointer focus, exact single-line text, Tab focus, PageUp textarea scrolling and fullscreen resize work. Fast multiline text reorders around Enter (F-54); Control+A/Home fail to act remotely (F-55). The form stayed unsubmitted, with file/password/Clipboard controls untouched.</x:v>
      </x:c>
      <x:c r="G172" s="3" t="str">
        <x:v>controlled-network</x:v>
      </x:c>
      <x:c r="H172" s="3" t="str">
        <x:v>implemented-source</x:v>
      </x:c>
      <x:c r="I172" s="3" t="str">
        <x:v>Remote viewport; Pointer; Keyboard; Scroll; Text selection</x:v>
      </x:c>
      <x:c r="J172" s="3" t="str">
        <x:v>1. Interact with harmless page
2. Type test text
3. Scroll/resize</x:v>
      </x:c>
      <x:c r="K172" s="3" t="str">
        <x:v>Approved interactive fixture page</x:v>
      </x:c>
      <x:c r="L172" s="3" t="str">
        <x:v>F-54; F-55</x:v>
      </x:c>
      <x:c r="M172" s="3" t="str"/>
      <x:c r="N172" s="3" t="str">
        <x:v>E-053; E-064; E-073</x:v>
      </x:c>
      <x:c r="O172" s="3" t="str">
        <x:v>S-166</x:v>
      </x:c>
      <x:c r="P172" s="3" t="str">
        <x:v>browser</x:v>
      </x:c>
      <x:c r="Q172" s="3" t="str">
        <x:f>IF(OR(H172='Read Me + Evidence'!$K$6,H172='Read Me + Evidence'!$K$7,H172='Read Me + Evidence'!$K$8,P172='Read Me + Evidence'!$K$9,P172='Read Me + Evidence'!$K$10),'Read Me + Evidence'!$K$12,'Read Me + Evidence'!$K$11)</x:f>
        <x:v>GUI</x:v>
      </x:c>
      <x:c r="R172" s="14" t="n">
        <x:f>IF(AND(Q172='Read Me + Evidence'!$K$11,OR(D172='Read Me + Evidence'!$H$7,D172='Read Me + Evidence'!$H$8,D172='Read Me + Evidence'!$H$9)),1,0)</x:f>
        <x:v>1</x:v>
      </x:c>
      <x:c r="S172" s="14" t="n">
        <x:f>IF(AND(Q172='Read Me + Evidence'!$K$11,D172='Read Me + Evidence'!$H$7),1,0)</x:f>
        <x:v>0</x:v>
      </x:c>
      <x:c r="T172" s="14" t="n">
        <x:f>IF(AND(Q172='Read Me + Evidence'!$K$11,D172&lt;&gt;'Read Me + Evidence'!$H$12),1,0)</x:f>
        <x:v>1</x:v>
      </x:c>
      <x:c r="U172" s="3" t="str"/>
    </x:row>
    <x:row r="173" ht="153" customHeight="1">
      <x:c r="A173" s="3" t="str">
        <x:v>BROWSER-05</x:v>
      </x:c>
      <x:c r="B173" s="3" t="str">
        <x:v>Browser</x:v>
      </x:c>
      <x:c r="C173" s="3" t="str">
        <x:v>Audio/video/fullscreen</x:v>
      </x:c>
      <x:c r="D173" s="13" t="str">
        <x:v>Partially observed</x:v>
      </x:c>
      <x:c r="E173" s="3" t="str">
        <x:v>Home/Browser share exact fullscreen and input ownership; screenshot presence alone is insufficient proof.</x:v>
      </x:c>
      <x:c r="F173" s="12" t="str">
        <x:v>Home Browser Enter/Exit Fullscreen keeps the same public test page and text. A controlled media page and audio gesture are still needed for moving video and audible audio proof. This window-size check does not establish media readiness.</x:v>
      </x:c>
      <x:c r="G173" s="3" t="str">
        <x:v>controlled-network</x:v>
      </x:c>
      <x:c r="H173" s="3" t="str">
        <x:v>implemented-source</x:v>
      </x:c>
      <x:c r="I173" s="3" t="str">
        <x:v>Page media controls; Fullscreen; Mute</x:v>
      </x:c>
      <x:c r="J173" s="3" t="str">
        <x:v>1. Use approved test media
2. Verify moving video/audio/input and exit fullscreen</x:v>
      </x:c>
      <x:c r="K173" s="3" t="str">
        <x:v>Approved media page; User audio gesture</x:v>
      </x:c>
      <x:c r="L173" s="3" t="str">
        <x:v>F-13</x:v>
      </x:c>
      <x:c r="M173" s="3" t="str"/>
      <x:c r="N173" s="3" t="str">
        <x:v>E-053; E-060; E-064; E-073</x:v>
      </x:c>
      <x:c r="O173" s="3" t="str">
        <x:v>S-167</x:v>
      </x:c>
      <x:c r="P173" s="3" t="str">
        <x:v>browser</x:v>
      </x:c>
      <x:c r="Q173" s="3" t="str">
        <x:f>IF(OR(H173='Read Me + Evidence'!$K$6,H173='Read Me + Evidence'!$K$7,H173='Read Me + Evidence'!$K$8,P173='Read Me + Evidence'!$K$9,P173='Read Me + Evidence'!$K$10),'Read Me + Evidence'!$K$12,'Read Me + Evidence'!$K$11)</x:f>
        <x:v>GUI</x:v>
      </x:c>
      <x:c r="R173" s="14" t="n">
        <x:f>IF(AND(Q173='Read Me + Evidence'!$K$11,OR(D173='Read Me + Evidence'!$H$7,D173='Read Me + Evidence'!$H$8,D173='Read Me + Evidence'!$H$9)),1,0)</x:f>
        <x:v>1</x:v>
      </x:c>
      <x:c r="S173" s="14" t="n">
        <x:f>IF(AND(Q173='Read Me + Evidence'!$K$11,D173='Read Me + Evidence'!$H$7),1,0)</x:f>
        <x:v>0</x:v>
      </x:c>
      <x:c r="T173" s="14" t="n">
        <x:f>IF(AND(Q173='Read Me + Evidence'!$K$11,D173&lt;&gt;'Read Me + Evidence'!$H$12),1,0)</x:f>
        <x:v>1</x:v>
      </x:c>
      <x:c r="U173" s="3" t="str"/>
    </x:row>
    <x:row r="174" ht="153" customHeight="1">
      <x:c r="A174" s="3" t="str">
        <x:v>BROWSER-06</x:v>
      </x:c>
      <x:c r="B174" s="3" t="str">
        <x:v>Browser</x:v>
      </x:c>
      <x:c r="C174" s="3" t="str">
        <x:v>Clipboard</x:v>
      </x:c>
      <x:c r="D174" s="13" t="str">
        <x:v>Blocked prerequisite</x:v>
      </x:c>
      <x:c r="E174" s="3" t="str">
        <x:v>Browser Clipboard mediates Runtime page and host consent; no silent host clipboard read.</x:v>
      </x:c>
      <x:c r="F174" s="12" t="str">
        <x:v>Host Clipboard tests need harmless staged text and explicit native transfer consent. The audit preserves the user's Clipboard. Foreground Browser now opens; Clipboard mediation has not been exercised.</x:v>
      </x:c>
      <x:c r="G174" s="3" t="str">
        <x:v>controlled-clipboard</x:v>
      </x:c>
      <x:c r="H174" s="3" t="str">
        <x:v>implemented-source</x:v>
      </x:c>
      <x:c r="I174" s="3" t="str">
        <x:v>Copy; Paste; Capture; Host consent</x:v>
      </x:c>
      <x:c r="J174" s="3" t="str">
        <x:v>1. Copy harmless page text
2. Paste harmless text
3. Deny once</x:v>
      </x:c>
      <x:c r="K174" s="3" t="str">
        <x:v>Harmless text</x:v>
      </x:c>
      <x:c r="L174" s="3" t="str"/>
      <x:c r="M174" s="3" t="str"/>
      <x:c r="N174" s="3" t="str">
        <x:v>E-053; E-064</x:v>
      </x:c>
      <x:c r="O174" s="3" t="str">
        <x:v>S-168</x:v>
      </x:c>
      <x:c r="P174" s="3" t="str">
        <x:v>browser</x:v>
      </x:c>
      <x:c r="Q174" s="3" t="str">
        <x:f>IF(OR(H174='Read Me + Evidence'!$K$6,H174='Read Me + Evidence'!$K$7,H174='Read Me + Evidence'!$K$8,P174='Read Me + Evidence'!$K$9,P174='Read Me + Evidence'!$K$10),'Read Me + Evidence'!$K$12,'Read Me + Evidence'!$K$11)</x:f>
        <x:v>GUI</x:v>
      </x:c>
      <x:c r="R174" s="14" t="n">
        <x:f>IF(AND(Q174='Read Me + Evidence'!$K$11,OR(D174='Read Me + Evidence'!$H$7,D174='Read Me + Evidence'!$H$8,D174='Read Me + Evidence'!$H$9)),1,0)</x:f>
        <x:v>0</x:v>
      </x:c>
      <x:c r="S174" s="14" t="n">
        <x:f>IF(AND(Q174='Read Me + Evidence'!$K$11,D174='Read Me + Evidence'!$H$7),1,0)</x:f>
        <x:v>0</x:v>
      </x:c>
      <x:c r="T174" s="14" t="n">
        <x:f>IF(AND(Q174='Read Me + Evidence'!$K$11,D174&lt;&gt;'Read Me + Evidence'!$H$12),1,0)</x:f>
        <x:v>1</x:v>
      </x:c>
      <x:c r="U174" s="3" t="str"/>
    </x:row>
    <x:row r="175" ht="153" customHeight="1">
      <x:c r="A175" s="3" t="str">
        <x:v>BROWSER-07</x:v>
      </x:c>
      <x:c r="B175" s="3" t="str">
        <x:v>Browser</x:v>
      </x:c>
      <x:c r="C175" s="3" t="str">
        <x:v>File chooser</x:v>
      </x:c>
      <x:c r="D175" s="13" t="str">
        <x:v>Partially observed</x:v>
      </x:c>
      <x:c r="E175" s="3" t="str">
        <x:v>Browser receives typed authorized selection through Library/Home, not raw filesystem authority.</x:v>
      </x:c>
      <x:c r="F175" s="12" t="str">
        <x:v>Choose File on the harmless public form opens Home Library in Browser attach mode. Closing Library cancels with No file chosen; the picker opens again on a second click. Both picker instances and the disposable Browser session close normally. Positive transfer remains unverified; no data or form was submitted.</x:v>
      </x:c>
      <x:c r="G175" s="3" t="str">
        <x:v>controlled-files</x:v>
      </x:c>
      <x:c r="H175" s="3" t="str">
        <x:v>implemented-source</x:v>
      </x:c>
      <x:c r="I175" s="3" t="str">
        <x:v>Page upload; Library picker; Select; Cancel</x:v>
      </x:c>
      <x:c r="J175" s="3" t="str">
        <x:v>1. Open harmless upload fixture
2. Choose disposable file or cancel</x:v>
      </x:c>
      <x:c r="K175" s="3" t="str">
        <x:v>Disposable file; Controlled upload destination</x:v>
      </x:c>
      <x:c r="L175" s="3" t="str"/>
      <x:c r="M175" s="3" t="str"/>
      <x:c r="N175" s="3" t="str">
        <x:v>E-053; E-064; E-077</x:v>
      </x:c>
      <x:c r="O175" s="3" t="str">
        <x:v>S-169</x:v>
      </x:c>
      <x:c r="P175" s="3" t="str">
        <x:v>browser</x:v>
      </x:c>
      <x:c r="Q175" s="3" t="str">
        <x:f>IF(OR(H175='Read Me + Evidence'!$K$6,H175='Read Me + Evidence'!$K$7,H175='Read Me + Evidence'!$K$8,P175='Read Me + Evidence'!$K$9,P175='Read Me + Evidence'!$K$10),'Read Me + Evidence'!$K$12,'Read Me + Evidence'!$K$11)</x:f>
        <x:v>GUI</x:v>
      </x:c>
      <x:c r="R175" s="14" t="n">
        <x:f>IF(AND(Q175='Read Me + Evidence'!$K$11,OR(D175='Read Me + Evidence'!$H$7,D175='Read Me + Evidence'!$H$8,D175='Read Me + Evidence'!$H$9)),1,0)</x:f>
        <x:v>1</x:v>
      </x:c>
      <x:c r="S175" s="14" t="n">
        <x:f>IF(AND(Q175='Read Me + Evidence'!$K$11,D175='Read Me + Evidence'!$H$7),1,0)</x:f>
        <x:v>0</x:v>
      </x:c>
      <x:c r="T175" s="14" t="n">
        <x:f>IF(AND(Q175='Read Me + Evidence'!$K$11,D175&lt;&gt;'Read Me + Evidence'!$H$12),1,0)</x:f>
        <x:v>1</x:v>
      </x:c>
      <x:c r="U175" s="3" t="str"/>
    </x:row>
    <x:row r="176" ht="153" customHeight="1">
      <x:c r="A176" s="3" t="str">
        <x:v>BROWSER-08</x:v>
      </x:c>
      <x:c r="B176" s="3" t="str">
        <x:v>Browser</x:v>
      </x:c>
      <x:c r="C176" s="3" t="str">
        <x:v>Wallet dapp prompt</x:v>
      </x:c>
      <x:c r="D176" s="13" t="str">
        <x:v>Blocked prerequisite</x:v>
      </x:c>
      <x:c r="E176" s="3" t="str">
        <x:v>Runtime Wallet/Inbox owns approval; Browser page cannot select accounts or obtain keys.</x:v>
      </x:c>
      <x:c r="F176" s="12" t="str">
        <x:v>A controlled dapp request fixture is still needed. Existing Wallet accounts and authority are preserved; the audit has not requested account access, signed data or sent transactions.</x:v>
      </x:c>
      <x:c r="G176" s="3" t="str">
        <x:v>controlled-permission</x:v>
      </x:c>
      <x:c r="H176" s="3" t="str">
        <x:v>implemented-source</x:v>
      </x:c>
      <x:c r="I176" s="3" t="str">
        <x:v>Connect wallet; Review; Reject</x:v>
      </x:c>
      <x:c r="J176" s="3" t="str">
        <x:v>1. Use approved dapp fixture
2. Inspect account/chain request
3. Reject by default</x:v>
      </x:c>
      <x:c r="K176" s="3" t="str">
        <x:v>Approved controlled dapp</x:v>
      </x:c>
      <x:c r="L176" s="3" t="str">
        <x:v>F-21</x:v>
      </x:c>
      <x:c r="M176" s="3" t="str"/>
      <x:c r="N176" s="3" t="str">
        <x:v>E-053; E-064</x:v>
      </x:c>
      <x:c r="O176" s="3" t="str">
        <x:v>S-170</x:v>
      </x:c>
      <x:c r="P176" s="3" t="str">
        <x:v>browser</x:v>
      </x:c>
      <x:c r="Q176" s="3" t="str">
        <x:f>IF(OR(H176='Read Me + Evidence'!$K$6,H176='Read Me + Evidence'!$K$7,H176='Read Me + Evidence'!$K$8,P176='Read Me + Evidence'!$K$9,P176='Read Me + Evidence'!$K$10),'Read Me + Evidence'!$K$12,'Read Me + Evidence'!$K$11)</x:f>
        <x:v>GUI</x:v>
      </x:c>
      <x:c r="R176" s="14" t="n">
        <x:f>IF(AND(Q176='Read Me + Evidence'!$K$11,OR(D176='Read Me + Evidence'!$H$7,D176='Read Me + Evidence'!$H$8,D176='Read Me + Evidence'!$H$9)),1,0)</x:f>
        <x:v>0</x:v>
      </x:c>
      <x:c r="S176" s="14" t="n">
        <x:f>IF(AND(Q176='Read Me + Evidence'!$K$11,D176='Read Me + Evidence'!$H$7),1,0)</x:f>
        <x:v>0</x:v>
      </x:c>
      <x:c r="T176" s="14" t="n">
        <x:f>IF(AND(Q176='Read Me + Evidence'!$K$11,D176&lt;&gt;'Read Me + Evidence'!$H$12),1,0)</x:f>
        <x:v>1</x:v>
      </x:c>
      <x:c r="U176" s="3" t="str"/>
    </x:row>
    <x:row r="177" ht="153" customHeight="1">
      <x:c r="A177" s="3" t="str">
        <x:v>BROWSER-09</x:v>
      </x:c>
      <x:c r="B177" s="3" t="str">
        <x:v>Browser</x:v>
      </x:c>
      <x:c r="C177" s="3" t="str">
        <x:v>Profile reset</x:v>
      </x:c>
      <x:c r="D177" s="13" t="str">
        <x:v>Blocked tool</x:v>
      </x:c>
      <x:c r="E177" s="3" t="str">
        <x:v>Reset is explicit destructive browser-state action, separate from Profile identity or Wallet data.</x:v>
      </x:c>
      <x:c r="F177" s="12" t="str">
        <x:v>Reset preview reached native confirm, then dialog control stalled (B-07). No accept sent; only the audit-owned tab was recovered. Full reset remains excluded from the active user's profile.</x:v>
      </x:c>
      <x:c r="G177" s="3" t="str">
        <x:v>destructive-controlled</x:v>
      </x:c>
      <x:c r="H177" s="3" t="str">
        <x:v>implemented-source</x:v>
      </x:c>
      <x:c r="I177" s="3" t="str">
        <x:v>Reset profile; Confirmation</x:v>
      </x:c>
      <x:c r="J177" s="3" t="str">
        <x:v>1. Inspect reset confirmation only</x:v>
      </x:c>
      <x:c r="K177" s="3" t="str">
        <x:v>Disposable Browser profile only</x:v>
      </x:c>
      <x:c r="L177" s="3" t="str"/>
      <x:c r="M177" s="3" t="str"/>
      <x:c r="N177" s="3" t="str">
        <x:v>E-053</x:v>
      </x:c>
      <x:c r="O177" s="3" t="str">
        <x:v>S-171</x:v>
      </x:c>
      <x:c r="P177" s="3" t="str">
        <x:v>browser</x:v>
      </x:c>
      <x:c r="Q177" s="3" t="str">
        <x:f>IF(OR(H177='Read Me + Evidence'!$K$6,H177='Read Me + Evidence'!$K$7,H177='Read Me + Evidence'!$K$8,P177='Read Me + Evidence'!$K$9,P177='Read Me + Evidence'!$K$10),'Read Me + Evidence'!$K$12,'Read Me + Evidence'!$K$11)</x:f>
        <x:v>GUI</x:v>
      </x:c>
      <x:c r="R177" s="14" t="n">
        <x:f>IF(AND(Q177='Read Me + Evidence'!$K$11,OR(D177='Read Me + Evidence'!$H$7,D177='Read Me + Evidence'!$H$8,D177='Read Me + Evidence'!$H$9)),1,0)</x:f>
        <x:v>0</x:v>
      </x:c>
      <x:c r="S177" s="14" t="n">
        <x:f>IF(AND(Q177='Read Me + Evidence'!$K$11,D177='Read Me + Evidence'!$H$7),1,0)</x:f>
        <x:v>0</x:v>
      </x:c>
      <x:c r="T177" s="14" t="n">
        <x:f>IF(AND(Q177='Read Me + Evidence'!$K$11,D177&lt;&gt;'Read Me + Evidence'!$H$12),1,0)</x:f>
        <x:v>1</x:v>
      </x:c>
      <x:c r="U177" s="3" t="str"/>
    </x:row>
    <x:row r="178" ht="153" customHeight="1">
      <x:c r="A178" s="3" t="str">
        <x:v>BROWSER-10</x:v>
      </x:c>
      <x:c r="B178" s="3" t="str">
        <x:v>Browser</x:v>
      </x:c>
      <x:c r="C178" s="3" t="str">
        <x:v>Close/unload</x:v>
      </x:c>
      <x:c r="D178" s="13" t="str">
        <x:v>Fail</x:v>
      </x:c>
      <x:c r="E178" s="3" t="str">
        <x:v>Runtime closes exact page/session and orphan ownership; other Browser sessions remain intact.</x:v>
      </x:c>
      <x:c r="F178" s="12" t="str">
        <x:v>Only audit-owned Brave tab047 was closed; all23originaltabs preserved. Old VM exited code0 at01:13:51Z with cleanup_pending. Reopen failed twice; fullclose/orphan cleanup remains unproved.F-43. E064 foreground retest successfully launches, navigates, closes and reopens. Retain earlier background/intermittent F43; full cleanup and controlled expiry remain unproved.</x:v>
      </x:c>
      <x:c r="G178" s="3" t="str">
        <x:v>controlled-session</x:v>
      </x:c>
      <x:c r="H178" s="3" t="str">
        <x:v>implemented-source</x:v>
      </x:c>
      <x:c r="I178" s="3" t="str">
        <x:v>Home Close; Reopen; Page unload</x:v>
      </x:c>
      <x:c r="J178" s="3" t="str">
        <x:v>1. Close harmless page
2. Reopen
3. Observe no stale page activity</x:v>
      </x:c>
      <x:c r="K178" s="3" t="str">
        <x:v>Disposable Browser session</x:v>
      </x:c>
      <x:c r="L178" s="3" t="str">
        <x:v>F-20; F-43</x:v>
      </x:c>
      <x:c r="M178" s="3" t="str"/>
      <x:c r="N178" s="3" t="str">
        <x:v>E-053; E-064</x:v>
      </x:c>
      <x:c r="O178" s="3" t="str">
        <x:v>S-172</x:v>
      </x:c>
      <x:c r="P178" s="3" t="str">
        <x:v>browser</x:v>
      </x:c>
      <x:c r="Q178" s="3" t="str">
        <x:f>IF(OR(H178='Read Me + Evidence'!$K$6,H178='Read Me + Evidence'!$K$7,H178='Read Me + Evidence'!$K$8,P178='Read Me + Evidence'!$K$9,P178='Read Me + Evidence'!$K$10),'Read Me + Evidence'!$K$12,'Read Me + Evidence'!$K$11)</x:f>
        <x:v>GUI</x:v>
      </x:c>
      <x:c r="R178" s="14" t="n">
        <x:f>IF(AND(Q178='Read Me + Evidence'!$K$11,OR(D178='Read Me + Evidence'!$H$7,D178='Read Me + Evidence'!$H$8,D178='Read Me + Evidence'!$H$9)),1,0)</x:f>
        <x:v>1</x:v>
      </x:c>
      <x:c r="S178" s="14" t="n">
        <x:f>IF(AND(Q178='Read Me + Evidence'!$K$11,D178='Read Me + Evidence'!$H$7),1,0)</x:f>
        <x:v>0</x:v>
      </x:c>
      <x:c r="T178" s="14" t="n">
        <x:f>IF(AND(Q178='Read Me + Evidence'!$K$11,D178&lt;&gt;'Read Me + Evidence'!$H$12),1,0)</x:f>
        <x:v>1</x:v>
      </x:c>
      <x:c r="U178" s="3" t="str"/>
    </x:row>
    <x:row r="179" ht="153" customHeight="1">
      <x:c r="A179" s="3" t="str">
        <x:v>BROWSER-11</x:v>
      </x:c>
      <x:c r="B179" s="3" t="str">
        <x:v>Browser</x:v>
      </x:c>
      <x:c r="C179" s="3" t="str">
        <x:v>Reconnect/expired authority</x:v>
      </x:c>
      <x:c r="D179" s="13" t="str">
        <x:v>Fail</x:v>
      </x:c>
      <x:c r="E179" s="3" t="str">
        <x:v>Expired authority is renewed only through exact Home session; no image-polling or transport fallback.</x:v>
      </x:c>
      <x:c r="F179" s="12" t="str">
        <x:v>New signed-in audit Home tab049 remains usable, but Browser cannot reopen after recovery. No deliberate service or network interruption performed.F-43. E064 foreground retest successfully launches, navigates, closes and reopens. Retain earlier background/intermittent F43; full cleanup and controlled expiry remain unproved.</x:v>
      </x:c>
      <x:c r="G179" s="3" t="str">
        <x:v>controlled-session</x:v>
      </x:c>
      <x:c r="H179" s="3" t="str">
        <x:v>implemented-source</x:v>
      </x:c>
      <x:c r="I179" s="3" t="str">
        <x:v>Disconnected status; Home relaunch/renewal</x:v>
      </x:c>
      <x:c r="J179" s="3" t="str">
        <x:v>1. Record naturally interrupted state; controlled expiry in separate fixture</x:v>
      </x:c>
      <x:c r="K179" s="3" t="str">
        <x:v>Dedicated bounded interruption fixture</x:v>
      </x:c>
      <x:c r="L179" s="3" t="str">
        <x:v>F-43</x:v>
      </x:c>
      <x:c r="M179" s="3" t="str"/>
      <x:c r="N179" s="3" t="str">
        <x:v>E-053; E-064</x:v>
      </x:c>
      <x:c r="O179" s="3" t="str">
        <x:v>S-173</x:v>
      </x:c>
      <x:c r="P179" s="3" t="str">
        <x:v>browser</x:v>
      </x:c>
      <x:c r="Q179" s="3" t="str">
        <x:f>IF(OR(H179='Read Me + Evidence'!$K$6,H179='Read Me + Evidence'!$K$7,H179='Read Me + Evidence'!$K$8,P179='Read Me + Evidence'!$K$9,P179='Read Me + Evidence'!$K$10),'Read Me + Evidence'!$K$12,'Read Me + Evidence'!$K$11)</x:f>
        <x:v>GUI</x:v>
      </x:c>
      <x:c r="R179" s="14" t="n">
        <x:f>IF(AND(Q179='Read Me + Evidence'!$K$11,OR(D179='Read Me + Evidence'!$H$7,D179='Read Me + Evidence'!$H$8,D179='Read Me + Evidence'!$H$9)),1,0)</x:f>
        <x:v>1</x:v>
      </x:c>
      <x:c r="S179" s="14" t="n">
        <x:f>IF(AND(Q179='Read Me + Evidence'!$K$11,D179='Read Me + Evidence'!$H$7),1,0)</x:f>
        <x:v>0</x:v>
      </x:c>
      <x:c r="T179" s="14" t="n">
        <x:f>IF(AND(Q179='Read Me + Evidence'!$K$11,D179&lt;&gt;'Read Me + Evidence'!$H$12),1,0)</x:f>
        <x:v>1</x:v>
      </x:c>
      <x:c r="U179" s="3" t="str"/>
    </x:row>
    <x:row r="180" ht="153" customHeight="1">
      <x:c r="A180" s="3" t="str">
        <x:v>BROWSER-12</x:v>
      </x:c>
      <x:c r="B180" s="3" t="str">
        <x:v>Browser</x:v>
      </x:c>
      <x:c r="C180" s="3" t="str">
        <x:v>Tabs/popups scope</x:v>
      </x:c>
      <x:c r="D180" s="13" t="str">
        <x:v>Blocked prerequisite</x:v>
      </x:c>
      <x:c r="E180" s="3" t="str">
        <x:v>Current one-page/window behavior is distinct from the deferred full Runtime tab UI; do not grade absent planned tabs as regression.</x:v>
      </x:c>
      <x:c r="F180" s="12" t="str">
        <x:v>Official Selenium popup fixture is available, but E084 navigation stalled before its Open new window link appeared. No popup was triggered, so popup ownership remains unverified. Full Runtime tab UI remains planned scope.</x:v>
      </x:c>
      <x:c r="G180" s="3" t="str">
        <x:v>controlled-network</x:v>
      </x:c>
      <x:c r="H180" s="3" t="str">
        <x:v>implemented-source</x:v>
      </x:c>
      <x:c r="I180" s="3" t="str">
        <x:v>Site popup/link</x:v>
      </x:c>
      <x:c r="J180" s="3" t="str">
        <x:v>1. Use controlled popup link and record current behavior</x:v>
      </x:c>
      <x:c r="K180" s="3" t="str">
        <x:v>Controlled popup fixture</x:v>
      </x:c>
      <x:c r="L180" s="3" t="str">
        <x:v>F-43</x:v>
      </x:c>
      <x:c r="M180" s="3" t="str"/>
      <x:c r="N180" s="3" t="str">
        <x:v>E-053; E-064; E-084</x:v>
      </x:c>
      <x:c r="O180" s="3" t="str">
        <x:v>S-174, S-163</x:v>
      </x:c>
      <x:c r="P180" s="3" t="str">
        <x:v>browser</x:v>
      </x:c>
      <x:c r="Q180" s="3" t="str">
        <x:f>IF(OR(H180='Read Me + Evidence'!$K$6,H180='Read Me + Evidence'!$K$7,H180='Read Me + Evidence'!$K$8,P180='Read Me + Evidence'!$K$9,P180='Read Me + Evidence'!$K$10),'Read Me + Evidence'!$K$12,'Read Me + Evidence'!$K$11)</x:f>
        <x:v>GUI</x:v>
      </x:c>
      <x:c r="R180" s="14" t="n">
        <x:f>IF(AND(Q180='Read Me + Evidence'!$K$11,OR(D180='Read Me + Evidence'!$H$7,D180='Read Me + Evidence'!$H$8,D180='Read Me + Evidence'!$H$9)),1,0)</x:f>
        <x:v>0</x:v>
      </x:c>
      <x:c r="S180" s="14" t="n">
        <x:f>IF(AND(Q180='Read Me + Evidence'!$K$11,D180='Read Me + Evidence'!$H$7),1,0)</x:f>
        <x:v>0</x:v>
      </x:c>
      <x:c r="T180" s="14" t="n">
        <x:f>IF(AND(Q180='Read Me + Evidence'!$K$11,D180&lt;&gt;'Read Me + Evidence'!$H$12),1,0)</x:f>
        <x:v>1</x:v>
      </x:c>
      <x:c r="U180" s="3" t="str"/>
    </x:row>
    <x:row r="181" ht="153" customHeight="1">
      <x:c r="A181" s="3" t="str">
        <x:v>GBA-01</x:v>
      </x:c>
      <x:c r="B181" s="3" t="str">
        <x:v>GBA Emulator</x:v>
      </x:c>
      <x:c r="C181" s="3" t="str">
        <x:v>Empty and Library launch</x:v>
      </x:c>
      <x:c r="D181" s="13" t="str">
        <x:v>Fail</x:v>
      </x:c>
      <x:c r="E181" s="3" t="str">
        <x:v>Admitted content opens in emulator; empty/unsupported input is clear.</x:v>
      </x:c>
      <x:c r="F181" s="12" t="str">
        <x:v>Direct empty launch gives clear Choose a game from Library, known Installed ROMs and disabled Pause/Save. Library action opens correctly. Installed-ROM Space opens Library instead of the selected game (F-42).</x:v>
      </x:c>
      <x:c r="G181" s="3" t="str">
        <x:v>controlled-session</x:v>
      </x:c>
      <x:c r="H181" s="3" t="str">
        <x:v>implemented-source</x:v>
      </x:c>
      <x:c r="I181" s="3" t="str">
        <x:v>Dropzone; Open from Library; Cancel</x:v>
      </x:c>
      <x:c r="J181" s="3" t="str">
        <x:v>1. Open emulator alone
2. Select licensed fixture ROM through Library</x:v>
      </x:c>
      <x:c r="K181" s="3" t="str">
        <x:v>Licensed included content</x:v>
      </x:c>
      <x:c r="L181" s="3" t="str">
        <x:v>F-42</x:v>
      </x:c>
      <x:c r="M181" s="3" t="str"/>
      <x:c r="N181" s="3" t="str">
        <x:v>E-052</x:v>
      </x:c>
      <x:c r="O181" s="3" t="str">
        <x:v>S-175</x:v>
      </x:c>
      <x:c r="P181" s="3" t="str">
        <x:v>gba-emulator</x:v>
      </x:c>
      <x:c r="Q181" s="3" t="str">
        <x:f>IF(OR(H181='Read Me + Evidence'!$K$6,H181='Read Me + Evidence'!$K$7,H181='Read Me + Evidence'!$K$8,P181='Read Me + Evidence'!$K$9,P181='Read Me + Evidence'!$K$10),'Read Me + Evidence'!$K$12,'Read Me + Evidence'!$K$11)</x:f>
        <x:v>GUI</x:v>
      </x:c>
      <x:c r="R181" s="14" t="n">
        <x:f>IF(AND(Q181='Read Me + Evidence'!$K$11,OR(D181='Read Me + Evidence'!$H$7,D181='Read Me + Evidence'!$H$8,D181='Read Me + Evidence'!$H$9)),1,0)</x:f>
        <x:v>1</x:v>
      </x:c>
      <x:c r="S181" s="14" t="n">
        <x:f>IF(AND(Q181='Read Me + Evidence'!$K$11,D181='Read Me + Evidence'!$H$7),1,0)</x:f>
        <x:v>0</x:v>
      </x:c>
      <x:c r="T181" s="14" t="n">
        <x:f>IF(AND(Q181='Read Me + Evidence'!$K$11,D181&lt;&gt;'Read Me + Evidence'!$H$12),1,0)</x:f>
        <x:v>1</x:v>
      </x:c>
      <x:c r="U181" s="3" t="str"/>
    </x:row>
    <x:row r="182" ht="153" customHeight="1">
      <x:c r="A182" s="3" t="str">
        <x:v>GBA-02</x:v>
      </x:c>
      <x:c r="B182" s="3" t="str">
        <x:v>GBA Emulator</x:v>
      </x:c>
      <x:c r="C182" s="3" t="str">
        <x:v>Game controls</x:v>
      </x:c>
      <x:c r="D182" s="13" t="str">
        <x:v>Fail</x:v>
      </x:c>
      <x:c r="E182" s="3" t="str">
        <x:v>Keyboard/on-screen controls target canvas and keep predictable focus; no capsule window chrome.</x:v>
      </x:c>
      <x:c r="F182" s="12" t="str">
        <x:v>Mapped controls are named. Game keys globally intercept utility focus (F-39). Short synthesized canvas key pulses produced no visible movement; separate sustained-input proof remains.</x:v>
      </x:c>
      <x:c r="G182" s="3" t="str">
        <x:v>controlled-game</x:v>
      </x:c>
      <x:c r="H182" s="3" t="str">
        <x:v>implemented-source</x:v>
      </x:c>
      <x:c r="I182" s="3" t="str">
        <x:v>D-pad; A/B; L/R; Start/Select; Keyboard</x:v>
      </x:c>
      <x:c r="J182" s="3" t="str">
        <x:v>1. Exercise each mapped control in included game</x:v>
      </x:c>
      <x:c r="K182" s="3" t="str">
        <x:v>Included licensed game</x:v>
      </x:c>
      <x:c r="L182" s="3" t="str">
        <x:v>F-39</x:v>
      </x:c>
      <x:c r="M182" s="3" t="str"/>
      <x:c r="N182" s="3" t="str">
        <x:v>E-052</x:v>
      </x:c>
      <x:c r="O182" s="3" t="str">
        <x:v>S-175</x:v>
      </x:c>
      <x:c r="P182" s="3" t="str">
        <x:v>gba-emulator</x:v>
      </x:c>
      <x:c r="Q182" s="3" t="str">
        <x:f>IF(OR(H182='Read Me + Evidence'!$K$6,H182='Read Me + Evidence'!$K$7,H182='Read Me + Evidence'!$K$8,P182='Read Me + Evidence'!$K$9,P182='Read Me + Evidence'!$K$10),'Read Me + Evidence'!$K$12,'Read Me + Evidence'!$K$11)</x:f>
        <x:v>GUI</x:v>
      </x:c>
      <x:c r="R182" s="14" t="n">
        <x:f>IF(AND(Q182='Read Me + Evidence'!$K$11,OR(D182='Read Me + Evidence'!$H$7,D182='Read Me + Evidence'!$H$8,D182='Read Me + Evidence'!$H$9)),1,0)</x:f>
        <x:v>1</x:v>
      </x:c>
      <x:c r="S182" s="14" t="n">
        <x:f>IF(AND(Q182='Read Me + Evidence'!$K$11,D182='Read Me + Evidence'!$H$7),1,0)</x:f>
        <x:v>0</x:v>
      </x:c>
      <x:c r="T182" s="14" t="n">
        <x:f>IF(AND(Q182='Read Me + Evidence'!$K$11,D182&lt;&gt;'Read Me + Evidence'!$H$12),1,0)</x:f>
        <x:v>1</x:v>
      </x:c>
      <x:c r="U182" s="3" t="str"/>
    </x:row>
    <x:row r="183" ht="153" customHeight="1">
      <x:c r="A183" s="3" t="str">
        <x:v>GBA-03</x:v>
      </x:c>
      <x:c r="B183" s="3" t="str">
        <x:v>GBA Emulator</x:v>
      </x:c>
      <x:c r="C183" s="3" t="str">
        <x:v>Playback controls</x:v>
      </x:c>
      <x:c r="D183" s="13" t="str">
        <x:v>Fail</x:v>
      </x:c>
      <x:c r="E183" s="3" t="str">
        <x:v>Gameplay/media are responsive; Home owns window/fullscreen framing and audio follows user gesture.</x:v>
      </x:c>
      <x:c r="F183" s="12" t="str">
        <x:v>Space toggles Pause/Resume, Fast Forward toggled on/off, Volume retained50. Fullscreen entry works; native Escape proof blocked by synthetic key tooling and audit tab returned to Home. F-39 utility keyboard interception; F-40 missing Fast Forward state.</x:v>
      </x:c>
      <x:c r="G183" s="3" t="str">
        <x:v>controlled-game</x:v>
      </x:c>
      <x:c r="H183" s="3" t="str">
        <x:v>implemented-source</x:v>
      </x:c>
      <x:c r="I183" s="3" t="str">
        <x:v>Pause; Resume; Fast Forward; Volume; Fullscreen</x:v>
      </x:c>
      <x:c r="J183" s="3" t="str">
        <x:v>1. Pause/resume
2. Toggle fast-forward
3. Adjust audio
4. Exit fullscreen</x:v>
      </x:c>
      <x:c r="K183" s="3" t="str">
        <x:v>Included game; Restore volume</x:v>
      </x:c>
      <x:c r="L183" s="3" t="str">
        <x:v>F-39; F-40</x:v>
      </x:c>
      <x:c r="M183" s="3" t="str"/>
      <x:c r="N183" s="3" t="str">
        <x:v>E-052</x:v>
      </x:c>
      <x:c r="O183" s="3" t="str">
        <x:v>S-175</x:v>
      </x:c>
      <x:c r="P183" s="3" t="str">
        <x:v>gba-emulator</x:v>
      </x:c>
      <x:c r="Q183" s="3" t="str">
        <x:f>IF(OR(H183='Read Me + Evidence'!$K$6,H183='Read Me + Evidence'!$K$7,H183='Read Me + Evidence'!$K$8,P183='Read Me + Evidence'!$K$9,P183='Read Me + Evidence'!$K$10),'Read Me + Evidence'!$K$12,'Read Me + Evidence'!$K$11)</x:f>
        <x:v>GUI</x:v>
      </x:c>
      <x:c r="R183" s="14" t="n">
        <x:f>IF(AND(Q183='Read Me + Evidence'!$K$11,OR(D183='Read Me + Evidence'!$H$7,D183='Read Me + Evidence'!$H$8,D183='Read Me + Evidence'!$H$9)),1,0)</x:f>
        <x:v>1</x:v>
      </x:c>
      <x:c r="S183" s="14" t="n">
        <x:f>IF(AND(Q183='Read Me + Evidence'!$K$11,D183='Read Me + Evidence'!$H$7),1,0)</x:f>
        <x:v>0</x:v>
      </x:c>
      <x:c r="T183" s="14" t="n">
        <x:f>IF(AND(Q183='Read Me + Evidence'!$K$11,D183&lt;&gt;'Read Me + Evidence'!$H$12),1,0)</x:f>
        <x:v>1</x:v>
      </x:c>
      <x:c r="U183" s="3" t="str"/>
    </x:row>
    <x:row r="184" ht="153" customHeight="1">
      <x:c r="A184" s="3" t="str">
        <x:v>GBA-04</x:v>
      </x:c>
      <x:c r="B184" s="3" t="str">
        <x:v>GBA Emulator</x:v>
      </x:c>
      <x:c r="C184" s="3" t="str">
        <x:v>Save/load slots</x:v>
      </x:c>
      <x:c r="D184" s="13" t="str">
        <x:v>Partially observed</x:v>
      </x:c>
      <x:c r="E184" s="3" t="str">
        <x:v>Save states bind exact content and slot; existing user saves remain untouched.</x:v>
      </x:c>
      <x:c r="F184" s="12" t="str">
        <x:v>All slots initially Empty. Designated audit Slot3 saved and loaded successfully. Slots1/2 retained empty; Enter on state controls shares F-39.</x:v>
      </x:c>
      <x:c r="G184" s="3" t="str">
        <x:v>controlled-game</x:v>
      </x:c>
      <x:c r="H184" s="3" t="str">
        <x:v>implemented-source</x:v>
      </x:c>
      <x:c r="I184" s="3" t="str">
        <x:v>Slot 1/2/3; Save; Load</x:v>
      </x:c>
      <x:c r="J184" s="3" t="str">
        <x:v>1. Use designated disposable game save
2. Save/load each slot purposefully</x:v>
      </x:c>
      <x:c r="K184" s="3" t="str">
        <x:v>Disposable game-save state only</x:v>
      </x:c>
      <x:c r="L184" s="3" t="str">
        <x:v>F-39</x:v>
      </x:c>
      <x:c r="M184" s="3" t="str"/>
      <x:c r="N184" s="3" t="str">
        <x:v>E-052</x:v>
      </x:c>
      <x:c r="O184" s="3" t="str">
        <x:v>S-175</x:v>
      </x:c>
      <x:c r="P184" s="3" t="str">
        <x:v>gba-emulator</x:v>
      </x:c>
      <x:c r="Q184" s="3" t="str">
        <x:f>IF(OR(H184='Read Me + Evidence'!$K$6,H184='Read Me + Evidence'!$K$7,H184='Read Me + Evidence'!$K$8,P184='Read Me + Evidence'!$K$9,P184='Read Me + Evidence'!$K$10),'Read Me + Evidence'!$K$12,'Read Me + Evidence'!$K$11)</x:f>
        <x:v>GUI</x:v>
      </x:c>
      <x:c r="R184" s="14" t="n">
        <x:f>IF(AND(Q184='Read Me + Evidence'!$K$11,OR(D184='Read Me + Evidence'!$H$7,D184='Read Me + Evidence'!$H$8,D184='Read Me + Evidence'!$H$9)),1,0)</x:f>
        <x:v>1</x:v>
      </x:c>
      <x:c r="S184" s="14" t="n">
        <x:f>IF(AND(Q184='Read Me + Evidence'!$K$11,D184='Read Me + Evidence'!$H$7),1,0)</x:f>
        <x:v>0</x:v>
      </x:c>
      <x:c r="T184" s="14" t="n">
        <x:f>IF(AND(Q184='Read Me + Evidence'!$K$11,D184&lt;&gt;'Read Me + Evidence'!$H$12),1,0)</x:f>
        <x:v>1</x:v>
      </x:c>
      <x:c r="U184" s="3" t="str"/>
    </x:row>
    <x:row r="185" ht="153" customHeight="1">
      <x:c r="A185" s="3" t="str">
        <x:v>GBA-05</x:v>
      </x:c>
      <x:c r="B185" s="3" t="str">
        <x:v>GBA Emulator</x:v>
      </x:c>
      <x:c r="C185" s="3" t="str">
        <x:v>Reopen persistence</x:v>
      </x:c>
      <x:c r="D185" s="13" t="str">
        <x:v>Partially observed</x:v>
      </x:c>
      <x:c r="E185" s="3" t="str">
        <x:v>Game identity and allowed save state survive reload without crossing capsule/object boundary.</x:v>
      </x:c>
      <x:c r="F185" s="12" t="str">
        <x:v>Home reload restored Nonogram Slot3 Saved; Load again returns State3 loaded. uCity has all three slots Empty, proving game-state separation. General conflict/failure cases remain source/fixture coverage.</x:v>
      </x:c>
      <x:c r="G185" s="3" t="str">
        <x:v>controlled-game</x:v>
      </x:c>
      <x:c r="H185" s="3" t="str">
        <x:v>implemented-source</x:v>
      </x:c>
      <x:c r="I185" s="3" t="str">
        <x:v>Close; Reopen; Load</x:v>
      </x:c>
      <x:c r="J185" s="3" t="str">
        <x:v>1. Reopen designated fixture game and load test slot</x:v>
      </x:c>
      <x:c r="K185" s="3" t="str">
        <x:v>Disposable save fixture</x:v>
      </x:c>
      <x:c r="L185" s="3" t="str"/>
      <x:c r="M185" s="3" t="str"/>
      <x:c r="N185" s="3" t="str">
        <x:v>E-052</x:v>
      </x:c>
      <x:c r="O185" s="3" t="str">
        <x:v>S-175</x:v>
      </x:c>
      <x:c r="P185" s="3" t="str">
        <x:v>gba-emulator</x:v>
      </x:c>
      <x:c r="Q185" s="3" t="str">
        <x:f>IF(OR(H185='Read Me + Evidence'!$K$6,H185='Read Me + Evidence'!$K$7,H185='Read Me + Evidence'!$K$8,P185='Read Me + Evidence'!$K$9,P185='Read Me + Evidence'!$K$10),'Read Me + Evidence'!$K$12,'Read Me + Evidence'!$K$11)</x:f>
        <x:v>GUI</x:v>
      </x:c>
      <x:c r="R185" s="14" t="n">
        <x:f>IF(AND(Q185='Read Me + Evidence'!$K$11,OR(D185='Read Me + Evidence'!$H$7,D185='Read Me + Evidence'!$H$8,D185='Read Me + Evidence'!$H$9)),1,0)</x:f>
        <x:v>1</x:v>
      </x:c>
      <x:c r="S185" s="14" t="n">
        <x:f>IF(AND(Q185='Read Me + Evidence'!$K$11,D185='Read Me + Evidence'!$H$7),1,0)</x:f>
        <x:v>0</x:v>
      </x:c>
      <x:c r="T185" s="14" t="n">
        <x:f>IF(AND(Q185='Read Me + Evidence'!$K$11,D185&lt;&gt;'Read Me + Evidence'!$H$12),1,0)</x:f>
        <x:v>1</x:v>
      </x:c>
      <x:c r="U185" s="3" t="str"/>
    </x:row>
    <x:row r="186" ht="153" customHeight="1">
      <x:c r="A186" s="3" t="str">
        <x:v>NONOGRAM-01</x:v>
      </x:c>
      <x:c r="B186" s="3" t="str">
        <x:v>Nonogram Advance</x:v>
      </x:c>
      <x:c r="C186" s="3" t="str">
        <x:v>Launch, icon and attribution</x:v>
      </x:c>
      <x:c r="D186" s="13" t="str">
        <x:v>Partially observed</x:v>
      </x:c>
      <x:c r="E186" s="3" t="str">
        <x:v>Capsule declares its own icon/ROM/attribution; Runtime opens exact content via GBA Emulator. Game-internal menus require live observation.</x:v>
      </x:c>
      <x:c r="F186" s="12" t="str">
        <x:v>Own icon/title launch licensed bundled ROM through GBA Emulator; game menu renders. Full in-game interaction still needs sustained key evidence; audit slot3 saved/loaded.</x:v>
      </x:c>
      <x:c r="G186" s="3" t="str">
        <x:v>controlled-game</x:v>
      </x:c>
      <x:c r="H186" s="3" t="str">
        <x:v>source-defect</x:v>
      </x:c>
      <x:c r="I186" s="3" t="str">
        <x:v>Nonogram shortcut; Launcher item; Game menus</x:v>
      </x:c>
      <x:c r="J186" s="3" t="str">
        <x:v>1. Inspect icon
2. Launch licensed bundled content
3. Inspect in-game controls</x:v>
      </x:c>
      <x:c r="K186" s="3" t="str">
        <x:v>Included licensed content</x:v>
      </x:c>
      <x:c r="L186" s="3" t="str">
        <x:v>F-06</x:v>
      </x:c>
      <x:c r="M186" s="3" t="str">
        <x:v>Prior public static request for /apps/gba-nonogram/icons/icon-128.png returned HTTP 404. Gameplay not tested. [Prior read-only public HTTP check and source asset resolution trace.]</x:v>
      </x:c>
      <x:c r="N186" s="3" t="str">
        <x:v>E-052</x:v>
      </x:c>
      <x:c r="O186" s="3" t="str">
        <x:v>S-176</x:v>
      </x:c>
      <x:c r="P186" s="3" t="str">
        <x:v>gba-nonogram</x:v>
      </x:c>
      <x:c r="Q186" s="3" t="str">
        <x:f>IF(OR(H186='Read Me + Evidence'!$K$6,H186='Read Me + Evidence'!$K$7,H186='Read Me + Evidence'!$K$8,P186='Read Me + Evidence'!$K$9,P186='Read Me + Evidence'!$K$10),'Read Me + Evidence'!$K$12,'Read Me + Evidence'!$K$11)</x:f>
        <x:v>GUI</x:v>
      </x:c>
      <x:c r="R186" s="14" t="n">
        <x:f>IF(AND(Q186='Read Me + Evidence'!$K$11,OR(D186='Read Me + Evidence'!$H$7,D186='Read Me + Evidence'!$H$8,D186='Read Me + Evidence'!$H$9)),1,0)</x:f>
        <x:v>1</x:v>
      </x:c>
      <x:c r="S186" s="14" t="n">
        <x:f>IF(AND(Q186='Read Me + Evidence'!$K$11,D186='Read Me + Evidence'!$H$7),1,0)</x:f>
        <x:v>0</x:v>
      </x:c>
      <x:c r="T186" s="14" t="n">
        <x:f>IF(AND(Q186='Read Me + Evidence'!$K$11,D186&lt;&gt;'Read Me + Evidence'!$H$12),1,0)</x:f>
        <x:v>1</x:v>
      </x:c>
      <x:c r="U186" s="3" t="str"/>
    </x:row>
    <x:row r="187" ht="153" customHeight="1">
      <x:c r="A187" s="3" t="str">
        <x:v>UCITY-01</x:v>
      </x:c>
      <x:c r="B187" s="3" t="str">
        <x:v>uCity</x:v>
      </x:c>
      <x:c r="C187" s="3" t="str">
        <x:v>Launch, icon and attribution</x:v>
      </x:c>
      <x:c r="D187" s="13" t="str">
        <x:v>Fail</x:v>
      </x:c>
      <x:c r="E187" s="3" t="str">
        <x:v>Capsule declares its own icon/ROM/attribution; content is not a second app registry. Game-internal menus require live observation.</x:v>
      </x:c>
      <x:c r="F187" s="12" t="str">
        <x:v>Own icon/title launches animated bundled game through GBA; all states Empty despite Nonogram Slot3 Saved. Attribution/provenance missing in bundled uCity (F-41). Game input/audio remain partial.</x:v>
      </x:c>
      <x:c r="G187" s="3" t="str">
        <x:v>controlled-game</x:v>
      </x:c>
      <x:c r="H187" s="3" t="str">
        <x:v>source-defect</x:v>
      </x:c>
      <x:c r="I187" s="3" t="str">
        <x:v>uCity shortcut; Launcher item; Game menus</x:v>
      </x:c>
      <x:c r="J187" s="3" t="str">
        <x:v>1. Inspect icon
2. Launch licensed bundled content
3. Inspect in-game controls</x:v>
      </x:c>
      <x:c r="K187" s="3" t="str">
        <x:v>Included licensed content</x:v>
      </x:c>
      <x:c r="L187" s="3" t="str">
        <x:v>F-06; F-41</x:v>
      </x:c>
      <x:c r="M187" s="3" t="str">
        <x:v>Prior public static request for /apps/gba-ucity/icons/icon-128.png returned HTTP 404. Gameplay not tested. [Prior read-only public HTTP check and source asset resolution trace.]</x:v>
      </x:c>
      <x:c r="N187" s="3" t="str">
        <x:v>E-052</x:v>
      </x:c>
      <x:c r="O187" s="3" t="str">
        <x:v>S-177</x:v>
      </x:c>
      <x:c r="P187" s="3" t="str">
        <x:v>gba-ucity</x:v>
      </x:c>
      <x:c r="Q187" s="3" t="str">
        <x:f>IF(OR(H187='Read Me + Evidence'!$K$6,H187='Read Me + Evidence'!$K$7,H187='Read Me + Evidence'!$K$8,P187='Read Me + Evidence'!$K$9,P187='Read Me + Evidence'!$K$10),'Read Me + Evidence'!$K$12,'Read Me + Evidence'!$K$11)</x:f>
        <x:v>GUI</x:v>
      </x:c>
      <x:c r="R187" s="14" t="n">
        <x:f>IF(AND(Q187='Read Me + Evidence'!$K$11,OR(D187='Read Me + Evidence'!$H$7,D187='Read Me + Evidence'!$H$8,D187='Read Me + Evidence'!$H$9)),1,0)</x:f>
        <x:v>1</x:v>
      </x:c>
      <x:c r="S187" s="14" t="n">
        <x:f>IF(AND(Q187='Read Me + Evidence'!$K$11,D187='Read Me + Evidence'!$H$7),1,0)</x:f>
        <x:v>0</x:v>
      </x:c>
      <x:c r="T187" s="14" t="n">
        <x:f>IF(AND(Q187='Read Me + Evidence'!$K$11,D187&lt;&gt;'Read Me + Evidence'!$H$12),1,0)</x:f>
        <x:v>1</x:v>
      </x:c>
      <x:c r="U187" s="3" t="str"/>
    </x:row>
    <x:row r="188" ht="153" customHeight="1">
      <x:c r="A188" s="3" t="str">
        <x:v>CLI-01</x:v>
      </x:c>
      <x:c r="B188" s="3" t="str">
        <x:v>Home CLI</x:v>
      </x:c>
      <x:c r="C188" s="3" t="str">
        <x:v>Terminal shell navigation</x:v>
      </x:c>
      <x:c r="D188" s="13" t="str">
        <x:v>Fail</x:v>
      </x:c>
      <x:c r="E188" s="3" t="str">
        <x:v>Runtime owns PTY and command authority; capsule owns terminal rendering, not arbitrary host process execution.</x:v>
      </x:c>
      <x:c r="F188" s="12" t="str">
        <x:v>Installed b233d832 direct Desktop–Terminal switching and Inbox→Desktop handoff still stall (F44). Reload restores the signed-in selected shell. Native startup, context and repaired Inbox label pass separately. Debugger-independent switching and sign-out remain unverified.</x:v>
      </x:c>
      <x:c r="G188" s="3" t="str">
        <x:v>controlled-session</x:v>
      </x:c>
      <x:c r="H188" s="3" t="str">
        <x:v>implemented-source</x:v>
      </x:c>
      <x:c r="I188" s="3" t="str">
        <x:v>Sections; Arrows; Tab; Enter; 1-9; Help; Refresh</x:v>
      </x:c>
      <x:c r="J188" s="3" t="str">
        <x:v>1. Switch Home view
2. Inspect command help and read-only facts
3. Return with q/Esc</x:v>
      </x:c>
      <x:c r="K188" s="3" t="str">
        <x:v>User-approved shell switch</x:v>
      </x:c>
      <x:c r="L188" s="3" t="str">
        <x:v>F-44; F-53; F-60</x:v>
      </x:c>
      <x:c r="M188" s="3" t="str"/>
      <x:c r="N188" s="3" t="str">
        <x:v>E-054; E-057; E-058; E-070; E-071; E-076; E-085; E-086; E-087; E-092; E-093; E-094; E-095; E-096; E-105; E-106</x:v>
      </x:c>
      <x:c r="O188" s="3" t="str">
        <x:v>S-178</x:v>
      </x:c>
      <x:c r="P188" s="3" t="str">
        <x:v>home-cli</x:v>
      </x:c>
      <x:c r="Q188" s="3" t="str">
        <x:f>IF(OR(H188='Read Me + Evidence'!$K$6,H188='Read Me + Evidence'!$K$7,H188='Read Me + Evidence'!$K$8,P188='Read Me + Evidence'!$K$9,P188='Read Me + Evidence'!$K$10),'Read Me + Evidence'!$K$12,'Read Me + Evidence'!$K$11)</x:f>
        <x:v>GUI</x:v>
      </x:c>
      <x:c r="R188" s="14" t="n">
        <x:f>IF(AND(Q188='Read Me + Evidence'!$K$11,OR(D188='Read Me + Evidence'!$H$7,D188='Read Me + Evidence'!$H$8,D188='Read Me + Evidence'!$H$9)),1,0)</x:f>
        <x:v>1</x:v>
      </x:c>
      <x:c r="S188" s="14" t="n">
        <x:f>IF(AND(Q188='Read Me + Evidence'!$K$11,D188='Read Me + Evidence'!$H$7),1,0)</x:f>
        <x:v>0</x:v>
      </x:c>
      <x:c r="T188" s="14" t="n">
        <x:f>IF(AND(Q188='Read Me + Evidence'!$K$11,D188&lt;&gt;'Read Me + Evidence'!$H$12),1,0)</x:f>
        <x:v>1</x:v>
      </x:c>
      <x:c r="U188" s="3" t="str"/>
    </x:row>
    <x:row r="189" ht="153" customHeight="1">
      <x:c r="A189" s="3" t="str">
        <x:v>CLI-02</x:v>
      </x:c>
      <x:c r="B189" s="3" t="str">
        <x:v>Home CLI</x:v>
      </x:c>
      <x:c r="C189" s="3" t="str">
        <x:v>Read-only command topics</x:v>
      </x:c>
      <x:c r="D189" s="13" t="str">
        <x:v>Fail</x:v>
      </x:c>
      <x:c r="E189" s="3" t="str">
        <x:v>CLI mirrors Runtime facts and clearly marks desktop-only actions; empty/unavailable state is honest.</x:v>
      </x:c>
      <x:c r="F189" s="12" t="str">
        <x:v>Installed b233d832 shows the same pending Wallet price request as Open Inbox on Desktop / ready, with an honest review hint. Enter starts a shell transition but Desktop stays blank over30s; reload restores Desktop without Inbox. Source selection/authority tests pass. F58 remains partial due to F44; request unchanged.</x:v>
      </x:c>
      <x:c r="G189" s="3" t="str">
        <x:v>safe-read-only</x:v>
      </x:c>
      <x:c r="H189" s="3" t="str">
        <x:v>implemented-source</x:v>
      </x:c>
      <x:c r="I189" s="3" t="str">
        <x:v>home/status/summary/whoami; apps; people; inbox; wallet; exits; system</x:v>
      </x:c>
      <x:c r="J189" s="3" t="str">
        <x:v>1. Inspect each topic without executing approval or mutation</x:v>
      </x:c>
      <x:c r="K189" s="3" t="str">
        <x:v>Signed-in Home</x:v>
      </x:c>
      <x:c r="L189" s="3" t="str">
        <x:v>F-44; F-47; F-58</x:v>
      </x:c>
      <x:c r="M189" s="3" t="str"/>
      <x:c r="N189" s="3" t="str">
        <x:v>E-054; E-057; E-058; E-067; E-069; E-070; E-071; E-087; E-088; E-104; E-105; E-106</x:v>
      </x:c>
      <x:c r="O189" s="3" t="str">
        <x:v>S-179</x:v>
      </x:c>
      <x:c r="P189" s="3" t="str">
        <x:v>home-cli</x:v>
      </x:c>
      <x:c r="Q189" s="3" t="str">
        <x:f>IF(OR(H189='Read Me + Evidence'!$K$6,H189='Read Me + Evidence'!$K$7,H189='Read Me + Evidence'!$K$8,P189='Read Me + Evidence'!$K$9,P189='Read Me + Evidence'!$K$10),'Read Me + Evidence'!$K$12,'Read Me + Evidence'!$K$11)</x:f>
        <x:v>GUI</x:v>
      </x:c>
      <x:c r="R189" s="14" t="n">
        <x:f>IF(AND(Q189='Read Me + Evidence'!$K$11,OR(D189='Read Me + Evidence'!$H$7,D189='Read Me + Evidence'!$H$8,D189='Read Me + Evidence'!$H$9)),1,0)</x:f>
        <x:v>1</x:v>
      </x:c>
      <x:c r="S189" s="14" t="n">
        <x:f>IF(AND(Q189='Read Me + Evidence'!$K$11,D189='Read Me + Evidence'!$H$7),1,0)</x:f>
        <x:v>0</x:v>
      </x:c>
      <x:c r="T189" s="14" t="n">
        <x:f>IF(AND(Q189='Read Me + Evidence'!$K$11,D189&lt;&gt;'Read Me + Evidence'!$H$12),1,0)</x:f>
        <x:v>1</x:v>
      </x:c>
      <x:c r="U189" s="3" t="str"/>
    </x:row>
    <x:row r="190" ht="153" customHeight="1">
      <x:c r="A190" s="3" t="str">
        <x:v>CLI-03</x:v>
      </x:c>
      <x:c r="B190" s="3" t="str">
        <x:v>Home CLI</x:v>
      </x:c>
      <x:c r="C190" s="3" t="str">
        <x:v>Declared actions and debug</x:v>
      </x:c>
      <x:c r="D190" s="13" t="str">
        <x:v>Blocked prerequisite</x:v>
      </x:c>
      <x:c r="E190" s="3" t="str">
        <x:v>Descriptors remain distinct from granted authority. High-risk invocation stays blocked until trusted approval.</x:v>
      </x:c>
      <x:c r="F190" s="12" t="str">
        <x:v>The installed TUI exposes read-only app descriptors and navigation help. Advanced invoke/debug line commands require a controlled operator fixture and are outside the visible TUI. No privileged dispatch or private diagnostic export was performed. Startup now works after the separate F-44 workaround. E-072 separately verifies advanced help, explicit website intents and high-risk invocation rejection using isolated sample snapshots.</x:v>
      </x:c>
      <x:c r="G190" s="3" t="str">
        <x:v>privileged-operator</x:v>
      </x:c>
      <x:c r="H190" s="3" t="str">
        <x:v>implemented-source</x:v>
      </x:c>
      <x:c r="I190" s="3" t="str">
        <x:v>invoke list; debug topics; system diagnostics</x:v>
      </x:c>
      <x:c r="J190" s="3" t="str">
        <x:v>1. List declared actions and safe diagnostics only</x:v>
      </x:c>
      <x:c r="K190" s="3" t="str">
        <x:v>Technical inspection; no private evidence capture</x:v>
      </x:c>
      <x:c r="L190" s="3" t="str">
        <x:v>F-60</x:v>
      </x:c>
      <x:c r="M190" s="3" t="str"/>
      <x:c r="N190" s="3" t="str">
        <x:v>E-054; E-071; E-072</x:v>
      </x:c>
      <x:c r="O190" s="3" t="str">
        <x:v>S-180</x:v>
      </x:c>
      <x:c r="P190" s="3" t="str">
        <x:v>home-cli</x:v>
      </x:c>
      <x:c r="Q190" s="3" t="str">
        <x:f>IF(OR(H190='Read Me + Evidence'!$K$6,H190='Read Me + Evidence'!$K$7,H190='Read Me + Evidence'!$K$8,P190='Read Me + Evidence'!$K$9,P190='Read Me + Evidence'!$K$10),'Read Me + Evidence'!$K$12,'Read Me + Evidence'!$K$11)</x:f>
        <x:v>GUI</x:v>
      </x:c>
      <x:c r="R190" s="14" t="n">
        <x:f>IF(AND(Q190='Read Me + Evidence'!$K$11,OR(D190='Read Me + Evidence'!$H$7,D190='Read Me + Evidence'!$H$8,D190='Read Me + Evidence'!$H$9)),1,0)</x:f>
        <x:v>0</x:v>
      </x:c>
      <x:c r="S190" s="14" t="n">
        <x:f>IF(AND(Q190='Read Me + Evidence'!$K$11,D190='Read Me + Evidence'!$H$7),1,0)</x:f>
        <x:v>0</x:v>
      </x:c>
      <x:c r="T190" s="14" t="n">
        <x:f>IF(AND(Q190='Read Me + Evidence'!$K$11,D190&lt;&gt;'Read Me + Evidence'!$H$12),1,0)</x:f>
        <x:v>1</x:v>
      </x:c>
      <x:c r="U190" s="3" t="str"/>
    </x:row>
    <x:row r="191" ht="153" customHeight="1">
      <x:c r="A191" s="3" t="str">
        <x:v>CLI-04</x:v>
      </x:c>
      <x:c r="B191" s="3" t="str">
        <x:v>Home CLI</x:v>
      </x:c>
      <x:c r="C191" s="3" t="str">
        <x:v>Advanced website command</x:v>
      </x:c>
      <x:c r="D191" s="13" t="str">
        <x:v>Blocked prerequisite</x:v>
      </x:c>
      <x:c r="E191" s="3" t="str">
        <x:v>Declared advanced CLI command is not proof of installed public website service. Publication needs separate explicit approval.</x:v>
      </x:c>
      <x:c r="F191" s="12" t="str">
        <x:v>Installed Home help exits zero and exposes --status/--json. Advanced mywebsite commands belong to the capsule's line-command surface, while installed Brave uses the TUI. Site/tunnel prerequisites and explicit publication authority remain absent. No publication command was dispatched. E-072 separately verifies advanced help, explicit website intents and high-risk invocation rejection using isolated sample snapshots.</x:v>
      </x:c>
      <x:c r="G191" s="3" t="str">
        <x:v>privileged-operator</x:v>
      </x:c>
      <x:c r="H191" s="3" t="str">
        <x:v>implemented-config-gated</x:v>
      </x:c>
      <x:c r="I191" s="3" t="str">
        <x:v>mywebsite status/stage/preview/publish/open</x:v>
      </x:c>
      <x:c r="J191" s="3" t="str">
        <x:v>1. Inspect help only; record absent site/tunnel prerequisites</x:v>
      </x:c>
      <x:c r="K191" s="3" t="str">
        <x:v>Site/tunnel support is not selected by source-home</x:v>
      </x:c>
      <x:c r="L191" s="3" t="str"/>
      <x:c r="M191" s="3" t="str"/>
      <x:c r="N191" s="3" t="str">
        <x:v>E-054; E-071; E-072</x:v>
      </x:c>
      <x:c r="O191" s="3" t="str">
        <x:v>S-181</x:v>
      </x:c>
      <x:c r="P191" s="3" t="str">
        <x:v>home-cli</x:v>
      </x:c>
      <x:c r="Q191" s="3" t="str">
        <x:f>IF(OR(H191='Read Me + Evidence'!$K$6,H191='Read Me + Evidence'!$K$7,H191='Read Me + Evidence'!$K$8,P191='Read Me + Evidence'!$K$9,P191='Read Me + Evidence'!$K$10),'Read Me + Evidence'!$K$12,'Read Me + Evidence'!$K$11)</x:f>
        <x:v>GUI</x:v>
      </x:c>
      <x:c r="R191" s="14" t="n">
        <x:f>IF(AND(Q191='Read Me + Evidence'!$K$11,OR(D191='Read Me + Evidence'!$H$7,D191='Read Me + Evidence'!$H$8,D191='Read Me + Evidence'!$H$9)),1,0)</x:f>
        <x:v>0</x:v>
      </x:c>
      <x:c r="S191" s="14" t="n">
        <x:f>IF(AND(Q191='Read Me + Evidence'!$K$11,D191='Read Me + Evidence'!$H$7),1,0)</x:f>
        <x:v>0</x:v>
      </x:c>
      <x:c r="T191" s="14" t="n">
        <x:f>IF(AND(Q191='Read Me + Evidence'!$K$11,D191&lt;&gt;'Read Me + Evidence'!$H$12),1,0)</x:f>
        <x:v>1</x:v>
      </x:c>
      <x:c r="U191" s="3" t="str"/>
    </x:row>
    <x:row r="192" ht="153" customHeight="1">
      <x:c r="A192" s="3" t="str">
        <x:v>CLI-05</x:v>
      </x:c>
      <x:c r="B192" s="3" t="str">
        <x:v>Home CLI</x:v>
      </x:c>
      <x:c r="C192" s="3" t="str">
        <x:v>Exit/sign-out</x:v>
      </x:c>
      <x:c r="D192" s="13" t="str">
        <x:v>Fail</x:v>
      </x:c>
      <x:c r="E192" s="3" t="str">
        <x:v>Shell exit returns to Desktop; sign-out ends authenticated browser Home session.</x:v>
      </x:c>
      <x:c r="F192" s="12" t="str">
        <x:v>Installed b233d832 direct Desktop–Terminal switching and Inbox→Desktop handoff still stall (F44). Reload restores the signed-in selected shell. Native startup, context and repaired Inbox label pass separately. Debugger-independent switching and sign-out remain unverified.</x:v>
      </x:c>
      <x:c r="G192" s="3" t="str">
        <x:v>controlled-session</x:v>
      </x:c>
      <x:c r="H192" s="3" t="str">
        <x:v>implemented-source</x:v>
      </x:c>
      <x:c r="I192" s="3" t="str">
        <x:v>q/Esc; exit; signout</x:v>
      </x:c>
      <x:c r="J192" s="3" t="str">
        <x:v>1. Return to GUI
2. Inspect separate sign-out action</x:v>
      </x:c>
      <x:c r="K192" s="3" t="str">
        <x:v>Disposable shell/session</x:v>
      </x:c>
      <x:c r="L192" s="3" t="str">
        <x:v>F-44; F-53</x:v>
      </x:c>
      <x:c r="M192" s="3" t="str"/>
      <x:c r="N192" s="3" t="str">
        <x:v>E-054; E-057; E-058; E-070; E-071; E-076; E-085; E-086; E-087; E-092; E-093; E-094; E-095; E-096; E-105; E-106</x:v>
      </x:c>
      <x:c r="O192" s="3" t="str">
        <x:v>S-182</x:v>
      </x:c>
      <x:c r="P192" s="3" t="str">
        <x:v>home-cli</x:v>
      </x:c>
      <x:c r="Q192" s="3" t="str">
        <x:f>IF(OR(H192='Read Me + Evidence'!$K$6,H192='Read Me + Evidence'!$K$7,H192='Read Me + Evidence'!$K$8,P192='Read Me + Evidence'!$K$9,P192='Read Me + Evidence'!$K$10),'Read Me + Evidence'!$K$12,'Read Me + Evidence'!$K$11)</x:f>
        <x:v>GUI</x:v>
      </x:c>
      <x:c r="R192" s="14" t="n">
        <x:f>IF(AND(Q192='Read Me + Evidence'!$K$11,OR(D192='Read Me + Evidence'!$H$7,D192='Read Me + Evidence'!$H$8,D192='Read Me + Evidence'!$H$9)),1,0)</x:f>
        <x:v>1</x:v>
      </x:c>
      <x:c r="S192" s="14" t="n">
        <x:f>IF(AND(Q192='Read Me + Evidence'!$K$11,D192='Read Me + Evidence'!$H$7),1,0)</x:f>
        <x:v>0</x:v>
      </x:c>
      <x:c r="T192" s="14" t="n">
        <x:f>IF(AND(Q192='Read Me + Evidence'!$K$11,D192&lt;&gt;'Read Me + Evidence'!$H$12),1,0)</x:f>
        <x:v>1</x:v>
      </x:c>
      <x:c r="U192" s="3" t="str"/>
    </x:row>
    <x:row r="193" ht="153" customHeight="1">
      <x:c r="A193" s="3" t="str">
        <x:v>UX-01</x:v>
      </x:c>
      <x:c r="B193" s="3" t="str">
        <x:v>Cross-app design and accessibility</x:v>
      </x:c>
      <x:c r="C193" s="3" t="str">
        <x:v>Keyboard and focus</x:v>
      </x:c>
      <x:c r="D193" s="13" t="str">
        <x:v>Fail</x:v>
      </x:c>
      <x:c r="E193" s="3" t="str">
        <x:v>Every visible control has a name and keyboard route; dialogs trap/restore focus and do not hide controls.</x:v>
      </x:c>
      <x:c r="F193" s="12" t="str">
        <x:v>Independent live checks found unnamed Chat/Marketplace controls, Library/Marketplace/Emulator keyboard propagation defects and missing Fast Forward state. These are separateF-24/F-28/F-31/F-33/F-39/F-40/F-42issues; full keyboard acceptance remains open. Retest adds F46: Properties tabs are generic click-only divs skipped by Tab; modal focus is incomplete.</x:v>
      </x:c>
      <x:c r="G193" s="3" t="str">
        <x:v>safe-read-only</x:v>
      </x:c>
      <x:c r="H193" s="3" t="str">
        <x:v>implemented-source</x:v>
      </x:c>
      <x:c r="I193" s="3" t="str">
        <x:v>Tab/Shift-Tab; Enter/Space; Escape; Menu keys</x:v>
      </x:c>
      <x:c r="J193" s="3" t="str">
        <x:v>1. In each app inspect visible focus
2. Open/close a dialog/menu
3. Return focus</x:v>
      </x:c>
      <x:c r="K193" s="3" t="str">
        <x:v>Applies to all 16 launcher targets plus Home shells</x:v>
      </x:c>
      <x:c r="L193" s="3" t="str">
        <x:v>F-46; F-48</x:v>
      </x:c>
      <x:c r="M193" s="3" t="str"/>
      <x:c r="N193" s="3" t="str">
        <x:v>E-044; E-046; E-049; E-052; E-056</x:v>
      </x:c>
      <x:c r="O193" s="3" t="str">
        <x:v>S-161</x:v>
      </x:c>
      <x:c r="P193" s="3" t="str">
        <x:v>shared</x:v>
      </x:c>
      <x:c r="Q193" s="3" t="str">
        <x:f>IF(OR(H193='Read Me + Evidence'!$K$6,H193='Read Me + Evidence'!$K$7,H193='Read Me + Evidence'!$K$8,P193='Read Me + Evidence'!$K$9,P193='Read Me + Evidence'!$K$10),'Read Me + Evidence'!$K$12,'Read Me + Evidence'!$K$11)</x:f>
        <x:v>GUI</x:v>
      </x:c>
      <x:c r="R193" s="14" t="n">
        <x:f>IF(AND(Q193='Read Me + Evidence'!$K$11,OR(D193='Read Me + Evidence'!$H$7,D193='Read Me + Evidence'!$H$8,D193='Read Me + Evidence'!$H$9)),1,0)</x:f>
        <x:v>1</x:v>
      </x:c>
      <x:c r="S193" s="14" t="n">
        <x:f>IF(AND(Q193='Read Me + Evidence'!$K$11,D193='Read Me + Evidence'!$H$7),1,0)</x:f>
        <x:v>0</x:v>
      </x:c>
      <x:c r="T193" s="14" t="n">
        <x:f>IF(AND(Q193='Read Me + Evidence'!$K$11,D193&lt;&gt;'Read Me + Evidence'!$H$12),1,0)</x:f>
        <x:v>1</x:v>
      </x:c>
      <x:c r="U193" s="3" t="str"/>
    </x:row>
    <x:row r="194" ht="153" customHeight="1">
      <x:c r="A194" s="3" t="str">
        <x:v>UX-02</x:v>
      </x:c>
      <x:c r="B194" s="3" t="str">
        <x:v>Cross-app design and accessibility</x:v>
      </x:c>
      <x:c r="C194" s="3" t="str">
        <x:v>Layout and visual consistency</x:v>
      </x:c>
      <x:c r="D194" s="13" t="str">
        <x:v>Fail</x:v>
      </x:c>
      <x:c r="E194" s="3" t="str">
        <x:v>Text fits, icons resolve, contrast is readable, content stays clear of Home chrome. Avoid cloned rows for each size/color.</x:v>
      </x:c>
      <x:c r="F194" s="12" t="str">
        <x:v>Normal layout reveals Chat heading under Home chrome, unreadable Library Properties/footer in Dark, Archive white pane and missing Home theme logo.F-22/F-27/F-30/F-37. Standard window and app fullscreen paths observed; complete narrow-layout coverage remains open.</x:v>
      </x:c>
      <x:c r="G194" s="3" t="str">
        <x:v>controlled-layout</x:v>
      </x:c>
      <x:c r="H194" s="3" t="str">
        <x:v>implemented-source</x:v>
      </x:c>
      <x:c r="I194" s="3" t="str">
        <x:v>Labels; Tooltips; Icons; Narrow resize; Theme</x:v>
      </x:c>
      <x:c r="J194" s="3" t="str">
        <x:v>1. Inspect one standard and one narrow window per distinct app layout</x:v>
      </x:c>
      <x:c r="K194" s="3" t="str">
        <x:v>All launcher targets; restore layout</x:v>
      </x:c>
      <x:c r="L194" s="3" t="str">
        <x:v>F-22</x:v>
      </x:c>
      <x:c r="M194" s="3" t="str"/>
      <x:c r="N194" s="3" t="str">
        <x:v>E-044; E-045; E-046; E-050</x:v>
      </x:c>
      <x:c r="O194" s="3" t="str">
        <x:v>S-161</x:v>
      </x:c>
      <x:c r="P194" s="3" t="str">
        <x:v>shared</x:v>
      </x:c>
      <x:c r="Q194" s="3" t="str">
        <x:f>IF(OR(H194='Read Me + Evidence'!$K$6,H194='Read Me + Evidence'!$K$7,H194='Read Me + Evidence'!$K$8,P194='Read Me + Evidence'!$K$9,P194='Read Me + Evidence'!$K$10),'Read Me + Evidence'!$K$12,'Read Me + Evidence'!$K$11)</x:f>
        <x:v>GUI</x:v>
      </x:c>
      <x:c r="R194" s="14" t="n">
        <x:f>IF(AND(Q194='Read Me + Evidence'!$K$11,OR(D194='Read Me + Evidence'!$H$7,D194='Read Me + Evidence'!$H$8,D194='Read Me + Evidence'!$H$9)),1,0)</x:f>
        <x:v>1</x:v>
      </x:c>
      <x:c r="S194" s="14" t="n">
        <x:f>IF(AND(Q194='Read Me + Evidence'!$K$11,D194='Read Me + Evidence'!$H$7),1,0)</x:f>
        <x:v>0</x:v>
      </x:c>
      <x:c r="T194" s="14" t="n">
        <x:f>IF(AND(Q194='Read Me + Evidence'!$K$11,D194&lt;&gt;'Read Me + Evidence'!$H$12),1,0)</x:f>
        <x:v>1</x:v>
      </x:c>
      <x:c r="U194" s="3" t="str"/>
    </x:row>
    <x:row r="195" ht="153" customHeight="1">
      <x:c r="A195" s="3" t="str">
        <x:v>UX-03</x:v>
      </x:c>
      <x:c r="B195" s="3" t="str">
        <x:v>Cross-app design and accessibility</x:v>
      </x:c>
      <x:c r="C195" s="3" t="str">
        <x:v>Loading, empty, failed and resumed</x:v>
      </x:c>
      <x:c r="D195" s="13" t="str">
        <x:v>Fail</x:v>
      </x:c>
      <x:c r="E195" s="3" t="str">
        <x:v>Source implementation, configured availability and live outcome remain separate; errors name next safe action without private details.</x:v>
      </x:c>
      <x:c r="F195" s="12" t="str">
        <x:v>Truthful zero-model/zero-wallet/empty catalog states observed. Broken Library retry, ambiguous Player empty state, Browser reopen and inaccessible Terminal recovery remainF-25/F-34/F-43/F-44. Failures arose naturally; existing services were preserved.</x:v>
      </x:c>
      <x:c r="G195" s="3" t="str">
        <x:v>safe-read-only</x:v>
      </x:c>
      <x:c r="H195" s="3" t="str">
        <x:v>implemented-source</x:v>
      </x:c>
      <x:c r="I195" s="3" t="str">
        <x:v>Loading indicators; Empty state; Error; Retry; Reopen</x:v>
      </x:c>
      <x:c r="J195" s="3" t="str">
        <x:v>1. Observe naturally available states; use approved fixtures for failure/restart</x:v>
      </x:c>
      <x:c r="K195" s="3" t="str">
        <x:v>No forced service interruption in active Home</x:v>
      </x:c>
      <x:c r="L195" s="3" t="str"/>
      <x:c r="M195" s="3" t="str"/>
      <x:c r="N195" s="3" t="str">
        <x:v>E-039; E-044; E-047; E-049; E-050; E-053; E-054</x:v>
      </x:c>
      <x:c r="O195" s="3" t="str">
        <x:v>S-161</x:v>
      </x:c>
      <x:c r="P195" s="3" t="str">
        <x:v>shared</x:v>
      </x:c>
      <x:c r="Q195" s="3" t="str">
        <x:f>IF(OR(H195='Read Me + Evidence'!$K$6,H195='Read Me + Evidence'!$K$7,H195='Read Me + Evidence'!$K$8,P195='Read Me + Evidence'!$K$9,P195='Read Me + Evidence'!$K$10),'Read Me + Evidence'!$K$12,'Read Me + Evidence'!$K$11)</x:f>
        <x:v>GUI</x:v>
      </x:c>
      <x:c r="R195" s="14" t="n">
        <x:f>IF(AND(Q195='Read Me + Evidence'!$K$11,OR(D195='Read Me + Evidence'!$H$7,D195='Read Me + Evidence'!$H$8,D195='Read Me + Evidence'!$H$9)),1,0)</x:f>
        <x:v>1</x:v>
      </x:c>
      <x:c r="S195" s="14" t="n">
        <x:f>IF(AND(Q195='Read Me + Evidence'!$K$11,D195='Read Me + Evidence'!$H$7),1,0)</x:f>
        <x:v>0</x:v>
      </x:c>
      <x:c r="T195" s="14" t="n">
        <x:f>IF(AND(Q195='Read Me + Evidence'!$K$11,D195&lt;&gt;'Read Me + Evidence'!$H$12),1,0)</x:f>
        <x:v>1</x:v>
      </x:c>
      <x:c r="U195" s="3" t="str"/>
    </x:row>
    <x:row r="196" ht="153" customHeight="1">
      <x:c r="A196" s="3" t="str">
        <x:v>DEP-01</x:v>
      </x:c>
      <x:c r="B196" s="3" t="str">
        <x:v>Background dependencies (no app control)</x:v>
      </x:c>
      <x:c r="C196" s="3" t="str">
        <x:v>Local identity and object provider plane</x:v>
      </x:c>
      <x:c r="D196" s="13" t="str">
        <x:v>Partially observed</x:v>
      </x:c>
      <x:c r="E196" s="3" t="str">
        <x:v>Runtime owns principal, typed resources and provider selection. Installed manifests alone do not prove provider health.</x:v>
      </x:c>
      <x:c r="F196" s="12" t="str">
        <x:v>The isolated candidate registers the local identity, object, and content providers in both gateway and managed Runtime paths. Authenticated Home, Library content visibility, create-only behavior, and all launcher targets provide current useful proof; negative provider and rights cases still need controlled fixtures.</x:v>
      </x:c>
      <x:c r="G196" s="3" t="str">
        <x:v>safe-read-only</x:v>
      </x:c>
      <x:c r="H196" s="3" t="str">
        <x:v>implemented-source</x:v>
      </x:c>
      <x:c r="I196" s="3" t="str">
        <x:v>System/Services read-only status</x:v>
      </x:c>
      <x:c r="J196" s="3" t="str">
        <x:v>1. Map localhost/did/object/block-graph providers to app journeys</x:v>
      </x:c>
      <x:c r="K196" s="3" t="str">
        <x:v>Installed artifact inspection only</x:v>
      </x:c>
      <x:c r="L196" s="3" t="str"/>
      <x:c r="M196" s="3" t="str"/>
      <x:c r="N196" s="3" t="str">
        <x:v>E-043; E-051; E-054; E-108</x:v>
      </x:c>
      <x:c r="O196" s="3" t="str">
        <x:v>S-183</x:v>
      </x:c>
      <x:c r="P196" s="3" t="str">
        <x:v>runtime-services</x:v>
      </x:c>
      <x:c r="Q196" s="3" t="str">
        <x:f>IF(OR(H196='Read Me + Evidence'!$K$6,H196='Read Me + Evidence'!$K$7,H196='Read Me + Evidence'!$K$8,P196='Read Me + Evidence'!$K$9,P196='Read Me + Evidence'!$K$10),'Read Me + Evidence'!$K$12,'Read Me + Evidence'!$K$11)</x:f>
        <x:v>Source only</x:v>
      </x:c>
      <x:c r="R196" s="14" t="n">
        <x:f>IF(AND(Q196='Read Me + Evidence'!$K$11,OR(D196='Read Me + Evidence'!$H$7,D196='Read Me + Evidence'!$H$8,D196='Read Me + Evidence'!$H$9)),1,0)</x:f>
        <x:v>0</x:v>
      </x:c>
      <x:c r="S196" s="14" t="n">
        <x:f>IF(AND(Q196='Read Me + Evidence'!$K$11,D196='Read Me + Evidence'!$H$7),1,0)</x:f>
        <x:v>0</x:v>
      </x:c>
      <x:c r="T196" s="14" t="n">
        <x:f>IF(AND(Q196='Read Me + Evidence'!$K$11,D196&lt;&gt;'Read Me + Evidence'!$H$12),1,0)</x:f>
        <x:v>0</x:v>
      </x:c>
      <x:c r="U196" s="3" t="str"/>
    </x:row>
    <x:row r="197" ht="153" customHeight="1">
      <x:c r="A197" s="3" t="str">
        <x:v>DEP-02</x:v>
      </x:c>
      <x:c r="B197" s="3" t="str">
        <x:v>Background dependencies (no app control)</x:v>
      </x:c>
      <x:c r="C197" s="3" t="str">
        <x:v>Content and IPFS plane</x:v>
      </x:c>
      <x:c r="D197" s="13" t="str">
        <x:v>Blocked prerequisite</x:v>
      </x:c>
      <x:c r="E197" s="3" t="str">
        <x:v>Content addressing verifies object bytes; backend availability and replication need separate evidence. Apps receive typed content identities.</x:v>
      </x:c>
      <x:c r="F197" s="12" t="str">
        <x:v>Content/IPFS publication and replication require an approved published fixture. E-040also identifies Kubo direct-binary verification gap. No content publication or uncontrolled fetch dispatched.</x:v>
      </x:c>
      <x:c r="G197" s="3" t="str">
        <x:v>controlled-publication</x:v>
      </x:c>
      <x:c r="H197" s="3" t="str">
        <x:v>implemented-source</x:v>
      </x:c>
      <x:c r="I197" s="3" t="str">
        <x:v>Library/Documents publish/status</x:v>
      </x:c>
      <x:c r="J197" s="3" t="str">
        <x:v>1. Map content, ipfs-provider and Kubo to publish/fetch/replication</x:v>
      </x:c>
      <x:c r="K197" s="3" t="str">
        <x:v>Approved published fixture and content backend</x:v>
      </x:c>
      <x:c r="L197" s="3" t="str"/>
      <x:c r="M197" s="3" t="str"/>
      <x:c r="N197" s="3" t="str">
        <x:v>E-040</x:v>
      </x:c>
      <x:c r="O197" s="3" t="str">
        <x:v>S-184, S-161</x:v>
      </x:c>
      <x:c r="P197" s="3" t="str">
        <x:v>runtime-services</x:v>
      </x:c>
      <x:c r="Q197" s="3" t="str">
        <x:f>IF(OR(H197='Read Me + Evidence'!$K$6,H197='Read Me + Evidence'!$K$7,H197='Read Me + Evidence'!$K$8,P197='Read Me + Evidence'!$K$9,P197='Read Me + Evidence'!$K$10),'Read Me + Evidence'!$K$12,'Read Me + Evidence'!$K$11)</x:f>
        <x:v>Source only</x:v>
      </x:c>
      <x:c r="R197" s="14" t="n">
        <x:f>IF(AND(Q197='Read Me + Evidence'!$K$11,OR(D197='Read Me + Evidence'!$H$7,D197='Read Me + Evidence'!$H$8,D197='Read Me + Evidence'!$H$9)),1,0)</x:f>
        <x:v>0</x:v>
      </x:c>
      <x:c r="S197" s="14" t="n">
        <x:f>IF(AND(Q197='Read Me + Evidence'!$K$11,D197='Read Me + Evidence'!$H$7),1,0)</x:f>
        <x:v>0</x:v>
      </x:c>
      <x:c r="T197" s="14" t="n">
        <x:f>IF(AND(Q197='Read Me + Evidence'!$K$11,D197&lt;&gt;'Read Me + Evidence'!$H$12),1,0)</x:f>
        <x:v>0</x:v>
      </x:c>
      <x:c r="U197" s="3" t="str"/>
    </x:row>
    <x:row r="198" ht="153" customHeight="1">
      <x:c r="A198" s="3" t="str">
        <x:v>DEP-03</x:v>
      </x:c>
      <x:c r="B198" s="3" t="str">
        <x:v>Background dependencies (no app control)</x:v>
      </x:c>
      <x:c r="C198" s="3" t="str">
        <x:v>Network/Carrier/Browser plane</x:v>
      </x:c>
      <x:c r="D198" s="13" t="str">
        <x:v>Fail</x:v>
      </x:c>
      <x:c r="E198" s="3" t="str">
        <x:v>Runtime selects endpoint operations; transport and VM topology remain private. Support binaries are not launcher apps.</x:v>
      </x:c>
      <x:c r="F198" s="12" t="str">
        <x:v>Installed net/exit/Browser adapters match their manifests, and first MicroVM page renders. Reopen failsF-43; source Carrier-error privacy repairF-19 and private socket-root repairF-20await installation. Manifest presence alone is not Browser readiness.</x:v>
      </x:c>
      <x:c r="G198" s="3" t="str">
        <x:v>safe-read-only</x:v>
      </x:c>
      <x:c r="H198" s="3" t="str">
        <x:v>implemented-source</x:v>
      </x:c>
      <x:c r="I198" s="3" t="str">
        <x:v>Services/Browser status</x:v>
      </x:c>
      <x:c r="J198" s="3" t="str">
        <x:v>1. Map net/exit/browser-engine-adapter/browser-local-exit and Carrier ownership</x:v>
      </x:c>
      <x:c r="K198" s="3" t="str">
        <x:v>Installed artifact inspection only</x:v>
      </x:c>
      <x:c r="L198" s="3" t="str"/>
      <x:c r="M198" s="3" t="str"/>
      <x:c r="N198" s="3" t="str">
        <x:v>E-041; E-053; E-054</x:v>
      </x:c>
      <x:c r="O198" s="3" t="str">
        <x:v>S-183</x:v>
      </x:c>
      <x:c r="P198" s="3" t="str">
        <x:v>runtime-services</x:v>
      </x:c>
      <x:c r="Q198" s="3" t="str">
        <x:f>IF(OR(H198='Read Me + Evidence'!$K$6,H198='Read Me + Evidence'!$K$7,H198='Read Me + Evidence'!$K$8,P198='Read Me + Evidence'!$K$9,P198='Read Me + Evidence'!$K$10),'Read Me + Evidence'!$K$12,'Read Me + Evidence'!$K$11)</x:f>
        <x:v>Source only</x:v>
      </x:c>
      <x:c r="R198" s="14" t="n">
        <x:f>IF(AND(Q198='Read Me + Evidence'!$K$11,OR(D198='Read Me + Evidence'!$H$7,D198='Read Me + Evidence'!$H$8,D198='Read Me + Evidence'!$H$9)),1,0)</x:f>
        <x:v>0</x:v>
      </x:c>
      <x:c r="S198" s="14" t="n">
        <x:f>IF(AND(Q198='Read Me + Evidence'!$K$11,D198='Read Me + Evidence'!$H$7),1,0)</x:f>
        <x:v>0</x:v>
      </x:c>
      <x:c r="T198" s="14" t="n">
        <x:f>IF(AND(Q198='Read Me + Evidence'!$K$11,D198&lt;&gt;'Read Me + Evidence'!$H$12),1,0)</x:f>
        <x:v>0</x:v>
      </x:c>
      <x:c r="U198" s="3" t="str"/>
    </x:row>
    <x:row r="199" ht="153" customHeight="1">
      <x:c r="A199" s="3" t="str">
        <x:v>DEP-04</x:v>
      </x:c>
      <x:c r="B199" s="3" t="str">
        <x:v>Background dependencies (no app control)</x:v>
      </x:c>
      <x:c r="C199" s="3" t="str">
        <x:v>Wallet/Chain plane</x:v>
      </x:c>
      <x:c r="D199" s="13" t="str">
        <x:v>Blocked prerequisite</x:v>
      </x:c>
      <x:c r="E199" s="3" t="str">
        <x:v>Wallet owns signing/effects; Chain config owns deployed contracts and finalized evidence. Empty config is not permission to invent defaults.</x:v>
      </x:c>
      <x:c r="F199" s="12" t="str">
        <x:v>Wallet has zero accounts; valid private Chain configuration and approved financial fixture are absent. No signer/transaction/default configuration was invented.</x:v>
      </x:c>
      <x:c r="G199" s="3" t="str">
        <x:v>privileged-operator</x:v>
      </x:c>
      <x:c r="H199" s="3" t="str">
        <x:v>implemented-source</x:v>
      </x:c>
      <x:c r="I199" s="3" t="str">
        <x:v>Wallet/System status</x:v>
      </x:c>
      <x:c r="J199" s="3" t="str">
        <x:v>1. Map account/approval and configured Chain evidence to financial journeys</x:v>
      </x:c>
      <x:c r="K199" s="3" t="str">
        <x:v>Operator-approved financial test only</x:v>
      </x:c>
      <x:c r="L199" s="3" t="str"/>
      <x:c r="M199" s="3" t="str"/>
      <x:c r="N199" s="3" t="str">
        <x:v>E-040; E-047</x:v>
      </x:c>
      <x:c r="O199" s="3" t="str">
        <x:v>S-183</x:v>
      </x:c>
      <x:c r="P199" s="3" t="str">
        <x:v>runtime-services</x:v>
      </x:c>
      <x:c r="Q199" s="3" t="str">
        <x:f>IF(OR(H199='Read Me + Evidence'!$K$6,H199='Read Me + Evidence'!$K$7,H199='Read Me + Evidence'!$K$8,P199='Read Me + Evidence'!$K$9,P199='Read Me + Evidence'!$K$10),'Read Me + Evidence'!$K$12,'Read Me + Evidence'!$K$11)</x:f>
        <x:v>Source only</x:v>
      </x:c>
      <x:c r="R199" s="14" t="n">
        <x:f>IF(AND(Q199='Read Me + Evidence'!$K$11,OR(D199='Read Me + Evidence'!$H$7,D199='Read Me + Evidence'!$H$8,D199='Read Me + Evidence'!$H$9)),1,0)</x:f>
        <x:v>0</x:v>
      </x:c>
      <x:c r="S199" s="14" t="n">
        <x:f>IF(AND(Q199='Read Me + Evidence'!$K$11,D199='Read Me + Evidence'!$H$7),1,0)</x:f>
        <x:v>0</x:v>
      </x:c>
      <x:c r="T199" s="14" t="n">
        <x:f>IF(AND(Q199='Read Me + Evidence'!$K$11,D199&lt;&gt;'Read Me + Evidence'!$H$12),1,0)</x:f>
        <x:v>0</x:v>
      </x:c>
      <x:c r="U199" s="3" t="str"/>
    </x:row>
    <x:row r="200" ht="153" customHeight="1">
      <x:c r="A200" s="3" t="str">
        <x:v>DEP-05</x:v>
      </x:c>
      <x:c r="B200" s="3" t="str">
        <x:v>Background dependencies (no app control)</x:v>
      </x:c>
      <x:c r="C200" s="3" t="str">
        <x:v>Private protected provider plane</x:v>
      </x:c>
      <x:c r="D200" s="13" t="str">
        <x:v>Blocked prerequisite</x:v>
      </x:c>
      <x:c r="E200" s="3" t="str">
        <x:v>Four Runtime-only targets stay absent from capsule/public routes. Fresh installation does not supply signed custody/Chain rights configuration.</x:v>
      </x:c>
      <x:c r="F200" s="12" t="str">
        <x:v>Static proof confirms custody composition and Chain configuration are absent. Runtime-private protect/media/custody/decrypt declarations are source facts, not mint/buy/play acceptance. Preserve existing identities and require explicit controlled setup.</x:v>
      </x:c>
      <x:c r="G200" s="3" t="str">
        <x:v>privileged-operator</x:v>
      </x:c>
      <x:c r="H200" s="3" t="str">
        <x:v>implemented-config-gated</x:v>
      </x:c>
      <x:c r="I200" s="3" t="str">
        <x:v>Library state only; no direct provider control</x:v>
      </x:c>
      <x:c r="J200" s="3" t="str">
        <x:v>1. Map protect/media/custody/decrypt readiness prerequisites</x:v>
      </x:c>
      <x:c r="K200" s="3" t="str">
        <x:v>Signed 2-of-3 distinct-operator custody; Chain evidence; Media tools; Availability</x:v>
      </x:c>
      <x:c r="L200" s="3" t="str">
        <x:v>F-10; F-13</x:v>
      </x:c>
      <x:c r="M200" s="3" t="str"/>
      <x:c r="N200" s="3" t="str">
        <x:v>E-040</x:v>
      </x:c>
      <x:c r="O200" s="3" t="str">
        <x:v>S-183</x:v>
      </x:c>
      <x:c r="P200" s="3" t="str">
        <x:v>runtime-services</x:v>
      </x:c>
      <x:c r="Q200" s="3" t="str">
        <x:f>IF(OR(H200='Read Me + Evidence'!$K$6,H200='Read Me + Evidence'!$K$7,H200='Read Me + Evidence'!$K$8,P200='Read Me + Evidence'!$K$9,P200='Read Me + Evidence'!$K$10),'Read Me + Evidence'!$K$12,'Read Me + Evidence'!$K$11)</x:f>
        <x:v>Source only</x:v>
      </x:c>
      <x:c r="R200" s="14" t="n">
        <x:f>IF(AND(Q200='Read Me + Evidence'!$K$11,OR(D200='Read Me + Evidence'!$H$7,D200='Read Me + Evidence'!$H$8,D200='Read Me + Evidence'!$H$9)),1,0)</x:f>
        <x:v>0</x:v>
      </x:c>
      <x:c r="S200" s="14" t="n">
        <x:f>IF(AND(Q200='Read Me + Evidence'!$K$11,D200='Read Me + Evidence'!$H$7),1,0)</x:f>
        <x:v>0</x:v>
      </x:c>
      <x:c r="T200" s="14" t="n">
        <x:f>IF(AND(Q200='Read Me + Evidence'!$K$11,D200&lt;&gt;'Read Me + Evidence'!$H$12),1,0)</x:f>
        <x:v>0</x:v>
      </x:c>
      <x:c r="U200" s="3" t="str"/>
    </x:row>
    <x:row r="201" ht="153" customHeight="1">
      <x:c r="A201" s="3" t="str">
        <x:v>DEP-06</x:v>
      </x:c>
      <x:c r="B201" s="3" t="str">
        <x:v>Background dependencies (no app control)</x:v>
      </x:c>
      <x:c r="C201" s="3" t="str">
        <x:v>WebSpace plane</x:v>
      </x:c>
      <x:c r="D201" s="13" t="str">
        <x:v>Partially observed</x:v>
      </x:c>
      <x:c r="E201" s="3" t="str">
        <x:v>WebSpace access is provider-owned and capability-bound. Absent mounts are empty/unavailable, not proof of a general storage manager.</x:v>
      </x:c>
      <x:c r="F201" s="12" t="str">
        <x:v>Library Spaces root shows two entries; installed WebSpace provider verifies its manifest. No existing mount contents were inspected or written. General provider capability/negative proof needs a dedicated authorized mount.</x:v>
      </x:c>
      <x:c r="G201" s="3" t="str">
        <x:v>safe-read-only</x:v>
      </x:c>
      <x:c r="H201" s="3" t="str">
        <x:v>implemented-config-gated</x:v>
      </x:c>
      <x:c r="I201" s="3" t="str">
        <x:v>Library WebSpaces root</x:v>
      </x:c>
      <x:c r="J201" s="3" t="str">
        <x:v>1. Inspect available typed provider-backed WebSpace root</x:v>
      </x:c>
      <x:c r="K201" s="3" t="str">
        <x:v>Configured authorized WebSpace if any</x:v>
      </x:c>
      <x:c r="L201" s="3" t="str"/>
      <x:c r="M201" s="3" t="str"/>
      <x:c r="N201" s="3" t="str">
        <x:v>E-044; E-054</x:v>
      </x:c>
      <x:c r="O201" s="3" t="str">
        <x:v>S-185, S-058</x:v>
      </x:c>
      <x:c r="P201" s="3" t="str">
        <x:v>runtime-services</x:v>
      </x:c>
      <x:c r="Q201" s="3" t="str">
        <x:f>IF(OR(H201='Read Me + Evidence'!$K$6,H201='Read Me + Evidence'!$K$7,H201='Read Me + Evidence'!$K$8,P201='Read Me + Evidence'!$K$9,P201='Read Me + Evidence'!$K$10),'Read Me + Evidence'!$K$12,'Read Me + Evidence'!$K$11)</x:f>
        <x:v>Source only</x:v>
      </x:c>
      <x:c r="R201" s="14" t="n">
        <x:f>IF(AND(Q201='Read Me + Evidence'!$K$11,OR(D201='Read Me + Evidence'!$H$7,D201='Read Me + Evidence'!$H$8,D201='Read Me + Evidence'!$H$9)),1,0)</x:f>
        <x:v>0</x:v>
      </x:c>
      <x:c r="S201" s="14" t="n">
        <x:f>IF(AND(Q201='Read Me + Evidence'!$K$11,D201='Read Me + Evidence'!$H$7),1,0)</x:f>
        <x:v>0</x:v>
      </x:c>
      <x:c r="T201" s="14" t="n">
        <x:f>IF(AND(Q201='Read Me + Evidence'!$K$11,D201&lt;&gt;'Read Me + Evidence'!$H$12),1,0)</x:f>
        <x:v>0</x:v>
      </x:c>
      <x:c r="U201" s="3" t="str"/>
    </x:row>
    <x:row r="202" ht="220" customHeight="1">
      <x:c r="A202" s="36" t="str">
        <x:v>AUTH-08</x:v>
      </x:c>
      <x:c r="B202" s="36" t="str">
        <x:v>Home / sign-in</x:v>
      </x:c>
      <x:c r="C202" s="36" t="str">
        <x:v>Operator-admitted HTTPS first owner</x:v>
      </x:c>
      <x:c r="D202" s="36" t="str">
        <x:v>Blocked prerequisite</x:v>
      </x:c>
      <x:c r="E202" s="36" t="str">
        <x:v>Runtime admits one first owner after operator authorization bound to the exact HTTPS origin and RP, followed by user passkey consent.</x:v>
      </x:c>
      <x:c r="F202" s="36" t="str">
        <x:v>Source fixtures only; installed public-origin enrollment remains open.</x:v>
      </x:c>
      <x:c r="G202" s="36" t="str">
        <x:v>controlled-identity</x:v>
      </x:c>
      <x:c r="H202" s="36" t="str">
        <x:v>implemented-source</x:v>
      </x:c>
      <x:c r="I202" s="36" t="str">
        <x:v>Operator enrollment token; Name; Use passkey</x:v>
      </x:c>
      <x:c r="J202" s="36" t="str">
        <x:v>1. Arm one disposable HTTPS Home
2. Enroll with the approved token and a user-operated passkey
3. Confirm one Admin account</x:v>
      </x:c>
      <x:c r="K202" s="36" t="str">
        <x:v>Fresh disposable Home; supported secure host; explicit operator and user consent</x:v>
      </x:c>
      <x:c r="L202" s="36"/>
      <x:c r="M202" s="36"/>
      <x:c r="N202" s="36"/>
      <x:c r="O202" s="36" t="str">
        <x:v>43b8f830; elastos/crates/elastos-server/src/auth.rs; api/auth_gateway.rs; api/handlers/identity.rs; scripts/home-owner-enrollment-smoke.mjs</x:v>
      </x:c>
      <x:c r="P202" s="36" t="str">
        <x:v>home</x:v>
      </x:c>
      <x:c r="Q202" s="36" t="str">
        <x:v>GUI</x:v>
      </x:c>
      <x:c r="R202" s="36" t="n">
        <x:f>IF(AND(Q202='Read Me + Evidence'!$K$11,OR(D202='Read Me + Evidence'!$H$202,D202='Read Me + Evidence'!$H$8,D202='Read Me + Evidence'!$H$9)),1,0)</x:f>
        <x:v>0</x:v>
      </x:c>
      <x:c r="S202" s="36" t="n">
        <x:f>IF(AND(Q202='Read Me + Evidence'!$K$11,D202='Read Me + Evidence'!$H$202),1,0)</x:f>
        <x:v>0</x:v>
      </x:c>
      <x:c r="T202" s="36" t="n">
        <x:f>IF(AND(Q202='Read Me + Evidence'!$K$11,D202&lt;&gt;'Read Me + Evidence'!$H$12),1,0)</x:f>
        <x:v>1</x:v>
      </x:c>
      <x:c r="U202" s="36" t="str">
        <x:v>Both actual route families pass exact binding, denial and concurrent-owner fixtures. Existing user accounts remain outside this test scope.</x:v>
      </x:c>
    </x:row>
    <x:row r="203" ht="220" customHeight="1">
      <x:c r="A203" s="36" t="str">
        <x:v>AUTH-09</x:v>
      </x:c>
      <x:c r="B203" s="36" t="str">
        <x:v>Home / sign-in</x:v>
      </x:c>
      <x:c r="C203" s="36" t="str">
        <x:v>Reload after owner completion response loss</x:v>
      </x:c>
      <x:c r="D203" s="36" t="str">
        <x:v>Blocked prerequisite</x:v>
      </x:c>
      <x:c r="E203" s="36" t="str">
        <x:v>The original claimant resumes the same verified owner operation after reload, with the saved name and one terminal grant.</x:v>
      </x:c>
      <x:c r="F203" s="36" t="str">
        <x:v>Source controller and persisted-route fixtures only; installed reload proof remains open.</x:v>
      </x:c>
      <x:c r="G203" s="36" t="str">
        <x:v>controlled-identity</x:v>
      </x:c>
      <x:c r="H203" s="36" t="str">
        <x:v>implemented-source</x:v>
      </x:c>
      <x:c r="I203" s="36" t="str">
        <x:v>Resume Home setup; claimant cookie</x:v>
      </x:c>
      <x:c r="J203" s="36" t="str">
        <x:v>1. Verify a disposable enrollment
2. Lose its completion response
3. Reload and resume
4. Confirm one account, name and grant</x:v>
      </x:c>
      <x:c r="K203" s="36" t="str">
        <x:v>Disposable authorized enrollment; controlled response interruption</x:v>
      </x:c>
      <x:c r="L203" s="36"/>
      <x:c r="M203" s="36"/>
      <x:c r="N203" s="36"/>
      <x:c r="O203" s="36" t="str">
        <x:v>43b8f830; elastos/crates/elastos-server/src/auth.rs; api/auth_gateway.rs; api/handlers/identity.rs; scripts/home-owner-enrollment-smoke.mjs</x:v>
      </x:c>
      <x:c r="P203" s="36" t="str">
        <x:v>home</x:v>
      </x:c>
      <x:c r="Q203" s="36" t="str">
        <x:v>GUI</x:v>
      </x:c>
      <x:c r="R203" s="36" t="n">
        <x:f>IF(AND(Q203='Read Me + Evidence'!$K$11,OR(D203='Read Me + Evidence'!$H$203,D203='Read Me + Evidence'!$H$8,D203='Read Me + Evidence'!$H$9)),1,0)</x:f>
        <x:v>0</x:v>
      </x:c>
      <x:c r="S203" s="36" t="n">
        <x:f>IF(AND(Q203='Read Me + Evidence'!$K$11,D203='Read Me + Evidence'!$H$203),1,0)</x:f>
        <x:v>0</x:v>
      </x:c>
      <x:c r="T203" s="36" t="n">
        <x:f>IF(AND(Q203='Read Me + Evidence'!$K$11,D203&lt;&gt;'Read Me + Evidence'!$H$12),1,0)</x:f>
        <x:v>1</x:v>
      </x:c>
      <x:c r="U203" s="36" t="str">
        <x:v>Home reload smoke and four persistence-boundary restart fixtures pass. Resume needs no second attestation; an expired terminal grant uses normal sign-in.</x:v>
      </x:c>
    </x:row>
    <x:row r="204" ht="220" customHeight="1">
      <x:c r="A204" s="36" t="str">
        <x:v>AUTH-10</x:v>
      </x:c>
      <x:c r="B204" s="36" t="str">
        <x:v>Home / sign-in</x:v>
      </x:c>
      <x:c r="C204" s="36" t="str">
        <x:v>Denied and competing owner enrollment</x:v>
      </x:c>
      <x:c r="D204" s="36" t="str">
        <x:v>Blocked prerequisite</x:v>
      </x:c>
      <x:c r="E204" s="36" t="str">
        <x:v>Wrong claimant, origin, RP, expiry or revoked proof fails closed; concurrent attempts establish at most one owner.</x:v>
      </x:c>
      <x:c r="F204" s="36" t="str">
        <x:v>Source negative fixtures only; installed controlled-denial proof remains open.</x:v>
      </x:c>
      <x:c r="G204" s="36" t="str">
        <x:v>controlled-identity</x:v>
      </x:c>
      <x:c r="H204" s="36" t="str">
        <x:v>implemented-source</x:v>
      </x:c>
      <x:c r="I204" s="36" t="str">
        <x:v>Enrollment refusal; retry</x:v>
      </x:c>
      <x:c r="J204" s="36" t="str">
        <x:v>1. Use invalid or expired disposable admission
2. Try competing claimants
3. Restart at persistence boundaries
4. Confirm exact state and one winner</x:v>
      </x:c>
      <x:c r="K204" s="36" t="str">
        <x:v>Fresh disposable Home; controlled failures; preserve all existing accounts</x:v>
      </x:c>
      <x:c r="L204" s="36"/>
      <x:c r="M204" s="36"/>
      <x:c r="N204" s="36"/>
      <x:c r="O204" s="36" t="str">
        <x:v>43b8f830; elastos/crates/elastos-server/src/auth.rs; api/auth_gateway.rs; api/handlers/identity.rs; scripts/home-owner-enrollment-smoke.mjs</x:v>
      </x:c>
      <x:c r="P204" s="36" t="str">
        <x:v>home</x:v>
      </x:c>
      <x:c r="Q204" s="36" t="str">
        <x:v>GUI</x:v>
      </x:c>
      <x:c r="R204" s="36" t="n">
        <x:f>IF(AND(Q204='Read Me + Evidence'!$K$11,OR(D204='Read Me + Evidence'!$H$204,D204='Read Me + Evidence'!$H$8,D204='Read Me + Evidence'!$H$9)),1,0)</x:f>
        <x:v>0</x:v>
      </x:c>
      <x:c r="S204" s="36" t="n">
        <x:f>IF(AND(Q204='Read Me + Evidence'!$K$11,D204='Read Me + Evidence'!$H$204),1,0)</x:f>
        <x:v>0</x:v>
      </x:c>
      <x:c r="T204" s="36" t="n">
        <x:f>IF(AND(Q204='Read Me + Evidence'!$K$11,D204&lt;&gt;'Read Me + Evidence'!$H$12),1,0)</x:f>
        <x:v>1</x:v>
      </x:c>
      <x:c r="U204" s="36" t="str">
        <x:v>Typed 403 and no-effect route tests pass; concurrent claim/completion and credential-counter/revocation recovery preserve exact ownership.</x:v>
      </x:c>
    </x:row>
  </x:sheetData>
  <x:mergeCells>
    <x:mergeCell ref="A1:F1"/>
    <x:mergeCell ref="A2:F3"/>
  </x:mergeCells>
  <x:conditionalFormatting sqref="D7:D201">
    <x:cfRule type="cellIs" dxfId="0" priority="1" operator="equal">
      <x:formula>"Pass"</x:formula>
    </x:cfRule>
    <x:cfRule type="cellIs" dxfId="1" priority="2" operator="equal">
      <x:formula>"Fail"</x:formula>
    </x:cfRule>
    <x:cfRule type="cellIs" dxfId="2" priority="3" operator="equal">
      <x:formula>"Partially observed"</x:formula>
    </x:cfRule>
    <x:cfRule type="cellIs" dxfId="3" priority="4" operator="equal">
      <x:formula>"Blocked prerequisite"</x:formula>
    </x:cfRule>
    <x:cfRule type="cellIs" dxfId="4" priority="5" operator="equal">
      <x:formula>"Blocked tool"</x:formula>
    </x:cfRule>
    <x:cfRule type="cellIs" dxfId="5" priority="6" operator="equal">
      <x:formula>"Not run"</x:formula>
    </x:cfRule>
  </x:conditionalFormatting>
  <x:dataValidations count="2">
    <x:dataValidation type="list" sqref="D7:D201">
      <x:formula1>"Not run,Pass,Fail,Partially observed,Blocked prerequisite,Blocked tool,Not applicable"</x:formula1>
    </x:dataValidation>
    <x:dataValidation type="list" sqref="D202:D204">
      <x:formula1>"Not run,Pass,Fail,Partially observed,Blocked prerequisite,Blocked tool,Not applicable"</x:formula1>
    </x:dataValidation>
  </x:dataValidations>
  <x:pageMargins left="0.7" right="0.7" top="0.75" bottom="0.75" header="0.3" footer="0.3"/>
  <x:tableParts count="1">
    <x:tablePart xmlns:r="http://schemas.openxmlformats.org/officeDocument/2006/relationships" r:id="Rdd865d76e59b475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4399995803833" hidden="0" customWidth="1"/>
    <x:col min="2" max="2" width="16.440000534057617" hidden="0" customWidth="1"/>
    <x:col min="3" max="3" width="30" hidden="0" customWidth="1"/>
    <x:col min="4" max="4" width="14.4399995803833" hidden="0" customWidth="1"/>
    <x:col min="5" max="5" width="15" hidden="0" customWidth="1"/>
    <x:col min="6" max="6" width="34.439998626708984" hidden="0" customWidth="1"/>
    <x:col min="7" max="7" width="34.439998626708984" hidden="0" customWidth="1"/>
    <x:col min="8" max="8" width="18.329999923706055" hidden="0" customWidth="1"/>
    <x:col min="9" max="9" width="42.779998779296875" hidden="0" customWidth="1"/>
    <x:col min="10" max="10" width="7.78000020980835" hidden="0" customWidth="1"/>
    <x:col min="11" max="11" width="35.560001373291016" hidden="0" customWidth="1"/>
    <x:col min="12" max="12" width="24.440000534057617" hidden="0" customWidth="1"/>
  </x:cols>
  <x:sheetData>
    <x:row r="1" ht="31.5" customHeight="1">
      <x:c r="A1" s="6" t="str">
        <x:v>Control Index</x:v>
      </x:c>
      <x:c r="B1" s="6" t="str">
        <x:v>Control Index</x:v>
      </x:c>
      <x:c r="C1" s="6" t="str">
        <x:v>Control Index</x:v>
      </x:c>
      <x:c r="D1" s="6" t="str">
        <x:v>Control Index</x:v>
      </x:c>
      <x:c r="E1" s="6" t="str">
        <x:v>Control Index</x:v>
      </x:c>
      <x:c r="F1" s="6" t="str">
        <x:v>Control Index</x:v>
      </x:c>
      <x:c r="G1" s="3"/>
      <x:c r="H1" s="3"/>
      <x:c r="I1" s="3"/>
      <x:c r="J1" s="3"/>
      <x:c r="K1" s="3"/>
      <x:c r="L1" s="3"/>
    </x:row>
    <x:row r="2" ht="16.5" customHeight="1">
      <x:c r="A2" s="9" t="str">
        <x:v>249 static controls plus conditional dynamic groups below | Each result needs its own observation; linked journey status is not inherited.</x:v>
      </x:c>
      <x:c r="B2" s="9" t="str">
        <x:v>249 static controls plus conditional dynamic groups below | Each result needs its own observation; linked journey status is not inherited.</x:v>
      </x:c>
      <x:c r="C2" s="9" t="str">
        <x:v>249 static controls plus conditional dynamic groups below | Each result needs its own observation; linked journey status is not inherited.</x:v>
      </x:c>
      <x:c r="D2" s="9" t="str">
        <x:v>249 static controls plus conditional dynamic groups below | Each result needs its own observation; linked journey status is not inherited.</x:v>
      </x:c>
      <x:c r="E2" s="9" t="str">
        <x:v>249 static controls plus conditional dynamic groups below | Each result needs its own observation; linked journey status is not inherited.</x:v>
      </x:c>
      <x:c r="F2" s="9" t="str">
        <x:v>249 static controls plus conditional dynamic groups below | Each result needs its own observation; linked journey status is not inherited.</x:v>
      </x:c>
      <x:c r="G2" s="3"/>
      <x:c r="H2" s="3"/>
      <x:c r="I2" s="3"/>
      <x:c r="J2" s="3"/>
      <x:c r="K2" s="3"/>
      <x:c r="L2" s="3"/>
    </x:row>
    <x:row r="3" ht="16.5" customHeight="1">
      <x:c r="A3" s="9" t="str">
        <x:v>249 static controls plus conditional dynamic groups below | Each result needs its own observation; linked journey status is not inherited.</x:v>
      </x:c>
      <x:c r="B3" s="9" t="str">
        <x:v>249 static controls plus conditional dynamic groups below | Each result needs its own observation; linked journey status is not inherited.</x:v>
      </x:c>
      <x:c r="C3" s="9" t="str">
        <x:v>249 static controls plus conditional dynamic groups below | Each result needs its own observation; linked journey status is not inherited.</x:v>
      </x:c>
      <x:c r="D3" s="9" t="str">
        <x:v>249 static controls plus conditional dynamic groups below | Each result needs its own observation; linked journey status is not inherited.</x:v>
      </x:c>
      <x:c r="E3" s="9" t="str">
        <x:v>249 static controls plus conditional dynamic groups below | Each result needs its own observation; linked journey status is not inherited.</x:v>
      </x:c>
      <x:c r="F3" s="9" t="str">
        <x:v>249 static controls plus conditional dynamic groups below | Each result needs its own observation; linked journey status is not inherited.</x:v>
      </x:c>
      <x:c r="G3" s="3"/>
      <x:c r="H3" s="3"/>
      <x:c r="I3" s="3"/>
      <x:c r="J3" s="3"/>
      <x:c r="K3" s="3"/>
      <x:c r="L3" s="3"/>
    </x:row>
    <x:row r="4" ht="9" customHeight="1">
      <x:c r="A4" s="3"/>
      <x:c r="B4" s="3"/>
      <x:c r="C4" s="3"/>
      <x:c r="D4" s="3"/>
      <x:c r="E4" s="3"/>
      <x:c r="F4" s="3"/>
      <x:c r="G4" s="3"/>
      <x:c r="H4" s="3"/>
      <x:c r="I4" s="3"/>
      <x:c r="J4" s="3"/>
      <x:c r="K4" s="3"/>
      <x:c r="L4" s="3"/>
    </x:row>
    <x:row r="5">
      <x:c r="A5" s="3"/>
      <x:c r="B5" s="3"/>
      <x:c r="C5" s="3"/>
      <x:c r="D5" s="3"/>
      <x:c r="E5" s="3"/>
      <x:c r="F5" s="3"/>
      <x:c r="G5" s="3"/>
      <x:c r="H5" s="3"/>
      <x:c r="I5" s="3"/>
      <x:c r="J5" s="3"/>
      <x:c r="K5" s="3"/>
      <x:c r="L5" s="3"/>
    </x:row>
    <x:row r="6" ht="28.5" customHeight="1">
      <x:c r="A6" s="11" t="str">
        <x:v>Control ID</x:v>
      </x:c>
      <x:c r="B6" s="11" t="str">
        <x:v>Capsule</x:v>
      </x:c>
      <x:c r="C6" s="11" t="str">
        <x:v>Control / accessible label</x:v>
      </x:c>
      <x:c r="D6" s="11" t="str">
        <x:v>Type</x:v>
      </x:c>
      <x:c r="E6" s="11" t="str">
        <x:v>Live status</x:v>
      </x:c>
      <x:c r="F6" s="11" t="str">
        <x:v>Actual / visibility</x:v>
      </x:c>
      <x:c r="G6" s="11" t="str">
        <x:v>Element ID / action</x:v>
      </x:c>
      <x:c r="H6" s="11" t="str">
        <x:v>Live evidence</x:v>
      </x:c>
      <x:c r="I6" s="11" t="str">
        <x:v>Source file / refs</x:v>
      </x:c>
      <x:c r="J6" s="11" t="str">
        <x:v>Line</x:v>
      </x:c>
      <x:c r="K6" s="11" t="str">
        <x:v>Related dynamic groups</x:v>
      </x:c>
      <x:c r="L6" s="11" t="str">
        <x:v>Source kind</x:v>
      </x:c>
    </x:row>
    <x:row r="7" ht="67.5" customHeight="1">
      <x:c r="A7" s="3" t="str">
        <x:v>CTL-01-001</x:v>
      </x:c>
      <x:c r="B7" s="3" t="str">
        <x:v>archive-manager</x:v>
      </x:c>
      <x:c r="C7" s="3" t="str">
        <x:v>Open archive -&gt;</x:v>
      </x:c>
      <x:c r="D7" s="3" t="str">
        <x:v>button / button</x:v>
      </x:c>
      <x:c r="E7" s="13" t="str">
        <x:v>Fail</x:v>
      </x:c>
      <x:c r="F7" s="3" t="str">
        <x:v>Open archive starts the Library picker; choosing the existing audit ZIP closes the picker but leaves Archive empty. F-35. Direct Library browse can open the ZIP.</x:v>
      </x:c>
      <x:c r="G7" s="3" t="str">
        <x:v>open-existing-archive</x:v>
      </x:c>
      <x:c r="H7" s="3" t="str">
        <x:v>E-050</x:v>
      </x:c>
      <x:c r="I7" s="3" t="str">
        <x:v>capsules/archive-manager/browser/index.html</x:v>
      </x:c>
      <x:c r="J7" s="14" t="n">
        <x:v>598</x:v>
      </x:c>
      <x:c r="K7" s="3" t="str">
        <x:v>Related dynamic groups: DYN-ARCHIVE-03. Same-capsule grouping, not one-to-one execution coverage.</x:v>
      </x:c>
      <x:c r="L7" s="3" t="str">
        <x:v>Markup-defined; conditional visibility Not run</x:v>
      </x:c>
    </x:row>
    <x:row r="8" ht="63" customHeight="1">
      <x:c r="A8" s="3" t="str">
        <x:v>CTL-01-002</x:v>
      </x:c>
      <x:c r="B8" s="3" t="str">
        <x:v>archive-manager</x:v>
      </x:c>
      <x:c r="C8" s="3" t="str">
        <x:v>New ZIP -&gt;</x:v>
      </x:c>
      <x:c r="D8" s="3" t="str">
        <x:v>button / button</x:v>
      </x:c>
      <x:c r="E8" s="13" t="str">
        <x:v>Fail</x:v>
      </x:c>
      <x:c r="F8" s="3" t="str">
        <x:v>New ZIP starts the scoped create picker and produces a118-byte audit ZIP, but delivery back to Archive fails.F-35.</x:v>
      </x:c>
      <x:c r="G8" s="3" t="str">
        <x:v>make-new-archive</x:v>
      </x:c>
      <x:c r="H8" s="3" t="str">
        <x:v>E-050</x:v>
      </x:c>
      <x:c r="I8" s="3" t="str">
        <x:v>capsules/archive-manager/browser/index.html</x:v>
      </x:c>
      <x:c r="J8" s="14" t="n">
        <x:v>602</x:v>
      </x:c>
      <x:c r="K8" s="3" t="str">
        <x:v>Related dynamic groups: DYN-ARCHIVE-03. Same-capsule grouping, not one-to-one execution coverage.</x:v>
      </x:c>
      <x:c r="L8" s="3" t="str">
        <x:v>Markup-defined; conditional visibility Not run</x:v>
      </x:c>
    </x:row>
    <x:row r="9" ht="67.5" customHeight="1">
      <x:c r="A9" s="3" t="str">
        <x:v>CTL-01-003</x:v>
      </x:c>
      <x:c r="B9" s="3" t="str">
        <x:v>archive-manager</x:v>
      </x:c>
      <x:c r="C9" s="3" t="str">
        <x:v>Open</x:v>
      </x:c>
      <x:c r="D9" s="3" t="str">
        <x:v>button / button</x:v>
      </x:c>
      <x:c r="E9" s="13" t="str">
        <x:v>Fail</x:v>
      </x:c>
      <x:c r="F9" s="3" t="str">
        <x:v>Open archive starts the Library picker; choosing the existing audit ZIP closes the picker but leaves Archive empty. F-35. Direct Library browse can open the ZIP.</x:v>
      </x:c>
      <x:c r="G9" s="3" t="str">
        <x:v>open-archive-button</x:v>
      </x:c>
      <x:c r="H9" s="3" t="str">
        <x:v>E-050</x:v>
      </x:c>
      <x:c r="I9" s="3" t="str">
        <x:v>capsules/archive-manager/browser/index.html</x:v>
      </x:c>
      <x:c r="J9" s="14" t="n">
        <x:v>616</x:v>
      </x:c>
      <x:c r="K9" s="3" t="str">
        <x:v>Related dynamic groups: DYN-ARCHIVE-03. Same-capsule grouping, not one-to-one execution coverage.</x:v>
      </x:c>
      <x:c r="L9" s="3" t="str">
        <x:v>Markup-defined; conditional visibility Not run</x:v>
      </x:c>
    </x:row>
    <x:row r="10" ht="63" customHeight="1">
      <x:c r="A10" s="3" t="str">
        <x:v>CTL-01-004</x:v>
      </x:c>
      <x:c r="B10" s="3" t="str">
        <x:v>archive-manager</x:v>
      </x:c>
      <x:c r="C10" s="3" t="str">
        <x:v>New ZIP</x:v>
      </x:c>
      <x:c r="D10" s="3" t="str">
        <x:v>button / button</x:v>
      </x:c>
      <x:c r="E10" s="13" t="str">
        <x:v>Fail</x:v>
      </x:c>
      <x:c r="F10" s="3" t="str">
        <x:v>New ZIP starts the scoped create picker and produces a118-byte audit ZIP, but delivery back to Archive fails.F-35.</x:v>
      </x:c>
      <x:c r="G10" s="3" t="str">
        <x:v>new-archive-button</x:v>
      </x:c>
      <x:c r="H10" s="3" t="str">
        <x:v>E-050</x:v>
      </x:c>
      <x:c r="I10" s="3" t="str">
        <x:v>capsules/archive-manager/browser/index.html</x:v>
      </x:c>
      <x:c r="J10" s="14" t="n">
        <x:v>617</x:v>
      </x:c>
      <x:c r="K10" s="3" t="str">
        <x:v>Related dynamic groups: DYN-ARCHIVE-03. Same-capsule grouping, not one-to-one execution coverage.</x:v>
      </x:c>
      <x:c r="L10" s="3" t="str">
        <x:v>Markup-defined; conditional visibility Not run</x:v>
      </x:c>
    </x:row>
    <x:row r="11" ht="63" customHeight="1">
      <x:c r="A11" s="3" t="str">
        <x:v>CTL-01-005</x:v>
      </x:c>
      <x:c r="B11" s="3" t="str">
        <x:v>archive-manager</x:v>
      </x:c>
      <x:c r="C11" s="3" t="str">
        <x:v>Search files</x:v>
      </x:c>
      <x:c r="D11" s="3" t="str">
        <x:v>input / search</x:v>
      </x:c>
      <x:c r="E11" s="13" t="str">
        <x:v>Pass</x:v>
      </x:c>
      <x:c r="F11" s="3" t="str">
        <x:v>Search z produces No files shown; clearing restores the single audit archive entry.</x:v>
      </x:c>
      <x:c r="G11" s="3" t="str">
        <x:v>entry-search</x:v>
      </x:c>
      <x:c r="H11" s="3" t="str">
        <x:v>E-050</x:v>
      </x:c>
      <x:c r="I11" s="3" t="str">
        <x:v>capsules/archive-manager/browser/index.html</x:v>
      </x:c>
      <x:c r="J11" s="14" t="n">
        <x:v>618</x:v>
      </x:c>
      <x:c r="K11" s="3" t="str">
        <x:v>Related dynamic groups: DYN-ARCHIVE-03. Same-capsule grouping, not one-to-one execution coverage.</x:v>
      </x:c>
      <x:c r="L11" s="3" t="str">
        <x:v>Markup-defined; conditional visibility Not run</x:v>
      </x:c>
    </x:row>
    <x:row r="12" ht="63" customHeight="1">
      <x:c r="A12" s="3" t="str">
        <x:v>CTL-01-006</x:v>
      </x:c>
      <x:c r="B12" s="3" t="str">
        <x:v>archive-manager</x:v>
      </x:c>
      <x:c r="C12" s="3" t="str">
        <x:v>Select visible</x:v>
      </x:c>
      <x:c r="D12" s="3" t="str">
        <x:v>button / button</x:v>
      </x:c>
      <x:c r="E12" s="13" t="str">
        <x:v>Pass</x:v>
      </x:c>
      <x:c r="F12" s="3" t="str">
        <x:v>Select visible checks the sole safe fixture.md and enables Extract selected.</x:v>
      </x:c>
      <x:c r="G12" s="3" t="str">
        <x:v>select-all-safe</x:v>
      </x:c>
      <x:c r="H12" s="3" t="str">
        <x:v>E-050</x:v>
      </x:c>
      <x:c r="I12" s="3" t="str">
        <x:v>capsules/archive-manager/browser/index.html</x:v>
      </x:c>
      <x:c r="J12" s="14" t="n">
        <x:v>629</x:v>
      </x:c>
      <x:c r="K12" s="3" t="str">
        <x:v>Related dynamic groups: DYN-ARCHIVE-03. Same-capsule grouping, not one-to-one execution coverage.</x:v>
      </x:c>
      <x:c r="L12" s="3" t="str">
        <x:v>Markup-defined; conditional visibility Not run</x:v>
      </x:c>
    </x:row>
    <x:row r="13" ht="63" customHeight="1">
      <x:c r="A13" s="3" t="str">
        <x:v>CTL-01-007</x:v>
      </x:c>
      <x:c r="B13" s="3" t="str">
        <x:v>archive-manager</x:v>
      </x:c>
      <x:c r="C13" s="3" t="str">
        <x:v>Clear</x:v>
      </x:c>
      <x:c r="D13" s="3" t="str">
        <x:v>button / button</x:v>
      </x:c>
      <x:c r="E13" s="13" t="str">
        <x:v>Pass</x:v>
      </x:c>
      <x:c r="F13" s="3" t="str">
        <x:v>Clear removes the selected entry and restores the empty selection state.</x:v>
      </x:c>
      <x:c r="G13" s="3" t="str">
        <x:v>clear-selection</x:v>
      </x:c>
      <x:c r="H13" s="3" t="str">
        <x:v>E-050</x:v>
      </x:c>
      <x:c r="I13" s="3" t="str">
        <x:v>capsules/archive-manager/browser/index.html</x:v>
      </x:c>
      <x:c r="J13" s="14" t="n">
        <x:v>630</x:v>
      </x:c>
      <x:c r="K13" s="3" t="str">
        <x:v>Related dynamic groups: DYN-ARCHIVE-03. Same-capsule grouping, not one-to-one execution coverage.</x:v>
      </x:c>
      <x:c r="L13" s="3" t="str">
        <x:v>Markup-defined; conditional visibility Not run</x:v>
      </x:c>
    </x:row>
    <x:row r="14" ht="63" customHeight="1">
      <x:c r="A14" s="3" t="str">
        <x:v>CTL-01-008</x:v>
      </x:c>
      <x:c r="B14" s="3" t="str">
        <x:v>archive-manager</x:v>
      </x:c>
      <x:c r="C14" s="3" t="str">
        <x:v>Extract to Library URI</x:v>
      </x:c>
      <x:c r="D14" s="3" t="str">
        <x:v>input / text</x:v>
      </x:c>
      <x:c r="E14" s="13" t="str">
        <x:v>Partially observed</x:v>
      </x:c>
      <x:c r="F14" s="3" t="str">
        <x:v>Default destination is the audit folder. Extraction stays there; arbitrary/manual URI validation was left for a dedicated fixture.</x:v>
      </x:c>
      <x:c r="G14" s="3" t="str">
        <x:v>destination-uri</x:v>
      </x:c>
      <x:c r="H14" s="3" t="str">
        <x:v>E-050</x:v>
      </x:c>
      <x:c r="I14" s="3" t="str">
        <x:v>capsules/archive-manager/browser/index.html</x:v>
      </x:c>
      <x:c r="J14" s="14" t="n">
        <x:v>664</x:v>
      </x:c>
      <x:c r="K14" s="3" t="str">
        <x:v>Related dynamic groups: DYN-ARCHIVE-03. Same-capsule grouping, not one-to-one execution coverage.</x:v>
      </x:c>
      <x:c r="L14" s="3" t="str">
        <x:v>Markup-defined; conditional visibility Not run</x:v>
      </x:c>
    </x:row>
    <x:row r="15" ht="67.5" customHeight="1">
      <x:c r="A15" s="3" t="str">
        <x:v>CTL-01-009</x:v>
      </x:c>
      <x:c r="B15" s="3" t="str">
        <x:v>archive-manager</x:v>
      </x:c>
      <x:c r="C15" s="3" t="str">
        <x:v>If a file already exists</x:v>
      </x:c>
      <x:c r="D15" s="3" t="str">
        <x:v>select</x:v>
      </x:c>
      <x:c r="E15" s="13" t="str">
        <x:v>Partially observed</x:v>
      </x:c>
      <x:c r="F15" s="3" t="str">
        <x:v>Skip and Keep both chosen and verified by native type-ahead. Skip preserves original; Keep both produces1new audit file. Replace remains unrun.</x:v>
      </x:c>
      <x:c r="G15" s="3" t="str">
        <x:v>conflict-policy</x:v>
      </x:c>
      <x:c r="H15" s="3" t="str">
        <x:v>E-050</x:v>
      </x:c>
      <x:c r="I15" s="3" t="str">
        <x:v>capsules/archive-manager/browser/index.html</x:v>
      </x:c>
      <x:c r="J15" s="14" t="n">
        <x:v>665</x:v>
      </x:c>
      <x:c r="K15" s="3" t="str">
        <x:v>Related dynamic groups: DYN-ARCHIVE-03. Same-capsule grouping, not one-to-one execution coverage.</x:v>
      </x:c>
      <x:c r="L15" s="3" t="str">
        <x:v>Markup-defined; conditional visibility Not run</x:v>
      </x:c>
    </x:row>
    <x:row r="16" ht="63" customHeight="1">
      <x:c r="A16" s="3" t="str">
        <x:v>CTL-01-010</x:v>
      </x:c>
      <x:c r="B16" s="3" t="str">
        <x:v>archive-manager</x:v>
      </x:c>
      <x:c r="C16" s="3" t="str">
        <x:v>Extract selected</x:v>
      </x:c>
      <x:c r="D16" s="3" t="str">
        <x:v>button / button</x:v>
      </x:c>
      <x:c r="E16" s="13" t="str">
        <x:v>Pass</x:v>
      </x:c>
      <x:c r="F16" s="3" t="str">
        <x:v>Extract selected with Skip returns0written/1skipped; Keep both returns1written/0skipped. Original fixture stays intact.</x:v>
      </x:c>
      <x:c r="G16" s="3" t="str">
        <x:v>extract-selected</x:v>
      </x:c>
      <x:c r="H16" s="3" t="str">
        <x:v>E-050</x:v>
      </x:c>
      <x:c r="I16" s="3" t="str">
        <x:v>capsules/archive-manager/browser/index.html</x:v>
      </x:c>
      <x:c r="J16" s="14" t="n">
        <x:v>671</x:v>
      </x:c>
      <x:c r="K16" s="3" t="str">
        <x:v>Related dynamic groups: DYN-ARCHIVE-03. Same-capsule grouping, not one-to-one execution coverage.</x:v>
      </x:c>
      <x:c r="L16" s="3" t="str">
        <x:v>Markup-defined; conditional visibility Not run</x:v>
      </x:c>
    </x:row>
    <x:row r="17" ht="63" customHeight="1">
      <x:c r="A17" s="3" t="str">
        <x:v>CTL-01-011</x:v>
      </x:c>
      <x:c r="B17" s="3" t="str">
        <x:v>archive-manager</x:v>
      </x:c>
      <x:c r="C17" s="3" t="str">
        <x:v>Extract all</x:v>
      </x:c>
      <x:c r="D17" s="3" t="str">
        <x:v>button / button</x:v>
      </x:c>
      <x:c r="E17" s="13" t="str">
        <x:v>Partially observed</x:v>
      </x:c>
      <x:c r="F17" s="3" t="str">
        <x:v>Extract all is visible for the bounded one-entry ZIP. Separate Extract-all dispatch was not performed.</x:v>
      </x:c>
      <x:c r="G17" s="3" t="str">
        <x:v>extract-all</x:v>
      </x:c>
      <x:c r="H17" s="3" t="str">
        <x:v>E-050</x:v>
      </x:c>
      <x:c r="I17" s="3" t="str">
        <x:v>capsules/archive-manager/browser/index.html</x:v>
      </x:c>
      <x:c r="J17" s="14" t="n">
        <x:v>672</x:v>
      </x:c>
      <x:c r="K17" s="3" t="str">
        <x:v>Related dynamic groups: DYN-ARCHIVE-03. Same-capsule grouping, not one-to-one execution coverage.</x:v>
      </x:c>
      <x:c r="L17" s="3" t="str">
        <x:v>Markup-defined; conditional visibility Not run</x:v>
      </x:c>
    </x:row>
    <x:row r="18" ht="63" customHeight="1">
      <x:c r="A18" s="3" t="str">
        <x:v>CTL-02-001</x:v>
      </x:c>
      <x:c r="B18" s="3" t="str">
        <x:v>assistant</x:v>
      </x:c>
      <x:c r="C18" s="3" t="str">
        <x:v>New session</x:v>
      </x:c>
      <x:c r="D18" s="3" t="str">
        <x:v>button / button</x:v>
      </x:c>
      <x:c r="E18" s="13" t="str">
        <x:v>Partially observed</x:v>
      </x:c>
      <x:c r="F18" s="3" t="str">
        <x:v>New session is visible. Existing blank Chat/Build sessions were preserved; separate session creation is pending.</x:v>
      </x:c>
      <x:c r="G18" s="3" t="str">
        <x:v>assistant-new-session</x:v>
      </x:c>
      <x:c r="H18" s="3" t="str">
        <x:v>E-054</x:v>
      </x:c>
      <x:c r="I18" s="3" t="str">
        <x:v>capsules/assistant/browser/index.html</x:v>
      </x:c>
      <x:c r="J18" s="14" t="n">
        <x:v>27</x:v>
      </x:c>
      <x:c r="K18" s="3" t="str">
        <x:v>Related dynamic groups: DYN-AI-02, DYN-AI-03, DYN-AI-10. Same-capsule grouping, not one-to-one execution coverage.</x:v>
      </x:c>
      <x:c r="L18" s="3" t="str">
        <x:v>Markup-defined; conditional visibility Not run</x:v>
      </x:c>
    </x:row>
    <x:row r="19" ht="63" customHeight="1">
      <x:c r="A19" s="3" t="str">
        <x:v>CTL-02-002</x:v>
      </x:c>
      <x:c r="B19" s="3" t="str">
        <x:v>assistant</x:v>
      </x:c>
      <x:c r="C19" s="3" t="str">
        <x:v>Search sessions</x:v>
      </x:c>
      <x:c r="D19" s="3" t="str">
        <x:v>input / search</x:v>
      </x:c>
      <x:c r="E19" s="13" t="str">
        <x:v>Pass</x:v>
      </x:c>
      <x:c r="F19" s="3" t="str">
        <x:v>Search aud hides the blank session and shows No sessions match; clearing restores New chat.</x:v>
      </x:c>
      <x:c r="G19" s="3" t="str">
        <x:v>assistant-session-search</x:v>
      </x:c>
      <x:c r="H19" s="3" t="str">
        <x:v>E-054</x:v>
      </x:c>
      <x:c r="I19" s="3" t="str">
        <x:v>capsules/assistant/browser/index.html</x:v>
      </x:c>
      <x:c r="J19" s="14" t="n">
        <x:v>33</x:v>
      </x:c>
      <x:c r="K19" s="3" t="str">
        <x:v>Related dynamic groups: DYN-AI-02, DYN-AI-03, DYN-AI-10. Same-capsule grouping, not one-to-one execution coverage.</x:v>
      </x:c>
      <x:c r="L19" s="3" t="str">
        <x:v>Markup-defined; conditional visibility Not run</x:v>
      </x:c>
    </x:row>
    <x:row r="20" ht="63" customHeight="1">
      <x:c r="A20" s="3" t="str">
        <x:v>CTL-02-003</x:v>
      </x:c>
      <x:c r="B20" s="3" t="str">
        <x:v>assistant</x:v>
      </x:c>
      <x:c r="C20" s="3" t="str">
        <x:v>Chat</x:v>
      </x:c>
      <x:c r="D20" s="3" t="str">
        <x:v>button / button</x:v>
      </x:c>
      <x:c r="E20" s="13" t="str">
        <x:v>Pass</x:v>
      </x:c>
      <x:c r="F20" s="3" t="str">
        <x:v>Chat/Build/Studio select the correct mode and truthful offer state. Reopening preserves the saved mode. Chat restored.</x:v>
      </x:c>
      <x:c r="G20" s="3" t="str">
        <x:v>assistant-mode-chat</x:v>
      </x:c>
      <x:c r="H20" s="3" t="str">
        <x:v>E-039; E-054</x:v>
      </x:c>
      <x:c r="I20" s="3" t="str">
        <x:v>capsules/assistant/browser/index.html</x:v>
      </x:c>
      <x:c r="J20" s="14" t="n">
        <x:v>58</x:v>
      </x:c>
      <x:c r="K20" s="3" t="str">
        <x:v>Related dynamic groups: DYN-AI-02, DYN-AI-03, DYN-AI-10. Same-capsule grouping, not one-to-one execution coverage.</x:v>
      </x:c>
      <x:c r="L20" s="3" t="str">
        <x:v>Markup-defined; conditional visibility Not run</x:v>
      </x:c>
    </x:row>
    <x:row r="21" ht="63" customHeight="1">
      <x:c r="A21" s="3" t="str">
        <x:v>CTL-02-004</x:v>
      </x:c>
      <x:c r="B21" s="3" t="str">
        <x:v>assistant</x:v>
      </x:c>
      <x:c r="C21" s="3" t="str">
        <x:v>Build</x:v>
      </x:c>
      <x:c r="D21" s="3" t="str">
        <x:v>button / button</x:v>
      </x:c>
      <x:c r="E21" s="13" t="str">
        <x:v>Pass</x:v>
      </x:c>
      <x:c r="F21" s="3" t="str">
        <x:v>Chat/Build/Studio select the correct mode and truthful offer state. Reopening preserves the saved mode. Chat restored.</x:v>
      </x:c>
      <x:c r="G21" s="3" t="str">
        <x:v>assistant-mode-build</x:v>
      </x:c>
      <x:c r="H21" s="3" t="str">
        <x:v>E-039; E-054</x:v>
      </x:c>
      <x:c r="I21" s="3" t="str">
        <x:v>capsules/assistant/browser/index.html</x:v>
      </x:c>
      <x:c r="J21" s="14" t="n">
        <x:v>67</x:v>
      </x:c>
      <x:c r="K21" s="3" t="str">
        <x:v>Related dynamic groups: DYN-AI-02, DYN-AI-03, DYN-AI-10. Same-capsule grouping, not one-to-one execution coverage.</x:v>
      </x:c>
      <x:c r="L21" s="3" t="str">
        <x:v>Markup-defined; conditional visibility Not run</x:v>
      </x:c>
    </x:row>
    <x:row r="22" ht="63" customHeight="1">
      <x:c r="A22" s="3" t="str">
        <x:v>CTL-02-005</x:v>
      </x:c>
      <x:c r="B22" s="3" t="str">
        <x:v>assistant</x:v>
      </x:c>
      <x:c r="C22" s="3" t="str">
        <x:v>Studio</x:v>
      </x:c>
      <x:c r="D22" s="3" t="str">
        <x:v>button / button</x:v>
      </x:c>
      <x:c r="E22" s="13" t="str">
        <x:v>Pass</x:v>
      </x:c>
      <x:c r="F22" s="3" t="str">
        <x:v>Chat/Build/Studio select the correct mode and truthful offer state. Reopening preserves the saved mode. Chat restored.</x:v>
      </x:c>
      <x:c r="G22" s="3" t="str">
        <x:v>assistant-mode-studio</x:v>
      </x:c>
      <x:c r="H22" s="3" t="str">
        <x:v>E-039; E-054</x:v>
      </x:c>
      <x:c r="I22" s="3" t="str">
        <x:v>capsules/assistant/browser/index.html</x:v>
      </x:c>
      <x:c r="J22" s="14" t="n">
        <x:v>76</x:v>
      </x:c>
      <x:c r="K22" s="3" t="str">
        <x:v>Related dynamic groups: DYN-AI-02, DYN-AI-03, DYN-AI-10. Same-capsule grouping, not one-to-one execution coverage.</x:v>
      </x:c>
      <x:c r="L22" s="3" t="str">
        <x:v>Markup-defined; conditional visibility Not run</x:v>
      </x:c>
    </x:row>
    <x:row r="23" ht="63" customHeight="1">
      <x:c r="A23" s="3" t="str">
        <x:v>CTL-02-006</x:v>
      </x:c>
      <x:c r="B23" s="3" t="str">
        <x:v>assistant</x:v>
      </x:c>
      <x:c r="C23" s="3" t="str">
        <x:v>Model offer</x:v>
      </x:c>
      <x:c r="D23" s="3" t="str">
        <x:v>select</x:v>
      </x:c>
      <x:c r="E23" s="13" t="str">
        <x:v>Pass</x:v>
      </x:c>
      <x:c r="F23" s="3" t="str">
        <x:v>Model offer select is labeled and disabled with No text offers; Studio shows no image/video offers.</x:v>
      </x:c>
      <x:c r="G23" s="3" t="str">
        <x:v>assistant-offer-select</x:v>
      </x:c>
      <x:c r="H23" s="3" t="str">
        <x:v>E-039</x:v>
      </x:c>
      <x:c r="I23" s="3" t="str">
        <x:v>capsules/assistant/browser/index.html</x:v>
      </x:c>
      <x:c r="J23" s="14" t="n">
        <x:v>90</x:v>
      </x:c>
      <x:c r="K23" s="3" t="str">
        <x:v>Related dynamic groups: DYN-AI-02, DYN-AI-03, DYN-AI-10. Same-capsule grouping, not one-to-one execution coverage.</x:v>
      </x:c>
      <x:c r="L23" s="3" t="str">
        <x:v>Markup-defined; conditional visibility Not run</x:v>
      </x:c>
    </x:row>
    <x:row r="24" ht="67.5" customHeight="1">
      <x:c r="A24" s="3" t="str">
        <x:v>CTL-02-007</x:v>
      </x:c>
      <x:c r="B24" s="3" t="str">
        <x:v>assistant</x:v>
      </x:c>
      <x:c r="C24" s="3" t="str">
        <x:v>Copy transcript</x:v>
      </x:c>
      <x:c r="D24" s="3" t="str">
        <x:v>button / button</x:v>
      </x:c>
      <x:c r="E24" s="13" t="str">
        <x:v>Blocked prerequisite</x:v>
      </x:c>
      <x:c r="F24" s="3" t="str">
        <x:v>Copy transcript/Stop/Send execution requires a model response or running request. Current empty transcript and zero model offers keep execution unavailable.</x:v>
      </x:c>
      <x:c r="G24" s="3" t="str">
        <x:v>assistant-copy-transcript</x:v>
      </x:c>
      <x:c r="H24" s="3" t="str">
        <x:v>E-039; E-054</x:v>
      </x:c>
      <x:c r="I24" s="3" t="str">
        <x:v>capsules/assistant/browser/index.html</x:v>
      </x:c>
      <x:c r="J24" s="14" t="n">
        <x:v>93</x:v>
      </x:c>
      <x:c r="K24" s="3" t="str">
        <x:v>Related dynamic groups: DYN-AI-02, DYN-AI-03, DYN-AI-10. Same-capsule grouping, not one-to-one execution coverage.</x:v>
      </x:c>
      <x:c r="L24" s="3" t="str">
        <x:v>Markup-defined; conditional visibility Not run</x:v>
      </x:c>
    </x:row>
    <x:row r="25" ht="63" customHeight="1">
      <x:c r="A25" s="3" t="str">
        <x:v>CTL-02-008</x:v>
      </x:c>
      <x:c r="B25" s="3" t="str">
        <x:v>assistant</x:v>
      </x:c>
      <x:c r="C25" s="3" t="str">
        <x:v>Ask Assistant</x:v>
      </x:c>
      <x:c r="D25" s="3" t="str">
        <x:v>textarea</x:v>
      </x:c>
      <x:c r="E25" s="13" t="str">
        <x:v>Pass</x:v>
      </x:c>
      <x:c r="F25" s="3" t="str">
        <x:v>Starter populates Message with exact text; selecting all and Backspace clears it. No generation was sent.</x:v>
      </x:c>
      <x:c r="G25" s="3" t="str">
        <x:v>assistant-composer-input</x:v>
      </x:c>
      <x:c r="H25" s="3" t="str">
        <x:v>E-054</x:v>
      </x:c>
      <x:c r="I25" s="3" t="str">
        <x:v>capsules/assistant/browser/index.html</x:v>
      </x:c>
      <x:c r="J25" s="14" t="n">
        <x:v>161</x:v>
      </x:c>
      <x:c r="K25" s="3" t="str">
        <x:v>Related dynamic groups: DYN-AI-02, DYN-AI-03, DYN-AI-10. Same-capsule grouping, not one-to-one execution coverage.</x:v>
      </x:c>
      <x:c r="L25" s="3" t="str">
        <x:v>Markup-defined; conditional visibility Not run</x:v>
      </x:c>
    </x:row>
    <x:row r="26" ht="67.5" customHeight="1">
      <x:c r="A26" s="3" t="str">
        <x:v>CTL-02-009</x:v>
      </x:c>
      <x:c r="B26" s="3" t="str">
        <x:v>assistant</x:v>
      </x:c>
      <x:c r="C26" s="3" t="str">
        <x:v>Stop</x:v>
      </x:c>
      <x:c r="D26" s="3" t="str">
        <x:v>button / button</x:v>
      </x:c>
      <x:c r="E26" s="13" t="str">
        <x:v>Blocked prerequisite</x:v>
      </x:c>
      <x:c r="F26" s="3" t="str">
        <x:v>Copy transcript/Stop/Send execution requires a model response or running request. Current empty transcript and zero model offers keep execution unavailable.</x:v>
      </x:c>
      <x:c r="G26" s="3" t="str">
        <x:v>assistant-stop</x:v>
      </x:c>
      <x:c r="H26" s="3" t="str">
        <x:v>E-039; E-054</x:v>
      </x:c>
      <x:c r="I26" s="3" t="str">
        <x:v>capsules/assistant/browser/index.html</x:v>
      </x:c>
      <x:c r="J26" s="14" t="n">
        <x:v>171</x:v>
      </x:c>
      <x:c r="K26" s="3" t="str">
        <x:v>Related dynamic groups: DYN-AI-02, DYN-AI-03, DYN-AI-10. Same-capsule grouping, not one-to-one execution coverage.</x:v>
      </x:c>
      <x:c r="L26" s="3" t="str">
        <x:v>Markup-defined; conditional visibility Not run</x:v>
      </x:c>
    </x:row>
    <x:row r="27" ht="67.5" customHeight="1">
      <x:c r="A27" s="3" t="str">
        <x:v>CTL-02-010</x:v>
      </x:c>
      <x:c r="B27" s="3" t="str">
        <x:v>assistant</x:v>
      </x:c>
      <x:c r="C27" s="3" t="str">
        <x:v>Send</x:v>
      </x:c>
      <x:c r="D27" s="3" t="str">
        <x:v>button / submit</x:v>
      </x:c>
      <x:c r="E27" s="13" t="str">
        <x:v>Blocked prerequisite</x:v>
      </x:c>
      <x:c r="F27" s="3" t="str">
        <x:v>Copy transcript/Stop/Send execution requires a model response or running request. Current empty transcript and zero model offers keep execution unavailable.</x:v>
      </x:c>
      <x:c r="G27" s="3" t="str">
        <x:v>assistant-send</x:v>
      </x:c>
      <x:c r="H27" s="3" t="str">
        <x:v>E-039; E-054</x:v>
      </x:c>
      <x:c r="I27" s="3" t="str">
        <x:v>capsules/assistant/browser/index.html</x:v>
      </x:c>
      <x:c r="J27" s="14" t="n">
        <x:v>179</x:v>
      </x:c>
      <x:c r="K27" s="3" t="str">
        <x:v>Related dynamic groups: DYN-AI-02, DYN-AI-03, DYN-AI-10. Same-capsule grouping, not one-to-one execution coverage.</x:v>
      </x:c>
      <x:c r="L27" s="3" t="str">
        <x:v>Markup-defined; conditional visibility Not run</x:v>
      </x:c>
    </x:row>
    <x:row r="28" ht="67.5" customHeight="1">
      <x:c r="A28" s="3" t="str">
        <x:v>CTL-03-001</x:v>
      </x:c>
      <x:c r="B28" s="3" t="str">
        <x:v>browser</x:v>
      </x:c>
      <x:c r="C28" s="3" t="str">
        <x:v>Back</x:v>
      </x:c>
      <x:c r="D28" s="3" t="str">
        <x:v>button / button</x:v>
      </x:c>
      <x:c r="E28" s="13" t="str">
        <x:v>Pass</x:v>
      </x:c>
      <x:c r="F28" s="3" t="str">
        <x:v>Foreground Back/Forward returns through admitted ela.city/home and example.com with matching settled URL and rendered page. Separate sticky status F52 remains.</x:v>
      </x:c>
      <x:c r="G28" s="3" t="str">
        <x:v>browser-back</x:v>
      </x:c>
      <x:c r="H28" s="3" t="str">
        <x:v>E-064</x:v>
      </x:c>
      <x:c r="I28" s="3" t="str">
        <x:v>capsules/browser/browser/index.html</x:v>
      </x:c>
      <x:c r="J28" s="14" t="n">
        <x:v>15</x:v>
      </x:c>
      <x:c r="K28" s="3" t="str">
        <x:v>Related dynamic groups: DYN-BROWSER-03. Same-capsule grouping, not one-to-one execution coverage.</x:v>
      </x:c>
      <x:c r="L28" s="3" t="str">
        <x:v>Markup-defined; conditional visibility Not run</x:v>
      </x:c>
    </x:row>
    <x:row r="29" ht="67.5" customHeight="1">
      <x:c r="A29" s="3" t="str">
        <x:v>CTL-03-002</x:v>
      </x:c>
      <x:c r="B29" s="3" t="str">
        <x:v>browser</x:v>
      </x:c>
      <x:c r="C29" s="3" t="str">
        <x:v>Forward</x:v>
      </x:c>
      <x:c r="D29" s="3" t="str">
        <x:v>button / button</x:v>
      </x:c>
      <x:c r="E29" s="13" t="str">
        <x:v>Pass</x:v>
      </x:c>
      <x:c r="F29" s="3" t="str">
        <x:v>Foreground Back/Forward returns through admitted ela.city/home and example.com with matching settled URL and rendered page. Separate sticky status F52 remains.</x:v>
      </x:c>
      <x:c r="G29" s="3" t="str">
        <x:v>browser-forward</x:v>
      </x:c>
      <x:c r="H29" s="3" t="str">
        <x:v>E-064</x:v>
      </x:c>
      <x:c r="I29" s="3" t="str">
        <x:v>capsules/browser/browser/index.html</x:v>
      </x:c>
      <x:c r="J29" s="14" t="n">
        <x:v>19</x:v>
      </x:c>
      <x:c r="K29" s="3" t="str">
        <x:v>Related dynamic groups: DYN-BROWSER-03. Same-capsule grouping, not one-to-one execution coverage.</x:v>
      </x:c>
      <x:c r="L29" s="3" t="str">
        <x:v>Markup-defined; conditional visibility Not run</x:v>
      </x:c>
    </x:row>
    <x:row r="30" ht="63" customHeight="1">
      <x:c r="A30" s="3" t="str">
        <x:v>CTL-03-003</x:v>
      </x:c>
      <x:c r="B30" s="3" t="str">
        <x:v>browser</x:v>
      </x:c>
      <x:c r="C30" s="3" t="str">
        <x:v>Refresh</x:v>
      </x:c>
      <x:c r="D30" s="3" t="str">
        <x:v>button / button</x:v>
      </x:c>
      <x:c r="E30" s="13" t="str">
        <x:v>Pass</x:v>
      </x:c>
      <x:c r="F30" s="3" t="str">
        <x:v>Foreground Refresh on reopened ela.city/home settles with actual page still rendered and address unchanged; no session error.</x:v>
      </x:c>
      <x:c r="G30" s="3" t="str">
        <x:v>browser-refresh</x:v>
      </x:c>
      <x:c r="H30" s="3" t="str">
        <x:v>E-064</x:v>
      </x:c>
      <x:c r="I30" s="3" t="str">
        <x:v>capsules/browser/browser/index.html</x:v>
      </x:c>
      <x:c r="J30" s="14" t="n">
        <x:v>23</x:v>
      </x:c>
      <x:c r="K30" s="3" t="str">
        <x:v>Related dynamic groups: DYN-BROWSER-03. Same-capsule grouping, not one-to-one execution coverage.</x:v>
      </x:c>
      <x:c r="L30" s="3" t="str">
        <x:v>Markup-defined; conditional visibility Not run</x:v>
      </x:c>
    </x:row>
    <x:row r="31" ht="67.5" customHeight="1">
      <x:c r="A31" s="3" t="str">
        <x:v>CTL-03-004</x:v>
      </x:c>
      <x:c r="B31" s="3" t="str">
        <x:v>browser</x:v>
      </x:c>
      <x:c r="C31" s="3" t="str">
        <x:v>Web address</x:v>
      </x:c>
      <x:c r="D31" s="3" t="str">
        <x:v>input</x:v>
      </x:c>
      <x:c r="E31" s="13" t="str">
        <x:v>Partially observed</x:v>
      </x:c>
      <x:c r="F31" s="3" t="str">
        <x:v>Foreground entered example.com navigation works and settles; earlier background reopen failure F43 remains. Opening status stays staleF52.</x:v>
      </x:c>
      <x:c r="G31" s="3" t="str">
        <x:v>browser-url</x:v>
      </x:c>
      <x:c r="H31" s="3" t="str">
        <x:v>E-053; E-064</x:v>
      </x:c>
      <x:c r="I31" s="3" t="str">
        <x:v>capsules/browser/browser/index.html</x:v>
      </x:c>
      <x:c r="J31" s="14" t="n">
        <x:v>28</x:v>
      </x:c>
      <x:c r="K31" s="3" t="str">
        <x:v>Related dynamic groups: DYN-BROWSER-03. Same-capsule grouping, not one-to-one execution coverage.</x:v>
      </x:c>
      <x:c r="L31" s="3" t="str">
        <x:v>Markup-defined; conditional visibility Not run</x:v>
      </x:c>
    </x:row>
    <x:row r="32" ht="63" customHeight="1">
      <x:c r="A32" s="3" t="str">
        <x:v>CTL-03-005</x:v>
      </x:c>
      <x:c r="B32" s="3" t="str">
        <x:v>browser</x:v>
      </x:c>
      <x:c r="C32" s="3" t="str">
        <x:v>Browser settings</x:v>
      </x:c>
      <x:c r="D32" s="3" t="str">
        <x:v>button / button</x:v>
      </x:c>
      <x:c r="E32" s="13" t="str">
        <x:v>Pass</x:v>
      </x:c>
      <x:c r="F32" s="3" t="str">
        <x:v>Settings opens/closes the engine and Exit panel without changing selections.</x:v>
      </x:c>
      <x:c r="G32" s="3" t="str">
        <x:v>browser-settings</x:v>
      </x:c>
      <x:c r="H32" s="3" t="str">
        <x:v>E-053</x:v>
      </x:c>
      <x:c r="I32" s="3" t="str">
        <x:v>capsules/browser/browser/index.html</x:v>
      </x:c>
      <x:c r="J32" s="14" t="n">
        <x:v>39</x:v>
      </x:c>
      <x:c r="K32" s="3" t="str">
        <x:v>Related dynamic groups: DYN-BROWSER-03. Same-capsule grouping, not one-to-one execution coverage.</x:v>
      </x:c>
      <x:c r="L32" s="3" t="str">
        <x:v>Markup-defined; conditional visibility Not run</x:v>
      </x:c>
    </x:row>
    <x:row r="33" ht="63" customHeight="1">
      <x:c r="A33" s="3" t="str">
        <x:v>CTL-03-006</x:v>
      </x:c>
      <x:c r="B33" s="3" t="str">
        <x:v>browser</x:v>
      </x:c>
      <x:c r="C33" s="3" t="str">
        <x:v>Close Browser settings</x:v>
      </x:c>
      <x:c r="D33" s="3" t="str">
        <x:v>button / button</x:v>
      </x:c>
      <x:c r="E33" s="13" t="str">
        <x:v>Pass</x:v>
      </x:c>
      <x:c r="F33" s="3" t="str">
        <x:v>Settings opens/closes the engine and Exit panel without changing selections.</x:v>
      </x:c>
      <x:c r="G33" s="3" t="str">
        <x:v>browser-settings-close</x:v>
      </x:c>
      <x:c r="H33" s="3" t="str">
        <x:v>E-053</x:v>
      </x:c>
      <x:c r="I33" s="3" t="str">
        <x:v>capsules/browser/browser/index.html</x:v>
      </x:c>
      <x:c r="J33" s="14" t="n">
        <x:v>47</x:v>
      </x:c>
      <x:c r="K33" s="3" t="str">
        <x:v>Related dynamic groups: DYN-BROWSER-03. Same-capsule grouping, not one-to-one execution coverage.</x:v>
      </x:c>
      <x:c r="L33" s="3" t="str">
        <x:v>Markup-defined; conditional visibility Not run</x:v>
      </x:c>
    </x:row>
    <x:row r="34" ht="67.5" customHeight="1">
      <x:c r="A34" s="3" t="str">
        <x:v>CTL-03-007</x:v>
      </x:c>
      <x:c r="B34" s="3" t="str">
        <x:v>browser</x:v>
      </x:c>
      <x:c r="C34" s="3" t="str">
        <x:v>Browser engine</x:v>
      </x:c>
      <x:c r="D34" s="3" t="str">
        <x:v>select</x:v>
      </x:c>
      <x:c r="E34" s="13" t="str">
        <x:v>Partially observed</x:v>
      </x:c>
      <x:c r="F34" s="3" t="str">
        <x:v>Automatic MicroVM and This device are displayed; controls disable during opening and enable at Ready. Alternative selection was not configured.</x:v>
      </x:c>
      <x:c r="G34" s="3" t="str">
        <x:v>browser-engine</x:v>
      </x:c>
      <x:c r="H34" s="3" t="str">
        <x:v>E-053</x:v>
      </x:c>
      <x:c r="I34" s="3" t="str">
        <x:v>capsules/browser/browser/index.html</x:v>
      </x:c>
      <x:c r="J34" s="14" t="n">
        <x:v>52</x:v>
      </x:c>
      <x:c r="K34" s="3" t="str">
        <x:v>Related dynamic groups: DYN-BROWSER-03. Same-capsule grouping, not one-to-one execution coverage.</x:v>
      </x:c>
      <x:c r="L34" s="3" t="str">
        <x:v>Markup-defined; conditional visibility Not run</x:v>
      </x:c>
    </x:row>
    <x:row r="35" ht="67.5" customHeight="1">
      <x:c r="A35" s="3" t="str">
        <x:v>CTL-03-008</x:v>
      </x:c>
      <x:c r="B35" s="3" t="str">
        <x:v>browser</x:v>
      </x:c>
      <x:c r="C35" s="3" t="str">
        <x:v>Browser exit node</x:v>
      </x:c>
      <x:c r="D35" s="3" t="str">
        <x:v>select</x:v>
      </x:c>
      <x:c r="E35" s="13" t="str">
        <x:v>Partially observed</x:v>
      </x:c>
      <x:c r="F35" s="3" t="str">
        <x:v>Automatic MicroVM and This device are displayed; controls disable during opening and enable at Ready. Alternative selection was not configured.</x:v>
      </x:c>
      <x:c r="G35" s="3" t="str">
        <x:v>browser-exit</x:v>
      </x:c>
      <x:c r="H35" s="3" t="str">
        <x:v>E-053</x:v>
      </x:c>
      <x:c r="I35" s="3" t="str">
        <x:v>capsules/browser/browser/index.html</x:v>
      </x:c>
      <x:c r="J35" s="14" t="n">
        <x:v>57</x:v>
      </x:c>
      <x:c r="K35" s="3" t="str">
        <x:v>Related dynamic groups: DYN-BROWSER-03. Same-capsule grouping, not one-to-one execution coverage.</x:v>
      </x:c>
      <x:c r="L35" s="3" t="str">
        <x:v>Markup-defined; conditional visibility Not run</x:v>
      </x:c>
    </x:row>
    <x:row r="36" ht="67.5" customHeight="1">
      <x:c r="A36" s="3" t="str">
        <x:v>CTL-03-009</x:v>
      </x:c>
      <x:c r="B36" s="3" t="str">
        <x:v>browser</x:v>
      </x:c>
      <x:c r="C36" s="3" t="str">
        <x:v>Reset Browser profile</x:v>
      </x:c>
      <x:c r="D36" s="3" t="str">
        <x:v>button / button</x:v>
      </x:c>
      <x:c r="E36" s="13" t="str">
        <x:v>Blocked tool</x:v>
      </x:c>
      <x:c r="F36" s="3" t="str">
        <x:v>Reset preview reached a native confirm, but dismiss/control stalled. No accept was sent; current user profile reset remains outside safe audit execution.</x:v>
      </x:c>
      <x:c r="G36" s="3" t="str">
        <x:v>browser-profile-reset</x:v>
      </x:c>
      <x:c r="H36" s="3" t="str">
        <x:v>E-053</x:v>
      </x:c>
      <x:c r="I36" s="3" t="str">
        <x:v>capsules/browser/browser/index.html</x:v>
      </x:c>
      <x:c r="J36" s="14" t="n">
        <x:v>61</x:v>
      </x:c>
      <x:c r="K36" s="3" t="str">
        <x:v>Related dynamic groups: DYN-BROWSER-03. Same-capsule grouping, not one-to-one execution coverage.</x:v>
      </x:c>
      <x:c r="L36" s="3" t="str">
        <x:v>Markup-defined; conditional visibility Not run</x:v>
      </x:c>
    </x:row>
    <x:row r="37" ht="94.5" customHeight="1">
      <x:c r="A37" s="3" t="str">
        <x:v>CTL-03-010</x:v>
      </x:c>
      <x:c r="B37" s="3" t="str">
        <x:v>browser</x:v>
      </x:c>
      <x:c r="C37" s="3" t="str">
        <x:v>Browser keyboard and clipboard capture</x:v>
      </x:c>
      <x:c r="D37" s="3" t="str">
        <x:v>textarea</x:v>
      </x:c>
      <x:c r="E37" s="13" t="str">
        <x:v>Fail</x:v>
      </x:c>
      <x:c r="F37" s="3" t="str">
        <x:v>Foreground test form: pointer focus, exact single-line text, Tab navigation and PageUp work. Mixed multiline text/key delivery changes order (F-54); Control+A/Home are ignored (F-55). Clipboard transfer stays untested and preserved.</x:v>
      </x:c>
      <x:c r="G37" s="3" t="str">
        <x:v>browser-keyboard-capture</x:v>
      </x:c>
      <x:c r="H37" s="3" t="str">
        <x:v>E-053; E-073</x:v>
      </x:c>
      <x:c r="I37" s="3" t="str">
        <x:v>capsules/browser/browser/index.html</x:v>
      </x:c>
      <x:c r="J37" s="14" t="n">
        <x:v>69</x:v>
      </x:c>
      <x:c r="K37" s="3" t="str">
        <x:v>Related dynamic groups: DYN-BROWSER-03. Same-capsule grouping, not one-to-one execution coverage.</x:v>
      </x:c>
      <x:c r="L37" s="3" t="str">
        <x:v>Markup-defined; conditional visibility Not run</x:v>
      </x:c>
    </x:row>
    <x:row r="38" ht="63" customHeight="1">
      <x:c r="A38" s="3" t="str">
        <x:v>CTL-04-001</x:v>
      </x:c>
      <x:c r="B38" s="3" t="str">
        <x:v>chat-room</x:v>
      </x:c>
      <x:c r="C38" s="3" t="str">
        <x:v>People</x:v>
      </x:c>
      <x:c r="D38" s="3" t="str">
        <x:v>button / button</x:v>
      </x:c>
      <x:c r="E38" s="13" t="str">
        <x:v>Pass</x:v>
      </x:c>
      <x:c r="F38" s="3" t="str">
        <x:v>People panel opens with the current Profile marked You; closing returns to the same Community room.</x:v>
      </x:c>
      <x:c r="G38" s="3" t="str">
        <x:v>participant-toggle</x:v>
      </x:c>
      <x:c r="H38" s="3" t="str">
        <x:v>E-046</x:v>
      </x:c>
      <x:c r="I38" s="3" t="str">
        <x:v>capsules/chat-room/browser/index.html</x:v>
      </x:c>
      <x:c r="J38" s="14" t="n">
        <x:v>38</x:v>
      </x:c>
      <x:c r="K38" s="3" t="str">
        <x:v>Related dynamic groups: DYN-CHAT-01, DYN-CHAT-07. Same-capsule grouping, not one-to-one execution coverage.</x:v>
      </x:c>
      <x:c r="L38" s="3" t="str">
        <x:v>Markup-defined; conditional visibility Not run</x:v>
      </x:c>
    </x:row>
    <x:row r="39" ht="67.5" customHeight="1">
      <x:c r="A39" s="3" t="str">
        <x:v>CTL-04-002</x:v>
      </x:c>
      <x:c r="B39" s="3" t="str">
        <x:v>chat-room</x:v>
      </x:c>
      <x:c r="C39" s="3" t="str">
        <x:v>Guest</x:v>
      </x:c>
      <x:c r="D39" s="3" t="str">
        <x:v>input / text</x:v>
      </x:c>
      <x:c r="E39" s="13" t="str">
        <x:v>Blocked prerequisite</x:v>
      </x:c>
      <x:c r="F39" s="3" t="str">
        <x:v>Guest/join/access/invite/message actions need a consenting disposable peer or room. Existing Community access and messages are preserved; no action dispatched.</x:v>
      </x:c>
      <x:c r="G39" s="3" t="str">
        <x:v>display-name</x:v>
      </x:c>
      <x:c r="H39" s="3" t="str">
        <x:v>E-046</x:v>
      </x:c>
      <x:c r="I39" s="3" t="str">
        <x:v>capsules/chat-room/browser/index.html</x:v>
      </x:c>
      <x:c r="J39" s="14" t="n">
        <x:v>53</x:v>
      </x:c>
      <x:c r="K39" s="3" t="str">
        <x:v>Related dynamic groups: DYN-CHAT-01, DYN-CHAT-07. Same-capsule grouping, not one-to-one execution coverage.</x:v>
      </x:c>
      <x:c r="L39" s="3" t="str">
        <x:v>Markup-defined; conditional visibility Not run</x:v>
      </x:c>
    </x:row>
    <x:row r="40" ht="67.5" customHeight="1">
      <x:c r="A40" s="3" t="str">
        <x:v>CTL-04-003</x:v>
      </x:c>
      <x:c r="B40" s="3" t="str">
        <x:v>chat-room</x:v>
      </x:c>
      <x:c r="C40" s="3" t="str">
        <x:v>Ask to join</x:v>
      </x:c>
      <x:c r="D40" s="3" t="str">
        <x:v>button / submit</x:v>
      </x:c>
      <x:c r="E40" s="13" t="str">
        <x:v>Blocked prerequisite</x:v>
      </x:c>
      <x:c r="F40" s="3" t="str">
        <x:v>Guest/join/access/invite/message actions need a consenting disposable peer or room. Existing Community access and messages are preserved; no action dispatched.</x:v>
      </x:c>
      <x:c r="G40" s="3" t="str">
        <x:v>browser-access-submit</x:v>
      </x:c>
      <x:c r="H40" s="3" t="str">
        <x:v>E-046</x:v>
      </x:c>
      <x:c r="I40" s="3" t="str">
        <x:v>capsules/chat-room/browser/index.html</x:v>
      </x:c>
      <x:c r="J40" s="14" t="n">
        <x:v>56</x:v>
      </x:c>
      <x:c r="K40" s="3" t="str">
        <x:v>Related dynamic groups: DYN-CHAT-01, DYN-CHAT-07. Same-capsule grouping, not one-to-one execution coverage.</x:v>
      </x:c>
      <x:c r="L40" s="3" t="str">
        <x:v>Markup-defined; conditional visibility Not run</x:v>
      </x:c>
    </x:row>
    <x:row r="41" ht="67.5" customHeight="1">
      <x:c r="A41" s="3" t="str">
        <x:v>CTL-04-004</x:v>
      </x:c>
      <x:c r="B41" s="3" t="str">
        <x:v>chat-room</x:v>
      </x:c>
      <x:c r="C41" s="3" t="str">
        <x:v>Start over</x:v>
      </x:c>
      <x:c r="D41" s="3" t="str">
        <x:v>button / button</x:v>
      </x:c>
      <x:c r="E41" s="13" t="str">
        <x:v>Blocked prerequisite</x:v>
      </x:c>
      <x:c r="F41" s="3" t="str">
        <x:v>Guest/join/access/invite/message actions need a consenting disposable peer or room. Existing Community access and messages are preserved; no action dispatched.</x:v>
      </x:c>
      <x:c r="G41" s="3" t="str">
        <x:v>reset-button</x:v>
      </x:c>
      <x:c r="H41" s="3" t="str">
        <x:v>E-046</x:v>
      </x:c>
      <x:c r="I41" s="3" t="str">
        <x:v>capsules/chat-room/browser/index.html</x:v>
      </x:c>
      <x:c r="J41" s="14" t="n">
        <x:v>57</x:v>
      </x:c>
      <x:c r="K41" s="3" t="str">
        <x:v>Related dynamic groups: DYN-CHAT-01, DYN-CHAT-07. Same-capsule grouping, not one-to-one execution coverage.</x:v>
      </x:c>
      <x:c r="L41" s="3" t="str">
        <x:v>Markup-defined; conditional visibility Not run</x:v>
      </x:c>
    </x:row>
    <x:row r="42" ht="67.5" customHeight="1">
      <x:c r="A42" s="3" t="str">
        <x:v>CTL-04-005</x:v>
      </x:c>
      <x:c r="B42" s="3" t="str">
        <x:v>chat-room</x:v>
      </x:c>
      <x:c r="C42" s="3" t="str">
        <x:v>Invite code or link</x:v>
      </x:c>
      <x:c r="D42" s="3" t="str">
        <x:v>input / text</x:v>
      </x:c>
      <x:c r="E42" s="13" t="str">
        <x:v>Blocked prerequisite</x:v>
      </x:c>
      <x:c r="F42" s="3" t="str">
        <x:v>Guest/join/access/invite/message actions need a consenting disposable peer or room. Existing Community access and messages are preserved; no action dispatched.</x:v>
      </x:c>
      <x:c r="G42" s="3" t="str">
        <x:v>conversation-join-input</x:v>
      </x:c>
      <x:c r="H42" s="3" t="str">
        <x:v>E-046</x:v>
      </x:c>
      <x:c r="I42" s="3" t="str">
        <x:v>capsules/chat-room/browser/index.html</x:v>
      </x:c>
      <x:c r="J42" s="14" t="n">
        <x:v>68</x:v>
      </x:c>
      <x:c r="K42" s="3" t="str">
        <x:v>Related dynamic groups: DYN-CHAT-01, DYN-CHAT-07. Same-capsule grouping, not one-to-one execution coverage.</x:v>
      </x:c>
      <x:c r="L42" s="3" t="str">
        <x:v>Markup-defined; conditional visibility Not run</x:v>
      </x:c>
    </x:row>
    <x:row r="43" ht="67.5" customHeight="1">
      <x:c r="A43" s="3" t="str">
        <x:v>CTL-04-006</x:v>
      </x:c>
      <x:c r="B43" s="3" t="str">
        <x:v>chat-room</x:v>
      </x:c>
      <x:c r="C43" s="3" t="str">
        <x:v>Join</x:v>
      </x:c>
      <x:c r="D43" s="3" t="str">
        <x:v>button / submit</x:v>
      </x:c>
      <x:c r="E43" s="13" t="str">
        <x:v>Blocked prerequisite</x:v>
      </x:c>
      <x:c r="F43" s="3" t="str">
        <x:v>Guest/join/access/invite/message actions need a consenting disposable peer or room. Existing Community access and messages are preserved; no action dispatched.</x:v>
      </x:c>
      <x:c r="G43" s="3" t="str">
        <x:v>conversation-join-submit</x:v>
      </x:c>
      <x:c r="H43" s="3" t="str">
        <x:v>E-046</x:v>
      </x:c>
      <x:c r="I43" s="3" t="str">
        <x:v>capsules/chat-room/browser/index.html</x:v>
      </x:c>
      <x:c r="J43" s="14" t="n">
        <x:v>69</x:v>
      </x:c>
      <x:c r="K43" s="3" t="str">
        <x:v>Related dynamic groups: DYN-CHAT-01, DYN-CHAT-07. Same-capsule grouping, not one-to-one execution coverage.</x:v>
      </x:c>
      <x:c r="L43" s="3" t="str">
        <x:v>Markup-defined; conditional visibility Not run</x:v>
      </x:c>
    </x:row>
    <x:row r="44" ht="63" customHeight="1">
      <x:c r="A44" s="3" t="str">
        <x:v>CTL-04-007</x:v>
      </x:c>
      <x:c r="B44" s="3" t="str">
        <x:v>chat-room</x:v>
      </x:c>
      <x:c r="C44" s="3" t="str">
        <x:v>Attach</x:v>
      </x:c>
      <x:c r="D44" s="3" t="str">
        <x:v>button / button</x:v>
      </x:c>
      <x:c r="E44" s="13" t="str">
        <x:v>Fail</x:v>
      </x:c>
      <x:c r="F44" s="3" t="str">
        <x:v>Attachment plus has no accessible name and clicking it gives no Library picker or feedback.F-28.</x:v>
      </x:c>
      <x:c r="G44" s="3" t="str">
        <x:v>attach-button</x:v>
      </x:c>
      <x:c r="H44" s="3" t="str">
        <x:v>E-046</x:v>
      </x:c>
      <x:c r="I44" s="3" t="str">
        <x:v>capsules/chat-room/browser/index.html</x:v>
      </x:c>
      <x:c r="J44" s="14" t="n">
        <x:v>74</x:v>
      </x:c>
      <x:c r="K44" s="3" t="str">
        <x:v>Related dynamic groups: DYN-CHAT-01, DYN-CHAT-07. Same-capsule grouping, not one-to-one execution coverage.</x:v>
      </x:c>
      <x:c r="L44" s="3" t="str">
        <x:v>Markup-defined; conditional visibility Not run</x:v>
      </x:c>
    </x:row>
    <x:row r="45" ht="63" customHeight="1">
      <x:c r="A45" s="3" t="str">
        <x:v>CTL-04-008</x:v>
      </x:c>
      <x:c r="B45" s="3" t="str">
        <x:v>chat-room</x:v>
      </x:c>
      <x:c r="C45" s="3" t="str">
        <x:v>Emoji</x:v>
      </x:c>
      <x:c r="D45" s="3" t="str">
        <x:v>button / button</x:v>
      </x:c>
      <x:c r="E45" s="13" t="str">
        <x:v>Pass</x:v>
      </x:c>
      <x:c r="F45" s="3" t="str">
        <x:v>Quick emoji opens named choices; Wave inserts the symbol and closes the picker. Draft cleared without sending.</x:v>
      </x:c>
      <x:c r="G45" s="3" t="str">
        <x:v>emoji-toggle</x:v>
      </x:c>
      <x:c r="H45" s="3" t="str">
        <x:v>E-046</x:v>
      </x:c>
      <x:c r="I45" s="3" t="str">
        <x:v>capsules/chat-room/browser/index.html</x:v>
      </x:c>
      <x:c r="J45" s="14" t="n">
        <x:v>80</x:v>
      </x:c>
      <x:c r="K45" s="3" t="str">
        <x:v>Related dynamic groups: DYN-CHAT-01, DYN-CHAT-07. Same-capsule grouping, not one-to-one execution coverage.</x:v>
      </x:c>
      <x:c r="L45" s="3" t="str">
        <x:v>Markup-defined; conditional visibility Not run</x:v>
      </x:c>
    </x:row>
    <x:row r="46" ht="63" customHeight="1">
      <x:c r="A46" s="3" t="str">
        <x:v>CTL-04-009</x:v>
      </x:c>
      <x:c r="B46" s="3" t="str">
        <x:v>chat-room</x:v>
      </x:c>
      <x:c r="C46" s="3" t="str">
        <x:v>Say something</x:v>
      </x:c>
      <x:c r="D46" s="3" t="str">
        <x:v>textarea</x:v>
      </x:c>
      <x:c r="E46" s="13" t="str">
        <x:v>Partially observed</x:v>
      </x:c>
      <x:c r="F46" s="3" t="str">
        <x:v>Composer accepts Wave and clears safely. Message delivery remains unrun in the existing room.</x:v>
      </x:c>
      <x:c r="G46" s="3" t="str">
        <x:v>message-input</x:v>
      </x:c>
      <x:c r="H46" s="3" t="str">
        <x:v>E-046</x:v>
      </x:c>
      <x:c r="I46" s="3" t="str">
        <x:v>capsules/chat-room/browser/index.html</x:v>
      </x:c>
      <x:c r="J46" s="14" t="n">
        <x:v>83</x:v>
      </x:c>
      <x:c r="K46" s="3" t="str">
        <x:v>Related dynamic groups: DYN-CHAT-01, DYN-CHAT-07. Same-capsule grouping, not one-to-one execution coverage.</x:v>
      </x:c>
      <x:c r="L46" s="3" t="str">
        <x:v>Markup-defined; conditional visibility Not run</x:v>
      </x:c>
    </x:row>
    <x:row r="47" ht="63" customHeight="1">
      <x:c r="A47" s="3" t="str">
        <x:v>CTL-04-010</x:v>
      </x:c>
      <x:c r="B47" s="3" t="str">
        <x:v>chat-room</x:v>
      </x:c>
      <x:c r="C47" s="3" t="str">
        <x:v>Wave</x:v>
      </x:c>
      <x:c r="D47" s="3" t="str">
        <x:v>button / button</x:v>
      </x:c>
      <x:c r="E47" s="13" t="str">
        <x:v>Pass</x:v>
      </x:c>
      <x:c r="F47" s="3" t="str">
        <x:v>Quick emoji opens named choices; Wave inserts the symbol and closes the picker. Draft cleared without sending.</x:v>
      </x:c>
      <x:c r="G47" s="3" t="str">
        <x:v>emoji-wave</x:v>
      </x:c>
      <x:c r="H47" s="3" t="str">
        <x:v>E-046</x:v>
      </x:c>
      <x:c r="I47" s="3" t="str">
        <x:v>capsules/chat-room/browser/index.html</x:v>
      </x:c>
      <x:c r="J47" s="14" t="n">
        <x:v>85</x:v>
      </x:c>
      <x:c r="K47" s="3" t="str">
        <x:v>Related dynamic groups: DYN-CHAT-01, DYN-CHAT-07. Same-capsule grouping, not one-to-one execution coverage.</x:v>
      </x:c>
      <x:c r="L47" s="3" t="str">
        <x:v>Markup-defined; conditional visibility Not run</x:v>
      </x:c>
    </x:row>
    <x:row r="48" ht="63" customHeight="1">
      <x:c r="A48" s="3" t="str">
        <x:v>CTL-04-011</x:v>
      </x:c>
      <x:c r="B48" s="3" t="str">
        <x:v>chat-room</x:v>
      </x:c>
      <x:c r="C48" s="3" t="str">
        <x:v>Thumbs up</x:v>
      </x:c>
      <x:c r="D48" s="3" t="str">
        <x:v>button / button</x:v>
      </x:c>
      <x:c r="E48" s="13" t="str">
        <x:v>Partially observed</x:v>
      </x:c>
      <x:c r="F48" s="3" t="str">
        <x:v>Named emoji choice appears in the opened picker. Only Wave was dispatched; each other insertion remains unrun.</x:v>
      </x:c>
      <x:c r="G48" s="3" t="str">
        <x:v>emoji-thumbsup</x:v>
      </x:c>
      <x:c r="H48" s="3" t="str">
        <x:v>E-046</x:v>
      </x:c>
      <x:c r="I48" s="3" t="str">
        <x:v>capsules/chat-room/browser/index.html</x:v>
      </x:c>
      <x:c r="J48" s="14" t="n">
        <x:v>86</x:v>
      </x:c>
      <x:c r="K48" s="3" t="str">
        <x:v>Related dynamic groups: DYN-CHAT-01, DYN-CHAT-07. Same-capsule grouping, not one-to-one execution coverage.</x:v>
      </x:c>
      <x:c r="L48" s="3" t="str">
        <x:v>Markup-defined; conditional visibility Not run</x:v>
      </x:c>
    </x:row>
    <x:row r="49" ht="63" customHeight="1">
      <x:c r="A49" s="3" t="str">
        <x:v>CTL-04-012</x:v>
      </x:c>
      <x:c r="B49" s="3" t="str">
        <x:v>chat-room</x:v>
      </x:c>
      <x:c r="C49" s="3" t="str">
        <x:v>Heart</x:v>
      </x:c>
      <x:c r="D49" s="3" t="str">
        <x:v>button / button</x:v>
      </x:c>
      <x:c r="E49" s="13" t="str">
        <x:v>Partially observed</x:v>
      </x:c>
      <x:c r="F49" s="3" t="str">
        <x:v>Named emoji choice appears in the opened picker. Only Wave was dispatched; each other insertion remains unrun.</x:v>
      </x:c>
      <x:c r="G49" s="3" t="str">
        <x:v>emoji-heart</x:v>
      </x:c>
      <x:c r="H49" s="3" t="str">
        <x:v>E-046</x:v>
      </x:c>
      <x:c r="I49" s="3" t="str">
        <x:v>capsules/chat-room/browser/index.html</x:v>
      </x:c>
      <x:c r="J49" s="14" t="n">
        <x:v>87</x:v>
      </x:c>
      <x:c r="K49" s="3" t="str">
        <x:v>Related dynamic groups: DYN-CHAT-01, DYN-CHAT-07. Same-capsule grouping, not one-to-one execution coverage.</x:v>
      </x:c>
      <x:c r="L49" s="3" t="str">
        <x:v>Markup-defined; conditional visibility Not run</x:v>
      </x:c>
    </x:row>
    <x:row r="50" ht="63" customHeight="1">
      <x:c r="A50" s="3" t="str">
        <x:v>CTL-04-013</x:v>
      </x:c>
      <x:c r="B50" s="3" t="str">
        <x:v>chat-room</x:v>
      </x:c>
      <x:c r="C50" s="3" t="str">
        <x:v>Joy</x:v>
      </x:c>
      <x:c r="D50" s="3" t="str">
        <x:v>button / button</x:v>
      </x:c>
      <x:c r="E50" s="13" t="str">
        <x:v>Partially observed</x:v>
      </x:c>
      <x:c r="F50" s="3" t="str">
        <x:v>Named emoji choice appears in the opened picker. Only Wave was dispatched; each other insertion remains unrun.</x:v>
      </x:c>
      <x:c r="G50" s="3" t="str">
        <x:v>emoji-joy</x:v>
      </x:c>
      <x:c r="H50" s="3" t="str">
        <x:v>E-046</x:v>
      </x:c>
      <x:c r="I50" s="3" t="str">
        <x:v>capsules/chat-room/browser/index.html</x:v>
      </x:c>
      <x:c r="J50" s="14" t="n">
        <x:v>88</x:v>
      </x:c>
      <x:c r="K50" s="3" t="str">
        <x:v>Related dynamic groups: DYN-CHAT-01, DYN-CHAT-07. Same-capsule grouping, not one-to-one execution coverage.</x:v>
      </x:c>
      <x:c r="L50" s="3" t="str">
        <x:v>Markup-defined; conditional visibility Not run</x:v>
      </x:c>
    </x:row>
    <x:row r="51" ht="63" customHeight="1">
      <x:c r="A51" s="3" t="str">
        <x:v>CTL-04-014</x:v>
      </x:c>
      <x:c r="B51" s="3" t="str">
        <x:v>chat-room</x:v>
      </x:c>
      <x:c r="C51" s="3" t="str">
        <x:v>Fire</x:v>
      </x:c>
      <x:c r="D51" s="3" t="str">
        <x:v>button / button</x:v>
      </x:c>
      <x:c r="E51" s="13" t="str">
        <x:v>Partially observed</x:v>
      </x:c>
      <x:c r="F51" s="3" t="str">
        <x:v>Named emoji choice appears in the opened picker. Only Wave was dispatched; each other insertion remains unrun.</x:v>
      </x:c>
      <x:c r="G51" s="3" t="str">
        <x:v>emoji-fire</x:v>
      </x:c>
      <x:c r="H51" s="3" t="str">
        <x:v>E-046</x:v>
      </x:c>
      <x:c r="I51" s="3" t="str">
        <x:v>capsules/chat-room/browser/index.html</x:v>
      </x:c>
      <x:c r="J51" s="14" t="n">
        <x:v>89</x:v>
      </x:c>
      <x:c r="K51" s="3" t="str">
        <x:v>Related dynamic groups: DYN-CHAT-01, DYN-CHAT-07. Same-capsule grouping, not one-to-one execution coverage.</x:v>
      </x:c>
      <x:c r="L51" s="3" t="str">
        <x:v>Markup-defined; conditional visibility Not run</x:v>
      </x:c>
    </x:row>
    <x:row r="52" ht="63" customHeight="1">
      <x:c r="A52" s="3" t="str">
        <x:v>CTL-04-015</x:v>
      </x:c>
      <x:c r="B52" s="3" t="str">
        <x:v>chat-room</x:v>
      </x:c>
      <x:c r="C52" s="3" t="str">
        <x:v>Party</x:v>
      </x:c>
      <x:c r="D52" s="3" t="str">
        <x:v>button / button</x:v>
      </x:c>
      <x:c r="E52" s="13" t="str">
        <x:v>Partially observed</x:v>
      </x:c>
      <x:c r="F52" s="3" t="str">
        <x:v>Named emoji choice appears in the opened picker. Only Wave was dispatched; each other insertion remains unrun.</x:v>
      </x:c>
      <x:c r="G52" s="3" t="str">
        <x:v>emoji-party</x:v>
      </x:c>
      <x:c r="H52" s="3" t="str">
        <x:v>E-046</x:v>
      </x:c>
      <x:c r="I52" s="3" t="str">
        <x:v>capsules/chat-room/browser/index.html</x:v>
      </x:c>
      <x:c r="J52" s="14" t="n">
        <x:v>90</x:v>
      </x:c>
      <x:c r="K52" s="3" t="str">
        <x:v>Related dynamic groups: DYN-CHAT-01, DYN-CHAT-07. Same-capsule grouping, not one-to-one execution coverage.</x:v>
      </x:c>
      <x:c r="L52" s="3" t="str">
        <x:v>Markup-defined; conditional visibility Not run</x:v>
      </x:c>
    </x:row>
    <x:row r="53" ht="63" customHeight="1">
      <x:c r="A53" s="3" t="str">
        <x:v>CTL-04-016</x:v>
      </x:c>
      <x:c r="B53" s="3" t="str">
        <x:v>chat-room</x:v>
      </x:c>
      <x:c r="C53" s="3" t="str">
        <x:v>Clap</x:v>
      </x:c>
      <x:c r="D53" s="3" t="str">
        <x:v>button / button</x:v>
      </x:c>
      <x:c r="E53" s="13" t="str">
        <x:v>Partially observed</x:v>
      </x:c>
      <x:c r="F53" s="3" t="str">
        <x:v>Named emoji choice appears in the opened picker. Only Wave was dispatched; each other insertion remains unrun.</x:v>
      </x:c>
      <x:c r="G53" s="3" t="str">
        <x:v>emoji-clap</x:v>
      </x:c>
      <x:c r="H53" s="3" t="str">
        <x:v>E-046</x:v>
      </x:c>
      <x:c r="I53" s="3" t="str">
        <x:v>capsules/chat-room/browser/index.html</x:v>
      </x:c>
      <x:c r="J53" s="14" t="n">
        <x:v>91</x:v>
      </x:c>
      <x:c r="K53" s="3" t="str">
        <x:v>Related dynamic groups: DYN-CHAT-01, DYN-CHAT-07. Same-capsule grouping, not one-to-one execution coverage.</x:v>
      </x:c>
      <x:c r="L53" s="3" t="str">
        <x:v>Markup-defined; conditional visibility Not run</x:v>
      </x:c>
    </x:row>
    <x:row r="54" ht="63" customHeight="1">
      <x:c r="A54" s="3" t="str">
        <x:v>CTL-04-017</x:v>
      </x:c>
      <x:c r="B54" s="3" t="str">
        <x:v>chat-room</x:v>
      </x:c>
      <x:c r="C54" s="3" t="str">
        <x:v>Eyes</x:v>
      </x:c>
      <x:c r="D54" s="3" t="str">
        <x:v>button / button</x:v>
      </x:c>
      <x:c r="E54" s="13" t="str">
        <x:v>Partially observed</x:v>
      </x:c>
      <x:c r="F54" s="3" t="str">
        <x:v>Named emoji choice appears in the opened picker. Only Wave was dispatched; each other insertion remains unrun.</x:v>
      </x:c>
      <x:c r="G54" s="3" t="str">
        <x:v>emoji-eyes</x:v>
      </x:c>
      <x:c r="H54" s="3" t="str">
        <x:v>E-046</x:v>
      </x:c>
      <x:c r="I54" s="3" t="str">
        <x:v>capsules/chat-room/browser/index.html</x:v>
      </x:c>
      <x:c r="J54" s="14" t="n">
        <x:v>92</x:v>
      </x:c>
      <x:c r="K54" s="3" t="str">
        <x:v>Related dynamic groups: DYN-CHAT-01, DYN-CHAT-07. Same-capsule grouping, not one-to-one execution coverage.</x:v>
      </x:c>
      <x:c r="L54" s="3" t="str">
        <x:v>Markup-defined; conditional visibility Not run</x:v>
      </x:c>
    </x:row>
    <x:row r="55" ht="63" customHeight="1">
      <x:c r="A55" s="3" t="str">
        <x:v>CTL-04-018</x:v>
      </x:c>
      <x:c r="B55" s="3" t="str">
        <x:v>chat-room</x:v>
      </x:c>
      <x:c r="C55" s="3" t="str">
        <x:v>Thanks</x:v>
      </x:c>
      <x:c r="D55" s="3" t="str">
        <x:v>button / button</x:v>
      </x:c>
      <x:c r="E55" s="13" t="str">
        <x:v>Partially observed</x:v>
      </x:c>
      <x:c r="F55" s="3" t="str">
        <x:v>Named emoji choice appears in the opened picker. Only Wave was dispatched; each other insertion remains unrun.</x:v>
      </x:c>
      <x:c r="G55" s="3" t="str">
        <x:v>emoji-pray</x:v>
      </x:c>
      <x:c r="H55" s="3" t="str">
        <x:v>E-046</x:v>
      </x:c>
      <x:c r="I55" s="3" t="str">
        <x:v>capsules/chat-room/browser/index.html</x:v>
      </x:c>
      <x:c r="J55" s="14" t="n">
        <x:v>93</x:v>
      </x:c>
      <x:c r="K55" s="3" t="str">
        <x:v>Related dynamic groups: DYN-CHAT-01, DYN-CHAT-07. Same-capsule grouping, not one-to-one execution coverage.</x:v>
      </x:c>
      <x:c r="L55" s="3" t="str">
        <x:v>Markup-defined; conditional visibility Not run</x:v>
      </x:c>
    </x:row>
    <x:row r="56" ht="63" customHeight="1">
      <x:c r="A56" s="3" t="str">
        <x:v>CTL-04-019</x:v>
      </x:c>
      <x:c r="B56" s="3" t="str">
        <x:v>chat-room</x:v>
      </x:c>
      <x:c r="C56" s="3" t="str">
        <x:v>Sad</x:v>
      </x:c>
      <x:c r="D56" s="3" t="str">
        <x:v>button / button</x:v>
      </x:c>
      <x:c r="E56" s="13" t="str">
        <x:v>Partially observed</x:v>
      </x:c>
      <x:c r="F56" s="3" t="str">
        <x:v>Named emoji choice appears in the opened picker. Only Wave was dispatched; each other insertion remains unrun.</x:v>
      </x:c>
      <x:c r="G56" s="3" t="str">
        <x:v>emoji-sad</x:v>
      </x:c>
      <x:c r="H56" s="3" t="str">
        <x:v>E-046</x:v>
      </x:c>
      <x:c r="I56" s="3" t="str">
        <x:v>capsules/chat-room/browser/index.html</x:v>
      </x:c>
      <x:c r="J56" s="14" t="n">
        <x:v>94</x:v>
      </x:c>
      <x:c r="K56" s="3" t="str">
        <x:v>Related dynamic groups: DYN-CHAT-01, DYN-CHAT-07. Same-capsule grouping, not one-to-one execution coverage.</x:v>
      </x:c>
      <x:c r="L56" s="3" t="str">
        <x:v>Markup-defined; conditional visibility Not run</x:v>
      </x:c>
    </x:row>
    <x:row r="57" ht="63" customHeight="1">
      <x:c r="A57" s="3" t="str">
        <x:v>CTL-04-020</x:v>
      </x:c>
      <x:c r="B57" s="3" t="str">
        <x:v>chat-room</x:v>
      </x:c>
      <x:c r="C57" s="3" t="str">
        <x:v>Thinking</x:v>
      </x:c>
      <x:c r="D57" s="3" t="str">
        <x:v>button / button</x:v>
      </x:c>
      <x:c r="E57" s="13" t="str">
        <x:v>Partially observed</x:v>
      </x:c>
      <x:c r="F57" s="3" t="str">
        <x:v>Named emoji choice appears in the opened picker. Only Wave was dispatched; each other insertion remains unrun.</x:v>
      </x:c>
      <x:c r="G57" s="3" t="str">
        <x:v>emoji-think</x:v>
      </x:c>
      <x:c r="H57" s="3" t="str">
        <x:v>E-046</x:v>
      </x:c>
      <x:c r="I57" s="3" t="str">
        <x:v>capsules/chat-room/browser/index.html</x:v>
      </x:c>
      <x:c r="J57" s="14" t="n">
        <x:v>95</x:v>
      </x:c>
      <x:c r="K57" s="3" t="str">
        <x:v>Related dynamic groups: DYN-CHAT-01, DYN-CHAT-07. Same-capsule grouping, not one-to-one execution coverage.</x:v>
      </x:c>
      <x:c r="L57" s="3" t="str">
        <x:v>Markup-defined; conditional visibility Not run</x:v>
      </x:c>
    </x:row>
    <x:row r="58" ht="63" customHeight="1">
      <x:c r="A58" s="3" t="str">
        <x:v>CTL-04-021</x:v>
      </x:c>
      <x:c r="B58" s="3" t="str">
        <x:v>chat-room</x:v>
      </x:c>
      <x:c r="C58" s="3" t="str">
        <x:v>Elephant</x:v>
      </x:c>
      <x:c r="D58" s="3" t="str">
        <x:v>button / button</x:v>
      </x:c>
      <x:c r="E58" s="13" t="str">
        <x:v>Partially observed</x:v>
      </x:c>
      <x:c r="F58" s="3" t="str">
        <x:v>Named emoji choice appears in the opened picker. Only Wave was dispatched; each other insertion remains unrun.</x:v>
      </x:c>
      <x:c r="G58" s="3" t="str">
        <x:v>emoji-elephant</x:v>
      </x:c>
      <x:c r="H58" s="3" t="str">
        <x:v>E-046</x:v>
      </x:c>
      <x:c r="I58" s="3" t="str">
        <x:v>capsules/chat-room/browser/index.html</x:v>
      </x:c>
      <x:c r="J58" s="14" t="n">
        <x:v>96</x:v>
      </x:c>
      <x:c r="K58" s="3" t="str">
        <x:v>Related dynamic groups: DYN-CHAT-01, DYN-CHAT-07. Same-capsule grouping, not one-to-one execution coverage.</x:v>
      </x:c>
      <x:c r="L58" s="3" t="str">
        <x:v>Markup-defined; conditional visibility Not run</x:v>
      </x:c>
    </x:row>
    <x:row r="59" ht="67.5" customHeight="1">
      <x:c r="A59" s="3" t="str">
        <x:v>CTL-04-022</x:v>
      </x:c>
      <x:c r="B59" s="3" t="str">
        <x:v>chat-room</x:v>
      </x:c>
      <x:c r="C59" s="3" t="str">
        <x:v>Send</x:v>
      </x:c>
      <x:c r="D59" s="3" t="str">
        <x:v>button / submit</x:v>
      </x:c>
      <x:c r="E59" s="13" t="str">
        <x:v>Blocked prerequisite</x:v>
      </x:c>
      <x:c r="F59" s="3" t="str">
        <x:v>Guest/join/access/invite/message actions need a consenting disposable peer or room. Existing Community access and messages are preserved; no action dispatched.</x:v>
      </x:c>
      <x:c r="G59" s="3" t="str">
        <x:v>send-button</x:v>
      </x:c>
      <x:c r="H59" s="3" t="str">
        <x:v>E-046</x:v>
      </x:c>
      <x:c r="I59" s="3" t="str">
        <x:v>capsules/chat-room/browser/index.html</x:v>
      </x:c>
      <x:c r="J59" s="14" t="n">
        <x:v>99</x:v>
      </x:c>
      <x:c r="K59" s="3" t="str">
        <x:v>Related dynamic groups: DYN-CHAT-01, DYN-CHAT-07. Same-capsule grouping, not one-to-one execution coverage.</x:v>
      </x:c>
      <x:c r="L59" s="3" t="str">
        <x:v>Markup-defined; conditional visibility Not run</x:v>
      </x:c>
    </x:row>
    <x:row r="60" ht="67.5" customHeight="1">
      <x:c r="A60" s="3" t="str">
        <x:v>CTL-04-023</x:v>
      </x:c>
      <x:c r="B60" s="3" t="str">
        <x:v>chat-room</x:v>
      </x:c>
      <x:c r="C60" s="3" t="str">
        <x:v>Access settings</x:v>
      </x:c>
      <x:c r="D60" s="3" t="str">
        <x:v>button / button</x:v>
      </x:c>
      <x:c r="E60" s="13" t="str">
        <x:v>Blocked prerequisite</x:v>
      </x:c>
      <x:c r="F60" s="3" t="str">
        <x:v>Guest/join/access/invite/message actions need a consenting disposable peer or room. Existing Community access and messages are preserved; no action dispatched.</x:v>
      </x:c>
      <x:c r="G60" s="3" t="str">
        <x:v>room-access-toggle</x:v>
      </x:c>
      <x:c r="H60" s="3" t="str">
        <x:v>E-046</x:v>
      </x:c>
      <x:c r="I60" s="3" t="str">
        <x:v>capsules/chat-room/browser/index.html</x:v>
      </x:c>
      <x:c r="J60" s="14" t="n">
        <x:v>108</x:v>
      </x:c>
      <x:c r="K60" s="3" t="str">
        <x:v>Related dynamic groups: DYN-CHAT-01, DYN-CHAT-07. Same-capsule grouping, not one-to-one execution coverage.</x:v>
      </x:c>
      <x:c r="L60" s="3" t="str">
        <x:v>Markup-defined; conditional visibility Not run</x:v>
      </x:c>
    </x:row>
    <x:row r="61" ht="63" customHeight="1">
      <x:c r="A61" s="3" t="str">
        <x:v>CTL-04-024</x:v>
      </x:c>
      <x:c r="B61" s="3" t="str">
        <x:v>chat-room</x:v>
      </x:c>
      <x:c r="C61" s="3" t="str">
        <x:v>Close</x:v>
      </x:c>
      <x:c r="D61" s="3" t="str">
        <x:v>button / button</x:v>
      </x:c>
      <x:c r="E61" s="13" t="str">
        <x:v>Pass</x:v>
      </x:c>
      <x:c r="F61" s="3" t="str">
        <x:v>People panel opens with the current Profile marked You; closing returns to the same Community room.</x:v>
      </x:c>
      <x:c r="G61" s="3" t="str">
        <x:v>participant-close</x:v>
      </x:c>
      <x:c r="H61" s="3" t="str">
        <x:v>E-046</x:v>
      </x:c>
      <x:c r="I61" s="3" t="str">
        <x:v>capsules/chat-room/browser/index.html</x:v>
      </x:c>
      <x:c r="J61" s="14" t="n">
        <x:v>109</x:v>
      </x:c>
      <x:c r="K61" s="3" t="str">
        <x:v>Related dynamic groups: DYN-CHAT-01, DYN-CHAT-07. Same-capsule grouping, not one-to-one execution coverage.</x:v>
      </x:c>
      <x:c r="L61" s="3" t="str">
        <x:v>Markup-defined; conditional visibility Not run</x:v>
      </x:c>
    </x:row>
    <x:row r="62" ht="67.5" customHeight="1">
      <x:c r="A62" s="3" t="str">
        <x:v>CTL-04-025</x:v>
      </x:c>
      <x:c r="B62" s="3" t="str">
        <x:v>chat-room</x:v>
      </x:c>
      <x:c r="C62" s="3" t="str">
        <x:v>Create join link</x:v>
      </x:c>
      <x:c r="D62" s="3" t="str">
        <x:v>button / button</x:v>
      </x:c>
      <x:c r="E62" s="13" t="str">
        <x:v>Blocked prerequisite</x:v>
      </x:c>
      <x:c r="F62" s="3" t="str">
        <x:v>Guest/join/access/invite/message actions need a consenting disposable peer or room. Existing Community access and messages are preserved; no action dispatched.</x:v>
      </x:c>
      <x:c r="G62" s="3" t="str">
        <x:v>conversation-invite-create</x:v>
      </x:c>
      <x:c r="H62" s="3" t="str">
        <x:v>E-046</x:v>
      </x:c>
      <x:c r="I62" s="3" t="str">
        <x:v>capsules/chat-room/browser/index.html</x:v>
      </x:c>
      <x:c r="J62" s="14" t="n">
        <x:v>129</x:v>
      </x:c>
      <x:c r="K62" s="3" t="str">
        <x:v>Related dynamic groups: DYN-CHAT-01, DYN-CHAT-07. Same-capsule grouping, not one-to-one execution coverage.</x:v>
      </x:c>
      <x:c r="L62" s="3" t="str">
        <x:v>Markup-defined; conditional visibility Not run</x:v>
      </x:c>
    </x:row>
    <x:row r="63" ht="67.5" customHeight="1">
      <x:c r="A63" s="3" t="str">
        <x:v>CTL-04-026</x:v>
      </x:c>
      <x:c r="B63" s="3" t="str">
        <x:v>chat-room</x:v>
      </x:c>
      <x:c r="C63" s="3" t="str">
        <x:v>Conversation join link</x:v>
      </x:c>
      <x:c r="D63" s="3" t="str">
        <x:v>input / text</x:v>
      </x:c>
      <x:c r="E63" s="13" t="str">
        <x:v>Blocked prerequisite</x:v>
      </x:c>
      <x:c r="F63" s="3" t="str">
        <x:v>Guest/join/access/invite/message actions need a consenting disposable peer or room. Existing Community access and messages are preserved; no action dispatched.</x:v>
      </x:c>
      <x:c r="G63" s="3" t="str">
        <x:v>conversation-invite-output</x:v>
      </x:c>
      <x:c r="H63" s="3" t="str">
        <x:v>E-046</x:v>
      </x:c>
      <x:c r="I63" s="3" t="str">
        <x:v>capsules/chat-room/browser/index.html</x:v>
      </x:c>
      <x:c r="J63" s="14" t="n">
        <x:v>131</x:v>
      </x:c>
      <x:c r="K63" s="3" t="str">
        <x:v>Related dynamic groups: DYN-CHAT-01, DYN-CHAT-07. Same-capsule grouping, not one-to-one execution coverage.</x:v>
      </x:c>
      <x:c r="L63" s="3" t="str">
        <x:v>Markup-defined; conditional visibility Not run</x:v>
      </x:c>
    </x:row>
    <x:row r="64" ht="67.5" customHeight="1">
      <x:c r="A64" s="3" t="str">
        <x:v>CTL-04-027</x:v>
      </x:c>
      <x:c r="B64" s="3" t="str">
        <x:v>chat-room</x:v>
      </x:c>
      <x:c r="C64" s="3" t="str">
        <x:v>Copy</x:v>
      </x:c>
      <x:c r="D64" s="3" t="str">
        <x:v>button / button</x:v>
      </x:c>
      <x:c r="E64" s="13" t="str">
        <x:v>Blocked prerequisite</x:v>
      </x:c>
      <x:c r="F64" s="3" t="str">
        <x:v>Guest/join/access/invite/message actions need a consenting disposable peer or room. Existing Community access and messages are preserved; no action dispatched.</x:v>
      </x:c>
      <x:c r="G64" s="3" t="str">
        <x:v>conversation-invite-copy</x:v>
      </x:c>
      <x:c r="H64" s="3" t="str">
        <x:v>E-046</x:v>
      </x:c>
      <x:c r="I64" s="3" t="str">
        <x:v>capsules/chat-room/browser/index.html</x:v>
      </x:c>
      <x:c r="J64" s="14" t="n">
        <x:v>132</x:v>
      </x:c>
      <x:c r="K64" s="3" t="str">
        <x:v>Related dynamic groups: DYN-CHAT-01, DYN-CHAT-07. Same-capsule grouping, not one-to-one execution coverage.</x:v>
      </x:c>
      <x:c r="L64" s="3" t="str">
        <x:v>Markup-defined; conditional visibility Not run</x:v>
      </x:c>
    </x:row>
    <x:row r="65" ht="63" customHeight="1">
      <x:c r="A65" s="3" t="str">
        <x:v>CTL-05-001</x:v>
      </x:c>
      <x:c r="B65" s="3" t="str">
        <x:v>documents</x:v>
      </x:c>
      <x:c r="C65" s="3" t="str">
        <x:v>New document</x:v>
      </x:c>
      <x:c r="D65" s="3" t="str">
        <x:v>button / button</x:v>
      </x:c>
      <x:c r="E65" s="13" t="str">
        <x:v>Pass</x:v>
      </x:c>
      <x:c r="F65" s="3" t="str">
        <x:v>Audit document created and titled; plain alpha alpha autosaves and Save becomes disabled after completion.</x:v>
      </x:c>
      <x:c r="G65" s="3" t="str">
        <x:v>new-document</x:v>
      </x:c>
      <x:c r="H65" s="3" t="str">
        <x:v>E-045</x:v>
      </x:c>
      <x:c r="I65" s="3" t="str">
        <x:v>capsules/documents/browser/index.html</x:v>
      </x:c>
      <x:c r="J65" s="14" t="n">
        <x:v>1135</x:v>
      </x:c>
      <x:c r="K65" s="3" t="str">
        <x:v>Related dynamic groups: DYN-DOC-09. Same-capsule grouping, not one-to-one execution coverage.</x:v>
      </x:c>
      <x:c r="L65" s="3" t="str">
        <x:v>Markup-defined; conditional visibility Not run</x:v>
      </x:c>
    </x:row>
    <x:row r="66" ht="63" customHeight="1">
      <x:c r="A66" s="3" t="str">
        <x:v>CTL-05-002</x:v>
      </x:c>
      <x:c r="B66" s="3" t="str">
        <x:v>documents</x:v>
      </x:c>
      <x:c r="C66" s="3" t="str">
        <x:v>Search documents</x:v>
      </x:c>
      <x:c r="D66" s="3" t="str">
        <x:v>input / search</x:v>
      </x:c>
      <x:c r="E66" s="13" t="str">
        <x:v>Pass</x:v>
      </x:c>
      <x:c r="F66" s="3" t="str">
        <x:v>a matches the audit document; z shows no matches while preserving the current editor.</x:v>
      </x:c>
      <x:c r="G66" s="3" t="str">
        <x:v>sidebar-search</x:v>
      </x:c>
      <x:c r="H66" s="3" t="str">
        <x:v>E-045</x:v>
      </x:c>
      <x:c r="I66" s="3" t="str">
        <x:v>capsules/documents/browser/index.html</x:v>
      </x:c>
      <x:c r="J66" s="14" t="n">
        <x:v>1136</x:v>
      </x:c>
      <x:c r="K66" s="3" t="str">
        <x:v>Related dynamic groups: DYN-DOC-09. Same-capsule grouping, not one-to-one execution coverage.</x:v>
      </x:c>
      <x:c r="L66" s="3" t="str">
        <x:v>Markup-defined; conditional visibility Not run</x:v>
      </x:c>
    </x:row>
    <x:row r="67" ht="63" customHeight="1">
      <x:c r="A67" s="3" t="str">
        <x:v>CTL-05-003</x:v>
      </x:c>
      <x:c r="B67" s="3" t="str">
        <x:v>documents</x:v>
      </x:c>
      <x:c r="C67" s="3" t="str">
        <x:v>Untitled document</x:v>
      </x:c>
      <x:c r="D67" s="3" t="str">
        <x:v>input / text</x:v>
      </x:c>
      <x:c r="E67" s="13" t="str">
        <x:v>Pass</x:v>
      </x:c>
      <x:c r="F67" s="3" t="str">
        <x:v>Audit document created and titled; plain alpha alpha autosaves and Save becomes disabled after completion.</x:v>
      </x:c>
      <x:c r="G67" s="3" t="str">
        <x:v>title-input</x:v>
      </x:c>
      <x:c r="H67" s="3" t="str">
        <x:v>E-045</x:v>
      </x:c>
      <x:c r="I67" s="3" t="str">
        <x:v>capsules/documents/browser/index.html</x:v>
      </x:c>
      <x:c r="J67" s="14" t="n">
        <x:v>1144</x:v>
      </x:c>
      <x:c r="K67" s="3" t="str">
        <x:v>Related dynamic groups: DYN-DOC-09. Same-capsule grouping, not one-to-one execution coverage.</x:v>
      </x:c>
      <x:c r="L67" s="3" t="str">
        <x:v>Markup-defined; conditional visibility Not run</x:v>
      </x:c>
    </x:row>
    <x:row r="68" ht="63" customHeight="1">
      <x:c r="A68" s="3" t="str">
        <x:v>CTL-05-004</x:v>
      </x:c>
      <x:c r="B68" s="3" t="str">
        <x:v>documents</x:v>
      </x:c>
      <x:c r="C68" s="3" t="str">
        <x:v>Write — edit markdown</x:v>
      </x:c>
      <x:c r="D68" s="3" t="str">
        <x:v>button / button</x:v>
      </x:c>
      <x:c r="E68" s="13" t="str">
        <x:v>Pass</x:v>
      </x:c>
      <x:c r="F68" s="3" t="str">
        <x:v>Write/Split/Read preserve alpha alpha and render matching content.</x:v>
      </x:c>
      <x:c r="G68" s="3" t="str">
        <x:v>mode-write</x:v>
      </x:c>
      <x:c r="H68" s="3" t="str">
        <x:v>E-045</x:v>
      </x:c>
      <x:c r="I68" s="3" t="str">
        <x:v>capsules/documents/browser/index.html</x:v>
      </x:c>
      <x:c r="J68" s="14" t="n">
        <x:v>1148</x:v>
      </x:c>
      <x:c r="K68" s="3" t="str">
        <x:v>Related dynamic groups: DYN-DOC-09. Same-capsule grouping, not one-to-one execution coverage.</x:v>
      </x:c>
      <x:c r="L68" s="3" t="str">
        <x:v>Markup-defined; conditional visibility Not run</x:v>
      </x:c>
    </x:row>
    <x:row r="69" ht="63" customHeight="1">
      <x:c r="A69" s="3" t="str">
        <x:v>CTL-05-005</x:v>
      </x:c>
      <x:c r="B69" s="3" t="str">
        <x:v>documents</x:v>
      </x:c>
      <x:c r="C69" s="3" t="str">
        <x:v>Split — edit and preview</x:v>
      </x:c>
      <x:c r="D69" s="3" t="str">
        <x:v>button / button</x:v>
      </x:c>
      <x:c r="E69" s="13" t="str">
        <x:v>Pass</x:v>
      </x:c>
      <x:c r="F69" s="3" t="str">
        <x:v>Write/Split/Read preserve alpha alpha and render matching content.</x:v>
      </x:c>
      <x:c r="G69" s="3" t="str">
        <x:v>mode-split</x:v>
      </x:c>
      <x:c r="H69" s="3" t="str">
        <x:v>E-045</x:v>
      </x:c>
      <x:c r="I69" s="3" t="str">
        <x:v>capsules/documents/browser/index.html</x:v>
      </x:c>
      <x:c r="J69" s="14" t="n">
        <x:v>1151</x:v>
      </x:c>
      <x:c r="K69" s="3" t="str">
        <x:v>Related dynamic groups: DYN-DOC-09. Same-capsule grouping, not one-to-one execution coverage.</x:v>
      </x:c>
      <x:c r="L69" s="3" t="str">
        <x:v>Markup-defined; conditional visibility Not run</x:v>
      </x:c>
    </x:row>
    <x:row r="70" ht="63" customHeight="1">
      <x:c r="A70" s="3" t="str">
        <x:v>CTL-05-006</x:v>
      </x:c>
      <x:c r="B70" s="3" t="str">
        <x:v>documents</x:v>
      </x:c>
      <x:c r="C70" s="3" t="str">
        <x:v>Read — preview only</x:v>
      </x:c>
      <x:c r="D70" s="3" t="str">
        <x:v>button / button</x:v>
      </x:c>
      <x:c r="E70" s="13" t="str">
        <x:v>Pass</x:v>
      </x:c>
      <x:c r="F70" s="3" t="str">
        <x:v>Write/Split/Read preserve alpha alpha and render matching content.</x:v>
      </x:c>
      <x:c r="G70" s="3" t="str">
        <x:v>mode-read</x:v>
      </x:c>
      <x:c r="H70" s="3" t="str">
        <x:v>E-045</x:v>
      </x:c>
      <x:c r="I70" s="3" t="str">
        <x:v>capsules/documents/browser/index.html</x:v>
      </x:c>
      <x:c r="J70" s="14" t="n">
        <x:v>1154</x:v>
      </x:c>
      <x:c r="K70" s="3" t="str">
        <x:v>Related dynamic groups: DYN-DOC-09. Same-capsule grouping, not one-to-one execution coverage.</x:v>
      </x:c>
      <x:c r="L70" s="3" t="str">
        <x:v>Markup-defined; conditional visibility Not run</x:v>
      </x:c>
    </x:row>
    <x:row r="71" ht="63" customHeight="1">
      <x:c r="A71" s="3" t="str">
        <x:v>CTL-05-007</x:v>
      </x:c>
      <x:c r="B71" s="3" t="str">
        <x:v>documents</x:v>
      </x:c>
      <x:c r="C71" s="3" t="str">
        <x:v>Save</x:v>
      </x:c>
      <x:c r="D71" s="3" t="str">
        <x:v>button / button</x:v>
      </x:c>
      <x:c r="E71" s="13" t="str">
        <x:v>Pass</x:v>
      </x:c>
      <x:c r="F71" s="3" t="str">
        <x:v>Audit document created and titled; plain alpha alpha autosaves and Save becomes disabled after completion.</x:v>
      </x:c>
      <x:c r="G71" s="3" t="str">
        <x:v>save-button</x:v>
      </x:c>
      <x:c r="H71" s="3" t="str">
        <x:v>E-045</x:v>
      </x:c>
      <x:c r="I71" s="3" t="str">
        <x:v>capsules/documents/browser/index.html</x:v>
      </x:c>
      <x:c r="J71" s="14" t="n">
        <x:v>1159</x:v>
      </x:c>
      <x:c r="K71" s="3" t="str">
        <x:v>Related dynamic groups: DYN-DOC-09. Same-capsule grouping, not one-to-one execution coverage.</x:v>
      </x:c>
      <x:c r="L71" s="3" t="str">
        <x:v>Markup-defined; conditional visibility Not run</x:v>
      </x:c>
    </x:row>
    <x:row r="72" ht="67.5" customHeight="1">
      <x:c r="A72" s="3" t="str">
        <x:v>CTL-05-008</x:v>
      </x:c>
      <x:c r="B72" s="3" t="str">
        <x:v>documents</x:v>
      </x:c>
      <x:c r="C72" s="3" t="str">
        <x:v>Save as</x:v>
      </x:c>
      <x:c r="D72" s="3" t="str">
        <x:v>button / button</x:v>
      </x:c>
      <x:c r="E72" s="13" t="str">
        <x:v>Pass</x:v>
      </x:c>
      <x:c r="F72" s="3" t="str">
        <x:v>Save As accepts a separate title and filename. Create with collision filename au.md makes au-2.md with the same 70-byte body and preserves the original. Verified in E-062.</x:v>
      </x:c>
      <x:c r="G72" s="3" t="str">
        <x:v>save-as-button</x:v>
      </x:c>
      <x:c r="H72" s="3" t="str">
        <x:v>E-045; E-062</x:v>
      </x:c>
      <x:c r="I72" s="3" t="str">
        <x:v>capsules/documents/browser/index.html</x:v>
      </x:c>
      <x:c r="J72" s="14" t="n">
        <x:v>1162</x:v>
      </x:c>
      <x:c r="K72" s="3" t="str">
        <x:v>Related dynamic groups: DYN-DOC-09. Same-capsule grouping, not one-to-one execution coverage.</x:v>
      </x:c>
      <x:c r="L72" s="3" t="str">
        <x:v>Markup-defined; conditional visibility Not run</x:v>
      </x:c>
    </x:row>
    <x:row r="73" ht="81" customHeight="1">
      <x:c r="A73" s="3" t="str">
        <x:v>CTL-05-009</x:v>
      </x:c>
      <x:c r="B73" s="3" t="str">
        <x:v>documents</x:v>
      </x:c>
      <x:c r="C73" s="3" t="str">
        <x:v>Publish</x:v>
      </x:c>
      <x:c r="D73" s="3" t="str">
        <x:v>button / button</x:v>
      </x:c>
      <x:c r="E73" s="13" t="str">
        <x:v>Blocked prerequisite</x:v>
      </x:c>
      <x:c r="F73" s="3" t="str">
        <x:v>Publication/unpublication/copy-published-link and destructive confirm need an approved published/disposable fixture. No remote content action or destructive confirmation executed.</x:v>
      </x:c>
      <x:c r="G73" s="3" t="str">
        <x:v>publish-button</x:v>
      </x:c>
      <x:c r="H73" s="3" t="str">
        <x:v>E-045</x:v>
      </x:c>
      <x:c r="I73" s="3" t="str">
        <x:v>capsules/documents/browser/index.html</x:v>
      </x:c>
      <x:c r="J73" s="14" t="n">
        <x:v>1165</x:v>
      </x:c>
      <x:c r="K73" s="3" t="str">
        <x:v>Related dynamic groups: DYN-DOC-09. Same-capsule grouping, not one-to-one execution coverage.</x:v>
      </x:c>
      <x:c r="L73" s="3" t="str">
        <x:v>Markup-defined; conditional visibility Not run</x:v>
      </x:c>
    </x:row>
    <x:row r="74" ht="81" customHeight="1">
      <x:c r="A74" s="3" t="str">
        <x:v>CTL-05-010</x:v>
      </x:c>
      <x:c r="B74" s="3" t="str">
        <x:v>documents</x:v>
      </x:c>
      <x:c r="C74" s="3" t="str">
        <x:v>Unpublish</x:v>
      </x:c>
      <x:c r="D74" s="3" t="str">
        <x:v>button / button</x:v>
      </x:c>
      <x:c r="E74" s="13" t="str">
        <x:v>Blocked prerequisite</x:v>
      </x:c>
      <x:c r="F74" s="3" t="str">
        <x:v>Publication/unpublication/copy-published-link and destructive confirm need an approved published/disposable fixture. No remote content action or destructive confirmation executed.</x:v>
      </x:c>
      <x:c r="G74" s="3" t="str">
        <x:v>unpublish-button</x:v>
      </x:c>
      <x:c r="H74" s="3" t="str">
        <x:v>E-045</x:v>
      </x:c>
      <x:c r="I74" s="3" t="str">
        <x:v>capsules/documents/browser/index.html</x:v>
      </x:c>
      <x:c r="J74" s="14" t="n">
        <x:v>1168</x:v>
      </x:c>
      <x:c r="K74" s="3" t="str">
        <x:v>Related dynamic groups: DYN-DOC-09. Same-capsule grouping, not one-to-one execution coverage.</x:v>
      </x:c>
      <x:c r="L74" s="3" t="str">
        <x:v>Markup-defined; conditional visibility Not run</x:v>
      </x:c>
    </x:row>
    <x:row r="75" ht="81" customHeight="1">
      <x:c r="A75" s="3" t="str">
        <x:v>CTL-05-011</x:v>
      </x:c>
      <x:c r="B75" s="3" t="str">
        <x:v>documents</x:v>
      </x:c>
      <x:c r="C75" s="3" t="str">
        <x:v>Copy Published Link</x:v>
      </x:c>
      <x:c r="D75" s="3" t="str">
        <x:v>button / button</x:v>
      </x:c>
      <x:c r="E75" s="13" t="str">
        <x:v>Blocked prerequisite</x:v>
      </x:c>
      <x:c r="F75" s="3" t="str">
        <x:v>Publication/unpublication/copy-published-link and destructive confirm need an approved published/disposable fixture. No remote content action or destructive confirmation executed.</x:v>
      </x:c>
      <x:c r="G75" s="3" t="str">
        <x:v>copy-published-link</x:v>
      </x:c>
      <x:c r="H75" s="3" t="str">
        <x:v>E-045</x:v>
      </x:c>
      <x:c r="I75" s="3" t="str">
        <x:v>capsules/documents/browser/index.html</x:v>
      </x:c>
      <x:c r="J75" s="14" t="n">
        <x:v>1173</x:v>
      </x:c>
      <x:c r="K75" s="3" t="str">
        <x:v>Related dynamic groups: DYN-DOC-09. Same-capsule grouping, not one-to-one execution coverage.</x:v>
      </x:c>
      <x:c r="L75" s="3" t="str">
        <x:v>Markup-defined; conditional visibility Not run</x:v>
      </x:c>
    </x:row>
    <x:row r="76" ht="63" customHeight="1">
      <x:c r="A76" s="3" t="str">
        <x:v>CTL-05-012</x:v>
      </x:c>
      <x:c r="B76" s="3" t="str">
        <x:v>documents</x:v>
      </x:c>
      <x:c r="C76" s="3" t="str">
        <x:v>Delete</x:v>
      </x:c>
      <x:c r="D76" s="3" t="str">
        <x:v>button / button</x:v>
      </x:c>
      <x:c r="E76" s="13" t="str">
        <x:v>Partially observed</x:v>
      </x:c>
      <x:c r="F76" s="3" t="str">
        <x:v>Delete previews the exact audit document name; Cancel preserves it. Permanent deletion was not accepted.</x:v>
      </x:c>
      <x:c r="G76" s="3" t="str">
        <x:v>delete-button</x:v>
      </x:c>
      <x:c r="H76" s="3" t="str">
        <x:v>E-045</x:v>
      </x:c>
      <x:c r="I76" s="3" t="str">
        <x:v>capsules/documents/browser/index.html</x:v>
      </x:c>
      <x:c r="J76" s="14" t="n">
        <x:v>1176</x:v>
      </x:c>
      <x:c r="K76" s="3" t="str">
        <x:v>Related dynamic groups: DYN-DOC-09. Same-capsule grouping, not one-to-one execution coverage.</x:v>
      </x:c>
      <x:c r="L76" s="3" t="str">
        <x:v>Markup-defined; conditional visibility Not run</x:v>
      </x:c>
    </x:row>
    <x:row r="77" ht="63" customHeight="1">
      <x:c r="A77" s="3" t="str">
        <x:v>CTL-05-013</x:v>
      </x:c>
      <x:c r="B77" s="3" t="str">
        <x:v>documents</x:v>
      </x:c>
      <x:c r="C77" s="3" t="str">
        <x:v>Hide list</x:v>
      </x:c>
      <x:c r="D77" s="3" t="str">
        <x:v>button / button</x:v>
      </x:c>
      <x:c r="E77" s="13" t="str">
        <x:v>Pass</x:v>
      </x:c>
      <x:c r="F77" s="3" t="str">
        <x:v>Hide list and Show list preserve current selection.</x:v>
      </x:c>
      <x:c r="G77" s="3" t="str">
        <x:v>sidebar-toggle</x:v>
      </x:c>
      <x:c r="H77" s="3" t="str">
        <x:v>E-045</x:v>
      </x:c>
      <x:c r="I77" s="3" t="str">
        <x:v>capsules/documents/browser/index.html</x:v>
      </x:c>
      <x:c r="J77" s="14" t="n">
        <x:v>1179</x:v>
      </x:c>
      <x:c r="K77" s="3" t="str">
        <x:v>Related dynamic groups: DYN-DOC-09. Same-capsule grouping, not one-to-one execution coverage.</x:v>
      </x:c>
      <x:c r="L77" s="3" t="str">
        <x:v>Markup-defined; conditional visibility Not run</x:v>
      </x:c>
    </x:row>
    <x:row r="78" ht="63" customHeight="1">
      <x:c r="A78" s="3" t="str">
        <x:v>CTL-05-014</x:v>
      </x:c>
      <x:c r="B78" s="3" t="str">
        <x:v>documents</x:v>
      </x:c>
      <x:c r="C78" s="3" t="str">
        <x:v>Find</x:v>
      </x:c>
      <x:c r="D78" s="3" t="str">
        <x:v>input / search</x:v>
      </x:c>
      <x:c r="E78" s="13" t="str">
        <x:v>Pass</x:v>
      </x:c>
      <x:c r="F78" s="3" t="str">
        <x:v>Find alpha shows1/2; Next2/2; Previous1/2; absent text0/0; Close removes find bar.</x:v>
      </x:c>
      <x:c r="G78" s="3" t="str">
        <x:v>find-input</x:v>
      </x:c>
      <x:c r="H78" s="3" t="str">
        <x:v>E-045</x:v>
      </x:c>
      <x:c r="I78" s="3" t="str">
        <x:v>capsules/documents/browser/index.html</x:v>
      </x:c>
      <x:c r="J78" s="14" t="n">
        <x:v>1191</x:v>
      </x:c>
      <x:c r="K78" s="3" t="str">
        <x:v>Related dynamic groups: DYN-DOC-09. Same-capsule grouping, not one-to-one execution coverage.</x:v>
      </x:c>
      <x:c r="L78" s="3" t="str">
        <x:v>Markup-defined; conditional visibility Not run</x:v>
      </x:c>
    </x:row>
    <x:row r="79" ht="63" customHeight="1">
      <x:c r="A79" s="3" t="str">
        <x:v>CTL-05-015</x:v>
      </x:c>
      <x:c r="B79" s="3" t="str">
        <x:v>documents</x:v>
      </x:c>
      <x:c r="C79" s="3" t="str">
        <x:v>Previous match</x:v>
      </x:c>
      <x:c r="D79" s="3" t="str">
        <x:v>button / button</x:v>
      </x:c>
      <x:c r="E79" s="13" t="str">
        <x:v>Pass</x:v>
      </x:c>
      <x:c r="F79" s="3" t="str">
        <x:v>Find alpha shows1/2; Next2/2; Previous1/2; absent text0/0; Close removes find bar.</x:v>
      </x:c>
      <x:c r="G79" s="3" t="str">
        <x:v>find-prev</x:v>
      </x:c>
      <x:c r="H79" s="3" t="str">
        <x:v>E-045</x:v>
      </x:c>
      <x:c r="I79" s="3" t="str">
        <x:v>capsules/documents/browser/index.html</x:v>
      </x:c>
      <x:c r="J79" s="14" t="n">
        <x:v>1194</x:v>
      </x:c>
      <x:c r="K79" s="3" t="str">
        <x:v>Related dynamic groups: DYN-DOC-09. Same-capsule grouping, not one-to-one execution coverage.</x:v>
      </x:c>
      <x:c r="L79" s="3" t="str">
        <x:v>Markup-defined; conditional visibility Not run</x:v>
      </x:c>
    </x:row>
    <x:row r="80" ht="63" customHeight="1">
      <x:c r="A80" s="3" t="str">
        <x:v>CTL-05-016</x:v>
      </x:c>
      <x:c r="B80" s="3" t="str">
        <x:v>documents</x:v>
      </x:c>
      <x:c r="C80" s="3" t="str">
        <x:v>Next match</x:v>
      </x:c>
      <x:c r="D80" s="3" t="str">
        <x:v>button / button</x:v>
      </x:c>
      <x:c r="E80" s="13" t="str">
        <x:v>Pass</x:v>
      </x:c>
      <x:c r="F80" s="3" t="str">
        <x:v>Find alpha shows1/2; Next2/2; Previous1/2; absent text0/0; Close removes find bar.</x:v>
      </x:c>
      <x:c r="G80" s="3" t="str">
        <x:v>find-next</x:v>
      </x:c>
      <x:c r="H80" s="3" t="str">
        <x:v>E-045</x:v>
      </x:c>
      <x:c r="I80" s="3" t="str">
        <x:v>capsules/documents/browser/index.html</x:v>
      </x:c>
      <x:c r="J80" s="14" t="n">
        <x:v>1197</x:v>
      </x:c>
      <x:c r="K80" s="3" t="str">
        <x:v>Related dynamic groups: DYN-DOC-09. Same-capsule grouping, not one-to-one execution coverage.</x:v>
      </x:c>
      <x:c r="L80" s="3" t="str">
        <x:v>Markup-defined; conditional visibility Not run</x:v>
      </x:c>
    </x:row>
    <x:row r="81" ht="63" customHeight="1">
      <x:c r="A81" s="3" t="str">
        <x:v>CTL-05-017</x:v>
      </x:c>
      <x:c r="B81" s="3" t="str">
        <x:v>documents</x:v>
      </x:c>
      <x:c r="C81" s="3" t="str">
        <x:v>Close find</x:v>
      </x:c>
      <x:c r="D81" s="3" t="str">
        <x:v>button / button</x:v>
      </x:c>
      <x:c r="E81" s="13" t="str">
        <x:v>Pass</x:v>
      </x:c>
      <x:c r="F81" s="3" t="str">
        <x:v>Find alpha shows1/2; Next2/2; Previous1/2; absent text0/0; Close removes find bar.</x:v>
      </x:c>
      <x:c r="G81" s="3" t="str">
        <x:v>find-close</x:v>
      </x:c>
      <x:c r="H81" s="3" t="str">
        <x:v>E-045</x:v>
      </x:c>
      <x:c r="I81" s="3" t="str">
        <x:v>capsules/documents/browser/index.html</x:v>
      </x:c>
      <x:c r="J81" s="14" t="n">
        <x:v>1200</x:v>
      </x:c>
      <x:c r="K81" s="3" t="str">
        <x:v>Related dynamic groups: DYN-DOC-09. Same-capsule grouping, not one-to-one execution coverage.</x:v>
      </x:c>
      <x:c r="L81" s="3" t="str">
        <x:v>Markup-defined; conditional visibility Not run</x:v>
      </x:c>
    </x:row>
    <x:row r="82" ht="81" customHeight="1">
      <x:c r="A82" s="3" t="str">
        <x:v>CTL-05-018</x:v>
      </x:c>
      <x:c r="B82" s="3" t="str">
        <x:v>documents</x:v>
      </x:c>
      <x:c r="C82" s="3" t="str">
        <x:v># Start writing</x:v>
      </x:c>
      <x:c r="D82" s="3" t="str">
        <x:v>textarea</x:v>
      </x:c>
      <x:c r="E82" s="13" t="str">
        <x:v>Pass</x:v>
      </x:c>
      <x:c r="F82" s="3" t="str">
        <x:v>The repaired Markdown editor accepts incremental headings and checked tasks, autosaves, and reopens the exact audit body. F-23 is verified; F-45 is a separate rendered-link parsing issue.</x:v>
      </x:c>
      <x:c r="G82" s="3" t="str">
        <x:v>editor</x:v>
      </x:c>
      <x:c r="H82" s="3" t="str">
        <x:v>E-045; E-056</x:v>
      </x:c>
      <x:c r="I82" s="3" t="str">
        <x:v>capsules/documents/browser/index.html</x:v>
      </x:c>
      <x:c r="J82" s="14" t="n">
        <x:v>1212</x:v>
      </x:c>
      <x:c r="K82" s="3" t="str">
        <x:v>Related dynamic groups: DYN-DOC-09. Same-capsule grouping, not one-to-one execution coverage.</x:v>
      </x:c>
      <x:c r="L82" s="3" t="str">
        <x:v>Markup-defined; conditional visibility Not run</x:v>
      </x:c>
    </x:row>
    <x:row r="83" ht="67.5" customHeight="1">
      <x:c r="A83" s="3" t="str">
        <x:v>CTL-05-019</x:v>
      </x:c>
      <x:c r="B83" s="3" t="str">
        <x:v>documents</x:v>
      </x:c>
      <x:c r="C83" s="3" t="str">
        <x:v>Preview</x:v>
      </x:c>
      <x:c r="D83" s="3" t="str">
        <x:v>button / button</x:v>
      </x:c>
      <x:c r="E83" s="13" t="str">
        <x:v>Pass</x:v>
      </x:c>
      <x:c r="F83" s="3" t="str">
        <x:v>Preview renders the audit headings and checked task, and Write/Split/Read preserve the content. F-45 remains a separate balanced-link parsing issue.</x:v>
      </x:c>
      <x:c r="G83" s="3" t="str">
        <x:v>pane-preview</x:v>
      </x:c>
      <x:c r="H83" s="3" t="str">
        <x:v>E-045; E-056</x:v>
      </x:c>
      <x:c r="I83" s="3" t="str">
        <x:v>capsules/documents/browser/index.html</x:v>
      </x:c>
      <x:c r="J83" s="14" t="n">
        <x:v>1219</x:v>
      </x:c>
      <x:c r="K83" s="3" t="str">
        <x:v>Related dynamic groups: DYN-DOC-09. Same-capsule grouping, not one-to-one execution coverage.</x:v>
      </x:c>
      <x:c r="L83" s="3" t="str">
        <x:v>Markup-defined; conditional visibility Not run</x:v>
      </x:c>
    </x:row>
    <x:row r="84" ht="63" customHeight="1">
      <x:c r="A84" s="3" t="str">
        <x:v>CTL-05-020</x:v>
      </x:c>
      <x:c r="B84" s="3" t="str">
        <x:v>documents</x:v>
      </x:c>
      <x:c r="C84" s="3" t="str">
        <x:v>Outline</x:v>
      </x:c>
      <x:c r="D84" s="3" t="str">
        <x:v>button / button</x:v>
      </x:c>
      <x:c r="E84" s="13" t="str">
        <x:v>Pass</x:v>
      </x:c>
      <x:c r="F84" s="3" t="str">
        <x:v>Outline lists H1 Audit and H2 Section; its section link activates inside the app.</x:v>
      </x:c>
      <x:c r="G84" s="3" t="str">
        <x:v>pane-outline</x:v>
      </x:c>
      <x:c r="H84" s="3" t="str">
        <x:v>E-045; E-056</x:v>
      </x:c>
      <x:c r="I84" s="3" t="str">
        <x:v>capsules/documents/browser/index.html</x:v>
      </x:c>
      <x:c r="J84" s="14" t="n">
        <x:v>1220</x:v>
      </x:c>
      <x:c r="K84" s="3" t="str">
        <x:v>Related dynamic groups: DYN-DOC-09. Same-capsule grouping, not one-to-one execution coverage.</x:v>
      </x:c>
      <x:c r="L84" s="3" t="str">
        <x:v>Markup-defined; conditional visibility Not run</x:v>
      </x:c>
    </x:row>
    <x:row r="85" ht="67.5" customHeight="1">
      <x:c r="A85" s="3" t="str">
        <x:v>CTL-05-021</x:v>
      </x:c>
      <x:c r="B85" s="3" t="str">
        <x:v>documents</x:v>
      </x:c>
      <x:c r="C85" s="3" t="str">
        <x:v>History</x:v>
      </x:c>
      <x:c r="D85" s="3" t="str">
        <x:v>button / button</x:v>
      </x:c>
      <x:c r="E85" s="13" t="str">
        <x:v>Partially observed</x:v>
      </x:c>
      <x:c r="F85" s="3" t="str">
        <x:v>History opens and reports No published revisions for the private audit document. A published revision fixture remains required for selection testing.</x:v>
      </x:c>
      <x:c r="G85" s="3" t="str">
        <x:v>pane-history</x:v>
      </x:c>
      <x:c r="H85" s="3" t="str">
        <x:v>E-045</x:v>
      </x:c>
      <x:c r="I85" s="3" t="str">
        <x:v>capsules/documents/browser/index.html</x:v>
      </x:c>
      <x:c r="J85" s="14" t="n">
        <x:v>1221</x:v>
      </x:c>
      <x:c r="K85" s="3" t="str">
        <x:v>Related dynamic groups: DYN-DOC-09. Same-capsule grouping, not one-to-one execution coverage.</x:v>
      </x:c>
      <x:c r="L85" s="3" t="str">
        <x:v>Markup-defined; conditional visibility Not run</x:v>
      </x:c>
    </x:row>
    <x:row r="86" ht="67.5" customHeight="1">
      <x:c r="A86" s="3" t="str">
        <x:v>CTL-05-022</x:v>
      </x:c>
      <x:c r="B86" s="3" t="str">
        <x:v>documents</x:v>
      </x:c>
      <x:c r="C86" s="3" t="str">
        <x:v>Document title</x:v>
      </x:c>
      <x:c r="D86" s="3" t="str">
        <x:v>input / text</x:v>
      </x:c>
      <x:c r="E86" s="13" t="str">
        <x:v>Pass</x:v>
      </x:c>
      <x:c r="F86" s="3" t="str">
        <x:v>Save As accepts a separate title and filename. Create with collision filename au.md makes au-2.md with the same 70-byte body and preserves the original. Verified in E-062.</x:v>
      </x:c>
      <x:c r="G86" s="3" t="str">
        <x:v>save-as-title-input</x:v>
      </x:c>
      <x:c r="H86" s="3" t="str">
        <x:v>E-045; E-062</x:v>
      </x:c>
      <x:c r="I86" s="3" t="str">
        <x:v>capsules/documents/browser/index.html</x:v>
      </x:c>
      <x:c r="J86" s="14" t="n">
        <x:v>1268</x:v>
      </x:c>
      <x:c r="K86" s="3" t="str">
        <x:v>Related dynamic groups: DYN-DOC-09. Same-capsule grouping, not one-to-one execution coverage.</x:v>
      </x:c>
      <x:c r="L86" s="3" t="str">
        <x:v>Markup-defined; conditional visibility Not run</x:v>
      </x:c>
    </x:row>
    <x:row r="87" ht="67.5" customHeight="1">
      <x:c r="A87" s="3" t="str">
        <x:v>CTL-05-023</x:v>
      </x:c>
      <x:c r="B87" s="3" t="str">
        <x:v>documents</x:v>
      </x:c>
      <x:c r="C87" s="3" t="str">
        <x:v>untitled.md</x:v>
      </x:c>
      <x:c r="D87" s="3" t="str">
        <x:v>input / text</x:v>
      </x:c>
      <x:c r="E87" s="13" t="str">
        <x:v>Pass</x:v>
      </x:c>
      <x:c r="F87" s="3" t="str">
        <x:v>Save As accepts a separate title and filename. Create with collision filename au.md makes au-2.md with the same 70-byte body and preserves the original. Verified in E-062.</x:v>
      </x:c>
      <x:c r="G87" s="3" t="str">
        <x:v>save-as-file-input</x:v>
      </x:c>
      <x:c r="H87" s="3" t="str">
        <x:v>E-045; E-062</x:v>
      </x:c>
      <x:c r="I87" s="3" t="str">
        <x:v>capsules/documents/browser/index.html</x:v>
      </x:c>
      <x:c r="J87" s="14" t="n">
        <x:v>1272</x:v>
      </x:c>
      <x:c r="K87" s="3" t="str">
        <x:v>Related dynamic groups: DYN-DOC-09. Same-capsule grouping, not one-to-one execution coverage.</x:v>
      </x:c>
      <x:c r="L87" s="3" t="str">
        <x:v>Markup-defined; conditional visibility Not run</x:v>
      </x:c>
    </x:row>
    <x:row r="88" ht="63" customHeight="1">
      <x:c r="A88" s="3" t="str">
        <x:v>CTL-05-024</x:v>
      </x:c>
      <x:c r="B88" s="3" t="str">
        <x:v>documents</x:v>
      </x:c>
      <x:c r="C88" s="3" t="str">
        <x:v>Cancel</x:v>
      </x:c>
      <x:c r="D88" s="3" t="str">
        <x:v>button / button</x:v>
      </x:c>
      <x:c r="E88" s="13" t="str">
        <x:v>Pass</x:v>
      </x:c>
      <x:c r="F88" s="3" t="str">
        <x:v>Save As Cancel preserves the selected audit document and creates no copy.</x:v>
      </x:c>
      <x:c r="G88" s="3" t="str">
        <x:v>save-as-cancel</x:v>
      </x:c>
      <x:c r="H88" s="3" t="str">
        <x:v>E-045</x:v>
      </x:c>
      <x:c r="I88" s="3" t="str">
        <x:v>capsules/documents/browser/index.html</x:v>
      </x:c>
      <x:c r="J88" s="14" t="n">
        <x:v>1276</x:v>
      </x:c>
      <x:c r="K88" s="3" t="str">
        <x:v>Related dynamic groups: DYN-DOC-09. Same-capsule grouping, not one-to-one execution coverage.</x:v>
      </x:c>
      <x:c r="L88" s="3" t="str">
        <x:v>Markup-defined; conditional visibility Not run</x:v>
      </x:c>
    </x:row>
    <x:row r="89" ht="67.5" customHeight="1">
      <x:c r="A89" s="3" t="str">
        <x:v>CTL-05-025</x:v>
      </x:c>
      <x:c r="B89" s="3" t="str">
        <x:v>documents</x:v>
      </x:c>
      <x:c r="C89" s="3" t="str">
        <x:v>Create</x:v>
      </x:c>
      <x:c r="D89" s="3" t="str">
        <x:v>button / submit</x:v>
      </x:c>
      <x:c r="E89" s="13" t="str">
        <x:v>Pass</x:v>
      </x:c>
      <x:c r="F89" s="3" t="str">
        <x:v>Save As accepts a separate title and filename. Create with collision filename au.md makes au-2.md with the same 70-byte body and preserves the original. Verified in E-062.</x:v>
      </x:c>
      <x:c r="G89" s="3" t="str"/>
      <x:c r="H89" s="3" t="str">
        <x:v>E-045; E-062</x:v>
      </x:c>
      <x:c r="I89" s="3" t="str">
        <x:v>capsules/documents/browser/index.html</x:v>
      </x:c>
      <x:c r="J89" s="14" t="n">
        <x:v>1277</x:v>
      </x:c>
      <x:c r="K89" s="3" t="str">
        <x:v>Related dynamic groups: DYN-DOC-09. Same-capsule grouping, not one-to-one execution coverage.</x:v>
      </x:c>
      <x:c r="L89" s="3" t="str">
        <x:v>Markup-defined; conditional visibility Not run</x:v>
      </x:c>
    </x:row>
    <x:row r="90" ht="67.5" customHeight="1">
      <x:c r="A90" s="3" t="str">
        <x:v>CTL-05-026</x:v>
      </x:c>
      <x:c r="B90" s="3" t="str">
        <x:v>documents</x:v>
      </x:c>
      <x:c r="C90" s="3" t="str">
        <x:v>Cancel</x:v>
      </x:c>
      <x:c r="D90" s="3" t="str">
        <x:v>button / button</x:v>
      </x:c>
      <x:c r="E90" s="13" t="str">
        <x:v>Pass</x:v>
      </x:c>
      <x:c r="F90" s="3" t="str">
        <x:v>Cancel on the close decision keeps the edited audit document open and resumes its autosave. Delete confirmation Cancel also preserved the named audit copy.</x:v>
      </x:c>
      <x:c r="G90" s="3" t="str">
        <x:v>confirm-cancel</x:v>
      </x:c>
      <x:c r="H90" s="3" t="str">
        <x:v>E-045; E-081</x:v>
      </x:c>
      <x:c r="I90" s="3" t="str">
        <x:v>capsules/documents/browser/index.html</x:v>
      </x:c>
      <x:c r="J90" s="14" t="n">
        <x:v>1288</x:v>
      </x:c>
      <x:c r="K90" s="3" t="str">
        <x:v>Related dynamic groups: DYN-DOC-09. Same-capsule grouping, not one-to-one execution coverage.</x:v>
      </x:c>
      <x:c r="L90" s="3" t="str">
        <x:v>Markup-defined; conditional visibility Not run</x:v>
      </x:c>
    </x:row>
    <x:row r="91" ht="67.5" customHeight="1">
      <x:c r="A91" s="3" t="str">
        <x:v>CTL-05-027</x:v>
      </x:c>
      <x:c r="B91" s="3" t="str">
        <x:v>documents</x:v>
      </x:c>
      <x:c r="C91" s="3" t="str">
        <x:v>Continue</x:v>
      </x:c>
      <x:c r="D91" s="3" t="str">
        <x:v>button / button</x:v>
      </x:c>
      <x:c r="E91" s="13" t="str">
        <x:v>Partially observed</x:v>
      </x:c>
      <x:c r="F91" s="3" t="str">
        <x:v>The shared confirmation action saves the audit copy before Home closes it. Publication and permanent deletion confirmations remain outside this audit's consent.</x:v>
      </x:c>
      <x:c r="G91" s="3" t="str">
        <x:v>confirm-action</x:v>
      </x:c>
      <x:c r="H91" s="3" t="str">
        <x:v>E-045; E-081</x:v>
      </x:c>
      <x:c r="I91" s="3" t="str">
        <x:v>capsules/documents/browser/index.html</x:v>
      </x:c>
      <x:c r="J91" s="14" t="n">
        <x:v>1289</x:v>
      </x:c>
      <x:c r="K91" s="3" t="str">
        <x:v>Related dynamic groups: DYN-DOC-09. Same-capsule grouping, not one-to-one execution coverage.</x:v>
      </x:c>
      <x:c r="L91" s="3" t="str">
        <x:v>Markup-defined; conditional visibility Not run</x:v>
      </x:c>
    </x:row>
    <x:row r="92" ht="63" customHeight="1">
      <x:c r="A92" s="3" t="str">
        <x:v>CTL-07-001</x:v>
      </x:c>
      <x:c r="B92" s="3" t="str">
        <x:v>gba-emulator</x:v>
      </x:c>
      <x:c r="C92" s="3" t="str">
        <x:v>Open Library to choose a GBA game</x:v>
      </x:c>
      <x:c r="D92" s="3" t="str">
        <x:v>div</x:v>
      </x:c>
      <x:c r="E92" s="13" t="str">
        <x:v>Fail</x:v>
      </x:c>
      <x:c r="F92" s="3" t="str">
        <x:v>Dedicated Library action works, but Space on an installed-ROM child activates Library instead of that ROM.F-42.</x:v>
      </x:c>
      <x:c r="G92" s="3" t="str">
        <x:v>drop-zone</x:v>
      </x:c>
      <x:c r="H92" s="3" t="str">
        <x:v>E-052</x:v>
      </x:c>
      <x:c r="I92" s="3" t="str">
        <x:v>capsules/gba-emulator/browser/index.html</x:v>
      </x:c>
      <x:c r="J92" s="14" t="n">
        <x:v>20</x:v>
      </x:c>
      <x:c r="K92" s="3" t="str">
        <x:v>Related dynamic groups: . Same-capsule grouping, not one-to-one execution coverage.</x:v>
      </x:c>
      <x:c r="L92" s="3" t="str">
        <x:v>Markup-defined; conditional visibility Not run</x:v>
      </x:c>
    </x:row>
    <x:row r="93" ht="67.5" customHeight="1">
      <x:c r="A93" s="3" t="str">
        <x:v>CTL-07-002</x:v>
      </x:c>
      <x:c r="B93" s="3" t="str">
        <x:v>gba-emulator</x:v>
      </x:c>
      <x:c r="C93" s="3" t="str">
        <x:v>L button, keyboard A</x:v>
      </x:c>
      <x:c r="D93" s="3" t="str">
        <x:v>button</x:v>
      </x:c>
      <x:c r="E93" s="13" t="str">
        <x:v>Partially observed</x:v>
      </x:c>
      <x:c r="F93" s="3" t="str">
        <x:v>Virtual controls are visible with a running game canvas. Short synthetic input pulse did not prove a game-state response; sustained input remains unverified.</x:v>
      </x:c>
      <x:c r="G93" s="3" t="str">
        <x:v>btn-l</x:v>
      </x:c>
      <x:c r="H93" s="3" t="str">
        <x:v>E-052</x:v>
      </x:c>
      <x:c r="I93" s="3" t="str">
        <x:v>capsules/gba-emulator/browser/index.html</x:v>
      </x:c>
      <x:c r="J93" s="14" t="n">
        <x:v>39</x:v>
      </x:c>
      <x:c r="K93" s="3" t="str">
        <x:v>Related dynamic groups: . Same-capsule grouping, not one-to-one execution coverage.</x:v>
      </x:c>
      <x:c r="L93" s="3" t="str">
        <x:v>Markup-defined; conditional visibility Not run</x:v>
      </x:c>
    </x:row>
    <x:row r="94" ht="67.5" customHeight="1">
      <x:c r="A94" s="3" t="str">
        <x:v>CTL-07-003</x:v>
      </x:c>
      <x:c r="B94" s="3" t="str">
        <x:v>gba-emulator</x:v>
      </x:c>
      <x:c r="C94" s="3" t="str">
        <x:v>R button, keyboard S</x:v>
      </x:c>
      <x:c r="D94" s="3" t="str">
        <x:v>button</x:v>
      </x:c>
      <x:c r="E94" s="13" t="str">
        <x:v>Partially observed</x:v>
      </x:c>
      <x:c r="F94" s="3" t="str">
        <x:v>Virtual controls are visible with a running game canvas. Short synthetic input pulse did not prove a game-state response; sustained input remains unverified.</x:v>
      </x:c>
      <x:c r="G94" s="3" t="str">
        <x:v>btn-r</x:v>
      </x:c>
      <x:c r="H94" s="3" t="str">
        <x:v>E-052</x:v>
      </x:c>
      <x:c r="I94" s="3" t="str">
        <x:v>capsules/gba-emulator/browser/index.html</x:v>
      </x:c>
      <x:c r="J94" s="14" t="n">
        <x:v>43</x:v>
      </x:c>
      <x:c r="K94" s="3" t="str">
        <x:v>Related dynamic groups: . Same-capsule grouping, not one-to-one execution coverage.</x:v>
      </x:c>
      <x:c r="L94" s="3" t="str">
        <x:v>Markup-defined; conditional visibility Not run</x:v>
      </x:c>
    </x:row>
    <x:row r="95" ht="67.5" customHeight="1">
      <x:c r="A95" s="3" t="str">
        <x:v>CTL-07-004</x:v>
      </x:c>
      <x:c r="B95" s="3" t="str">
        <x:v>gba-emulator</x:v>
      </x:c>
      <x:c r="C95" s="3" t="str">
        <x:v>D-pad up, keyboard Arrow Up</x:v>
      </x:c>
      <x:c r="D95" s="3" t="str">
        <x:v>button</x:v>
      </x:c>
      <x:c r="E95" s="13" t="str">
        <x:v>Partially observed</x:v>
      </x:c>
      <x:c r="F95" s="3" t="str">
        <x:v>Virtual controls are visible with a running game canvas. Short synthetic input pulse did not prove a game-state response; sustained input remains unverified.</x:v>
      </x:c>
      <x:c r="G95" s="3" t="str">
        <x:v>btn-dpad-up</x:v>
      </x:c>
      <x:c r="H95" s="3" t="str">
        <x:v>E-052</x:v>
      </x:c>
      <x:c r="I95" s="3" t="str">
        <x:v>capsules/gba-emulator/browser/index.html</x:v>
      </x:c>
      <x:c r="J95" s="14" t="n">
        <x:v>51</x:v>
      </x:c>
      <x:c r="K95" s="3" t="str">
        <x:v>Related dynamic groups: . Same-capsule grouping, not one-to-one execution coverage.</x:v>
      </x:c>
      <x:c r="L95" s="3" t="str">
        <x:v>Markup-defined; conditional visibility Not run</x:v>
      </x:c>
    </x:row>
    <x:row r="96" ht="67.5" customHeight="1">
      <x:c r="A96" s="3" t="str">
        <x:v>CTL-07-005</x:v>
      </x:c>
      <x:c r="B96" s="3" t="str">
        <x:v>gba-emulator</x:v>
      </x:c>
      <x:c r="C96" s="3" t="str">
        <x:v>D-pad left, keyboard Arrow Left</x:v>
      </x:c>
      <x:c r="D96" s="3" t="str">
        <x:v>button</x:v>
      </x:c>
      <x:c r="E96" s="13" t="str">
        <x:v>Partially observed</x:v>
      </x:c>
      <x:c r="F96" s="3" t="str">
        <x:v>Virtual controls are visible with a running game canvas. Short synthetic input pulse did not prove a game-state response; sustained input remains unverified.</x:v>
      </x:c>
      <x:c r="G96" s="3" t="str">
        <x:v>btn-dpad-left</x:v>
      </x:c>
      <x:c r="H96" s="3" t="str">
        <x:v>E-052</x:v>
      </x:c>
      <x:c r="I96" s="3" t="str">
        <x:v>capsules/gba-emulator/browser/index.html</x:v>
      </x:c>
      <x:c r="J96" s="14" t="n">
        <x:v>55</x:v>
      </x:c>
      <x:c r="K96" s="3" t="str">
        <x:v>Related dynamic groups: . Same-capsule grouping, not one-to-one execution coverage.</x:v>
      </x:c>
      <x:c r="L96" s="3" t="str">
        <x:v>Markup-defined; conditional visibility Not run</x:v>
      </x:c>
    </x:row>
    <x:row r="97" ht="67.5" customHeight="1">
      <x:c r="A97" s="3" t="str">
        <x:v>CTL-07-006</x:v>
      </x:c>
      <x:c r="B97" s="3" t="str">
        <x:v>gba-emulator</x:v>
      </x:c>
      <x:c r="C97" s="3" t="str">
        <x:v>btn-dpad-center</x:v>
      </x:c>
      <x:c r="D97" s="3" t="str">
        <x:v>button / button</x:v>
      </x:c>
      <x:c r="E97" s="13" t="str">
        <x:v>Partially observed</x:v>
      </x:c>
      <x:c r="F97" s="3" t="str">
        <x:v>Virtual controls are visible with a running game canvas. Short synthetic input pulse did not prove a game-state response; sustained input remains unverified.</x:v>
      </x:c>
      <x:c r="G97" s="3" t="str">
        <x:v>btn-dpad-center</x:v>
      </x:c>
      <x:c r="H97" s="3" t="str">
        <x:v>E-052</x:v>
      </x:c>
      <x:c r="I97" s="3" t="str">
        <x:v>capsules/gba-emulator/browser/index.html</x:v>
      </x:c>
      <x:c r="J97" s="14" t="n">
        <x:v>58</x:v>
      </x:c>
      <x:c r="K97" s="3" t="str">
        <x:v>Related dynamic groups: . Same-capsule grouping, not one-to-one execution coverage.</x:v>
      </x:c>
      <x:c r="L97" s="3" t="str">
        <x:v>Markup-defined; conditional visibility Not run</x:v>
      </x:c>
    </x:row>
    <x:row r="98" ht="67.5" customHeight="1">
      <x:c r="A98" s="3" t="str">
        <x:v>CTL-07-007</x:v>
      </x:c>
      <x:c r="B98" s="3" t="str">
        <x:v>gba-emulator</x:v>
      </x:c>
      <x:c r="C98" s="3" t="str">
        <x:v>D-pad right, keyboard Arrow Right</x:v>
      </x:c>
      <x:c r="D98" s="3" t="str">
        <x:v>button</x:v>
      </x:c>
      <x:c r="E98" s="13" t="str">
        <x:v>Partially observed</x:v>
      </x:c>
      <x:c r="F98" s="3" t="str">
        <x:v>Virtual controls are visible with a running game canvas. Short synthetic input pulse did not prove a game-state response; sustained input remains unverified.</x:v>
      </x:c>
      <x:c r="G98" s="3" t="str">
        <x:v>btn-dpad-right</x:v>
      </x:c>
      <x:c r="H98" s="3" t="str">
        <x:v>E-052</x:v>
      </x:c>
      <x:c r="I98" s="3" t="str">
        <x:v>capsules/gba-emulator/browser/index.html</x:v>
      </x:c>
      <x:c r="J98" s="14" t="n">
        <x:v>59</x:v>
      </x:c>
      <x:c r="K98" s="3" t="str">
        <x:v>Related dynamic groups: . Same-capsule grouping, not one-to-one execution coverage.</x:v>
      </x:c>
      <x:c r="L98" s="3" t="str">
        <x:v>Markup-defined; conditional visibility Not run</x:v>
      </x:c>
    </x:row>
    <x:row r="99" ht="67.5" customHeight="1">
      <x:c r="A99" s="3" t="str">
        <x:v>CTL-07-008</x:v>
      </x:c>
      <x:c r="B99" s="3" t="str">
        <x:v>gba-emulator</x:v>
      </x:c>
      <x:c r="C99" s="3" t="str">
        <x:v>D-pad down, keyboard Arrow Down</x:v>
      </x:c>
      <x:c r="D99" s="3" t="str">
        <x:v>button</x:v>
      </x:c>
      <x:c r="E99" s="13" t="str">
        <x:v>Partially observed</x:v>
      </x:c>
      <x:c r="F99" s="3" t="str">
        <x:v>Virtual controls are visible with a running game canvas. Short synthetic input pulse did not prove a game-state response; sustained input remains unverified.</x:v>
      </x:c>
      <x:c r="G99" s="3" t="str">
        <x:v>btn-dpad-down</x:v>
      </x:c>
      <x:c r="H99" s="3" t="str">
        <x:v>E-052</x:v>
      </x:c>
      <x:c r="I99" s="3" t="str">
        <x:v>capsules/gba-emulator/browser/index.html</x:v>
      </x:c>
      <x:c r="J99" s="14" t="n">
        <x:v>63</x:v>
      </x:c>
      <x:c r="K99" s="3" t="str">
        <x:v>Related dynamic groups: . Same-capsule grouping, not one-to-one execution coverage.</x:v>
      </x:c>
      <x:c r="L99" s="3" t="str">
        <x:v>Markup-defined; conditional visibility Not run</x:v>
      </x:c>
    </x:row>
    <x:row r="100" ht="67.5" customHeight="1">
      <x:c r="A100" s="3" t="str">
        <x:v>CTL-07-009</x:v>
      </x:c>
      <x:c r="B100" s="3" t="str">
        <x:v>gba-emulator</x:v>
      </x:c>
      <x:c r="C100" s="3" t="str">
        <x:v>Select button, keyboard Backspace</x:v>
      </x:c>
      <x:c r="D100" s="3" t="str">
        <x:v>button</x:v>
      </x:c>
      <x:c r="E100" s="13" t="str">
        <x:v>Partially observed</x:v>
      </x:c>
      <x:c r="F100" s="3" t="str">
        <x:v>Virtual controls are visible with a running game canvas. Short synthetic input pulse did not prove a game-state response; sustained input remains unverified.</x:v>
      </x:c>
      <x:c r="G100" s="3" t="str">
        <x:v>btn-select</x:v>
      </x:c>
      <x:c r="H100" s="3" t="str">
        <x:v>E-052</x:v>
      </x:c>
      <x:c r="I100" s="3" t="str">
        <x:v>capsules/gba-emulator/browser/index.html</x:v>
      </x:c>
      <x:c r="J100" s="14" t="n">
        <x:v>69</x:v>
      </x:c>
      <x:c r="K100" s="3" t="str">
        <x:v>Related dynamic groups: . Same-capsule grouping, not one-to-one execution coverage.</x:v>
      </x:c>
      <x:c r="L100" s="3" t="str">
        <x:v>Markup-defined; conditional visibility Not run</x:v>
      </x:c>
    </x:row>
    <x:row r="101" ht="67.5" customHeight="1">
      <x:c r="A101" s="3" t="str">
        <x:v>CTL-07-010</x:v>
      </x:c>
      <x:c r="B101" s="3" t="str">
        <x:v>gba-emulator</x:v>
      </x:c>
      <x:c r="C101" s="3" t="str">
        <x:v>Start button, keyboard Enter</x:v>
      </x:c>
      <x:c r="D101" s="3" t="str">
        <x:v>button</x:v>
      </x:c>
      <x:c r="E101" s="13" t="str">
        <x:v>Partially observed</x:v>
      </x:c>
      <x:c r="F101" s="3" t="str">
        <x:v>Virtual controls are visible with a running game canvas. Short synthetic input pulse did not prove a game-state response; sustained input remains unverified.</x:v>
      </x:c>
      <x:c r="G101" s="3" t="str">
        <x:v>btn-start</x:v>
      </x:c>
      <x:c r="H101" s="3" t="str">
        <x:v>E-052</x:v>
      </x:c>
      <x:c r="I101" s="3" t="str">
        <x:v>capsules/gba-emulator/browser/index.html</x:v>
      </x:c>
      <x:c r="J101" s="14" t="n">
        <x:v>73</x:v>
      </x:c>
      <x:c r="K101" s="3" t="str">
        <x:v>Related dynamic groups: . Same-capsule grouping, not one-to-one execution coverage.</x:v>
      </x:c>
      <x:c r="L101" s="3" t="str">
        <x:v>Markup-defined; conditional visibility Not run</x:v>
      </x:c>
    </x:row>
    <x:row r="102" ht="67.5" customHeight="1">
      <x:c r="A102" s="3" t="str">
        <x:v>CTL-07-011</x:v>
      </x:c>
      <x:c r="B102" s="3" t="str">
        <x:v>gba-emulator</x:v>
      </x:c>
      <x:c r="C102" s="3" t="str">
        <x:v>B button, keyboard Z</x:v>
      </x:c>
      <x:c r="D102" s="3" t="str">
        <x:v>button</x:v>
      </x:c>
      <x:c r="E102" s="13" t="str">
        <x:v>Partially observed</x:v>
      </x:c>
      <x:c r="F102" s="3" t="str">
        <x:v>Virtual controls are visible with a running game canvas. Short synthetic input pulse did not prove a game-state response; sustained input remains unverified.</x:v>
      </x:c>
      <x:c r="G102" s="3" t="str">
        <x:v>btn-b</x:v>
      </x:c>
      <x:c r="H102" s="3" t="str">
        <x:v>E-052</x:v>
      </x:c>
      <x:c r="I102" s="3" t="str">
        <x:v>capsules/gba-emulator/browser/index.html</x:v>
      </x:c>
      <x:c r="J102" s="14" t="n">
        <x:v>80</x:v>
      </x:c>
      <x:c r="K102" s="3" t="str">
        <x:v>Related dynamic groups: . Same-capsule grouping, not one-to-one execution coverage.</x:v>
      </x:c>
      <x:c r="L102" s="3" t="str">
        <x:v>Markup-defined; conditional visibility Not run</x:v>
      </x:c>
    </x:row>
    <x:row r="103" ht="67.5" customHeight="1">
      <x:c r="A103" s="3" t="str">
        <x:v>CTL-07-012</x:v>
      </x:c>
      <x:c r="B103" s="3" t="str">
        <x:v>gba-emulator</x:v>
      </x:c>
      <x:c r="C103" s="3" t="str">
        <x:v>A button, keyboard X</x:v>
      </x:c>
      <x:c r="D103" s="3" t="str">
        <x:v>button</x:v>
      </x:c>
      <x:c r="E103" s="13" t="str">
        <x:v>Partially observed</x:v>
      </x:c>
      <x:c r="F103" s="3" t="str">
        <x:v>Virtual controls are visible with a running game canvas. Short synthetic input pulse did not prove a game-state response; sustained input remains unverified.</x:v>
      </x:c>
      <x:c r="G103" s="3" t="str">
        <x:v>btn-a</x:v>
      </x:c>
      <x:c r="H103" s="3" t="str">
        <x:v>E-052</x:v>
      </x:c>
      <x:c r="I103" s="3" t="str">
        <x:v>capsules/gba-emulator/browser/index.html</x:v>
      </x:c>
      <x:c r="J103" s="14" t="n">
        <x:v>84</x:v>
      </x:c>
      <x:c r="K103" s="3" t="str">
        <x:v>Related dynamic groups: . Same-capsule grouping, not one-to-one execution coverage.</x:v>
      </x:c>
      <x:c r="L103" s="3" t="str">
        <x:v>Markup-defined; conditional visibility Not run</x:v>
      </x:c>
    </x:row>
    <x:row r="104" ht="63" customHeight="1">
      <x:c r="A104" s="3" t="str">
        <x:v>CTL-07-013</x:v>
      </x:c>
      <x:c r="B104" s="3" t="str">
        <x:v>gba-emulator</x:v>
      </x:c>
      <x:c r="C104" s="3" t="str">
        <x:v>Pause</x:v>
      </x:c>
      <x:c r="D104" s="3" t="str">
        <x:v>button / button</x:v>
      </x:c>
      <x:c r="E104" s="13" t="str">
        <x:v>Fail</x:v>
      </x:c>
      <x:c r="F104" s="3" t="str">
        <x:v>Pause/Resume work with Space; Enter on Pause is intercepted by game key handler.F-39.</x:v>
      </x:c>
      <x:c r="G104" s="3" t="str">
        <x:v>btn-pause</x:v>
      </x:c>
      <x:c r="H104" s="3" t="str">
        <x:v>E-052</x:v>
      </x:c>
      <x:c r="I104" s="3" t="str">
        <x:v>capsules/gba-emulator/browser/index.html</x:v>
      </x:c>
      <x:c r="J104" s="14" t="n">
        <x:v>100</x:v>
      </x:c>
      <x:c r="K104" s="3" t="str">
        <x:v>Related dynamic groups: . Same-capsule grouping, not one-to-one execution coverage.</x:v>
      </x:c>
      <x:c r="L104" s="3" t="str">
        <x:v>Markup-defined; conditional visibility Not run</x:v>
      </x:c>
    </x:row>
    <x:row r="105" ht="63" customHeight="1">
      <x:c r="A105" s="3" t="str">
        <x:v>CTL-07-014</x:v>
      </x:c>
      <x:c r="B105" s="3" t="str">
        <x:v>gba-emulator</x:v>
      </x:c>
      <x:c r="C105" s="3" t="str">
        <x:v>Fast Forward</x:v>
      </x:c>
      <x:c r="D105" s="3" t="str">
        <x:v>button / button</x:v>
      </x:c>
      <x:c r="E105" s="13" t="str">
        <x:v>Fail</x:v>
      </x:c>
      <x:c r="F105" s="3" t="str">
        <x:v>Fast Forward toggles on/off visually but lacks accessible pressed/speed state.F-40.</x:v>
      </x:c>
      <x:c r="G105" s="3" t="str">
        <x:v>btn-ff</x:v>
      </x:c>
      <x:c r="H105" s="3" t="str">
        <x:v>E-052</x:v>
      </x:c>
      <x:c r="I105" s="3" t="str">
        <x:v>capsules/gba-emulator/browser/index.html</x:v>
      </x:c>
      <x:c r="J105" s="14" t="n">
        <x:v>103</x:v>
      </x:c>
      <x:c r="K105" s="3" t="str">
        <x:v>Related dynamic groups: . Same-capsule grouping, not one-to-one execution coverage.</x:v>
      </x:c>
      <x:c r="L105" s="3" t="str">
        <x:v>Markup-defined; conditional visibility Not run</x:v>
      </x:c>
    </x:row>
    <x:row r="106" ht="67.5" customHeight="1">
      <x:c r="A106" s="3" t="str">
        <x:v>CTL-07-015</x:v>
      </x:c>
      <x:c r="B106" s="3" t="str">
        <x:v>gba-emulator</x:v>
      </x:c>
      <x:c r="C106" s="3" t="str">
        <x:v>Fullscreen</x:v>
      </x:c>
      <x:c r="D106" s="3" t="str">
        <x:v>button / button</x:v>
      </x:c>
      <x:c r="E106" s="13" t="str">
        <x:v>Partially observed</x:v>
      </x:c>
      <x:c r="F106" s="3" t="str">
        <x:v>Fullscreen expands game and updates Exit fullscreen label. Synthetic Escape did not exit; same-Home navigation restored view. Native exit proof remains tool-limited.</x:v>
      </x:c>
      <x:c r="G106" s="3" t="str">
        <x:v>btn-fullscreen</x:v>
      </x:c>
      <x:c r="H106" s="3" t="str">
        <x:v>E-052</x:v>
      </x:c>
      <x:c r="I106" s="3" t="str">
        <x:v>capsules/gba-emulator/browser/index.html</x:v>
      </x:c>
      <x:c r="J106" s="14" t="n">
        <x:v>106</x:v>
      </x:c>
      <x:c r="K106" s="3" t="str">
        <x:v>Related dynamic groups: . Same-capsule grouping, not one-to-one execution coverage.</x:v>
      </x:c>
      <x:c r="L106" s="3" t="str">
        <x:v>Markup-defined; conditional visibility Not run</x:v>
      </x:c>
    </x:row>
    <x:row r="107" ht="63" customHeight="1">
      <x:c r="A107" s="3" t="str">
        <x:v>CTL-07-016</x:v>
      </x:c>
      <x:c r="B107" s="3" t="str">
        <x:v>gba-emulator</x:v>
      </x:c>
      <x:c r="C107" s="3" t="str">
        <x:v>Volume</x:v>
      </x:c>
      <x:c r="D107" s="3" t="str">
        <x:v>input / range</x:v>
      </x:c>
      <x:c r="E107" s="13" t="str">
        <x:v>Fail</x:v>
      </x:c>
      <x:c r="F107" s="3" t="str">
        <x:v>ArrowRight on focused Volume leaves it at50 because global game handler prevents range input behavior.F-39.</x:v>
      </x:c>
      <x:c r="G107" s="3" t="str">
        <x:v>volume-slider</x:v>
      </x:c>
      <x:c r="H107" s="3" t="str">
        <x:v>E-052</x:v>
      </x:c>
      <x:c r="I107" s="3" t="str">
        <x:v>capsules/gba-emulator/browser/index.html</x:v>
      </x:c>
      <x:c r="J107" s="14" t="n">
        <x:v>112</x:v>
      </x:c>
      <x:c r="K107" s="3" t="str">
        <x:v>Related dynamic groups: . Same-capsule grouping, not one-to-one execution coverage.</x:v>
      </x:c>
      <x:c r="L107" s="3" t="str">
        <x:v>Markup-defined; conditional visibility Not run</x:v>
      </x:c>
    </x:row>
    <x:row r="108" ht="67.5" customHeight="1">
      <x:c r="A108" s="3" t="str">
        <x:v>CTL-07-017</x:v>
      </x:c>
      <x:c r="B108" s="3" t="str">
        <x:v>gba-emulator</x:v>
      </x:c>
      <x:c r="C108" s="3" t="str">
        <x:v>Save state slot 1</x:v>
      </x:c>
      <x:c r="D108" s="3" t="str">
        <x:v>button</x:v>
      </x:c>
      <x:c r="E108" s="13" t="str">
        <x:v>Blocked prerequisite</x:v>
      </x:c>
      <x:c r="F108" s="3" t="str">
        <x:v>Slots1/2 were initially empty and preserved. Only initially empty Slot3 was allocated to the audit; additional state slots were not written.</x:v>
      </x:c>
      <x:c r="G108" s="3" t="str">
        <x:v>btn-save1</x:v>
      </x:c>
      <x:c r="H108" s="3" t="str">
        <x:v>E-052</x:v>
      </x:c>
      <x:c r="I108" s="3" t="str">
        <x:v>capsules/gba-emulator/browser/index.html</x:v>
      </x:c>
      <x:c r="J108" s="14" t="n">
        <x:v>125</x:v>
      </x:c>
      <x:c r="K108" s="3" t="str">
        <x:v>Related dynamic groups: . Same-capsule grouping, not one-to-one execution coverage.</x:v>
      </x:c>
      <x:c r="L108" s="3" t="str">
        <x:v>Markup-defined; conditional visibility Not run</x:v>
      </x:c>
    </x:row>
    <x:row r="109" ht="67.5" customHeight="1">
      <x:c r="A109" s="3" t="str">
        <x:v>CTL-07-018</x:v>
      </x:c>
      <x:c r="B109" s="3" t="str">
        <x:v>gba-emulator</x:v>
      </x:c>
      <x:c r="C109" s="3" t="str">
        <x:v>Load state slot 1</x:v>
      </x:c>
      <x:c r="D109" s="3" t="str">
        <x:v>button</x:v>
      </x:c>
      <x:c r="E109" s="13" t="str">
        <x:v>Blocked prerequisite</x:v>
      </x:c>
      <x:c r="F109" s="3" t="str">
        <x:v>Slots1/2 were initially empty and preserved. Only initially empty Slot3 was allocated to the audit; additional state slots were not written.</x:v>
      </x:c>
      <x:c r="G109" s="3" t="str">
        <x:v>btn-load1</x:v>
      </x:c>
      <x:c r="H109" s="3" t="str">
        <x:v>E-052</x:v>
      </x:c>
      <x:c r="I109" s="3" t="str">
        <x:v>capsules/gba-emulator/browser/index.html</x:v>
      </x:c>
      <x:c r="J109" s="14" t="n">
        <x:v>126</x:v>
      </x:c>
      <x:c r="K109" s="3" t="str">
        <x:v>Related dynamic groups: . Same-capsule grouping, not one-to-one execution coverage.</x:v>
      </x:c>
      <x:c r="L109" s="3" t="str">
        <x:v>Markup-defined; conditional visibility Not run</x:v>
      </x:c>
    </x:row>
    <x:row r="110" ht="67.5" customHeight="1">
      <x:c r="A110" s="3" t="str">
        <x:v>CTL-07-019</x:v>
      </x:c>
      <x:c r="B110" s="3" t="str">
        <x:v>gba-emulator</x:v>
      </x:c>
      <x:c r="C110" s="3" t="str">
        <x:v>Save state slot 2</x:v>
      </x:c>
      <x:c r="D110" s="3" t="str">
        <x:v>button</x:v>
      </x:c>
      <x:c r="E110" s="13" t="str">
        <x:v>Blocked prerequisite</x:v>
      </x:c>
      <x:c r="F110" s="3" t="str">
        <x:v>Slots1/2 were initially empty and preserved. Only initially empty Slot3 was allocated to the audit; additional state slots were not written.</x:v>
      </x:c>
      <x:c r="G110" s="3" t="str">
        <x:v>btn-save2</x:v>
      </x:c>
      <x:c r="H110" s="3" t="str">
        <x:v>E-052</x:v>
      </x:c>
      <x:c r="I110" s="3" t="str">
        <x:v>capsules/gba-emulator/browser/index.html</x:v>
      </x:c>
      <x:c r="J110" s="14" t="n">
        <x:v>135</x:v>
      </x:c>
      <x:c r="K110" s="3" t="str">
        <x:v>Related dynamic groups: . Same-capsule grouping, not one-to-one execution coverage.</x:v>
      </x:c>
      <x:c r="L110" s="3" t="str">
        <x:v>Markup-defined; conditional visibility Not run</x:v>
      </x:c>
    </x:row>
    <x:row r="111" ht="67.5" customHeight="1">
      <x:c r="A111" s="3" t="str">
        <x:v>CTL-07-020</x:v>
      </x:c>
      <x:c r="B111" s="3" t="str">
        <x:v>gba-emulator</x:v>
      </x:c>
      <x:c r="C111" s="3" t="str">
        <x:v>Load state slot 2</x:v>
      </x:c>
      <x:c r="D111" s="3" t="str">
        <x:v>button</x:v>
      </x:c>
      <x:c r="E111" s="13" t="str">
        <x:v>Blocked prerequisite</x:v>
      </x:c>
      <x:c r="F111" s="3" t="str">
        <x:v>Slots1/2 were initially empty and preserved. Only initially empty Slot3 was allocated to the audit; additional state slots were not written.</x:v>
      </x:c>
      <x:c r="G111" s="3" t="str">
        <x:v>btn-load2</x:v>
      </x:c>
      <x:c r="H111" s="3" t="str">
        <x:v>E-052</x:v>
      </x:c>
      <x:c r="I111" s="3" t="str">
        <x:v>capsules/gba-emulator/browser/index.html</x:v>
      </x:c>
      <x:c r="J111" s="14" t="n">
        <x:v>136</x:v>
      </x:c>
      <x:c r="K111" s="3" t="str">
        <x:v>Related dynamic groups: . Same-capsule grouping, not one-to-one execution coverage.</x:v>
      </x:c>
      <x:c r="L111" s="3" t="str">
        <x:v>Markup-defined; conditional visibility Not run</x:v>
      </x:c>
    </x:row>
    <x:row r="112" ht="63" customHeight="1">
      <x:c r="A112" s="3" t="str">
        <x:v>CTL-07-021</x:v>
      </x:c>
      <x:c r="B112" s="3" t="str">
        <x:v>gba-emulator</x:v>
      </x:c>
      <x:c r="C112" s="3" t="str">
        <x:v>Save state slot 3</x:v>
      </x:c>
      <x:c r="D112" s="3" t="str">
        <x:v>button</x:v>
      </x:c>
      <x:c r="E112" s="13" t="str">
        <x:v>Pass</x:v>
      </x:c>
      <x:c r="F112" s="3" t="str">
        <x:v>Nonogram Slot3 Save and Load succeed, Saved survives Home reload, and Load again reports State3loaded. uCity slots remain Empty.</x:v>
      </x:c>
      <x:c r="G112" s="3" t="str">
        <x:v>btn-save3</x:v>
      </x:c>
      <x:c r="H112" s="3" t="str">
        <x:v>E-052</x:v>
      </x:c>
      <x:c r="I112" s="3" t="str">
        <x:v>capsules/gba-emulator/browser/index.html</x:v>
      </x:c>
      <x:c r="J112" s="14" t="n">
        <x:v>145</x:v>
      </x:c>
      <x:c r="K112" s="3" t="str">
        <x:v>Related dynamic groups: . Same-capsule grouping, not one-to-one execution coverage.</x:v>
      </x:c>
      <x:c r="L112" s="3" t="str">
        <x:v>Markup-defined; conditional visibility Not run</x:v>
      </x:c>
    </x:row>
    <x:row r="113" ht="63" customHeight="1">
      <x:c r="A113" s="3" t="str">
        <x:v>CTL-07-022</x:v>
      </x:c>
      <x:c r="B113" s="3" t="str">
        <x:v>gba-emulator</x:v>
      </x:c>
      <x:c r="C113" s="3" t="str">
        <x:v>Load state slot 3</x:v>
      </x:c>
      <x:c r="D113" s="3" t="str">
        <x:v>button</x:v>
      </x:c>
      <x:c r="E113" s="13" t="str">
        <x:v>Pass</x:v>
      </x:c>
      <x:c r="F113" s="3" t="str">
        <x:v>Nonogram Slot3 Save and Load succeed, Saved survives Home reload, and Load again reports State3loaded. uCity slots remain Empty.</x:v>
      </x:c>
      <x:c r="G113" s="3" t="str">
        <x:v>btn-load3</x:v>
      </x:c>
      <x:c r="H113" s="3" t="str">
        <x:v>E-052</x:v>
      </x:c>
      <x:c r="I113" s="3" t="str">
        <x:v>capsules/gba-emulator/browser/index.html</x:v>
      </x:c>
      <x:c r="J113" s="14" t="n">
        <x:v>146</x:v>
      </x:c>
      <x:c r="K113" s="3" t="str">
        <x:v>Related dynamic groups: . Same-capsule grouping, not one-to-one execution coverage.</x:v>
      </x:c>
      <x:c r="L113" s="3" t="str">
        <x:v>Markup-defined; conditional visibility Not run</x:v>
      </x:c>
    </x:row>
    <x:row r="114" ht="67.5" customHeight="1">
      <x:c r="A114" s="3" t="str">
        <x:v>CTL-08-001</x:v>
      </x:c>
      <x:c r="B114" s="3" t="str">
        <x:v>home</x:v>
      </x:c>
      <x:c r="C114" s="3" t="str">
        <x:v>Desktop</x:v>
      </x:c>
      <x:c r="D114" s="3" t="str">
        <x:v>button / button</x:v>
      </x:c>
      <x:c r="E114" s="13" t="str">
        <x:v>Pass</x:v>
      </x:c>
      <x:c r="F114" s="3" t="str">
        <x:v>E096 actual Desktop recovery returns to signed-in Home GUI without403 on installed0018ef0d. Normal direct shell transition remains F44.</x:v>
      </x:c>
      <x:c r="G114" s="3" t="str">
        <x:v>shell-host-recovery-home</x:v>
      </x:c>
      <x:c r="H114" s="3" t="str">
        <x:v>E-054; E-056; E-076; E-093; E-096</x:v>
      </x:c>
      <x:c r="I114" s="3" t="str">
        <x:v>capsules/home/browser/index.html</x:v>
      </x:c>
      <x:c r="J114" s="14" t="n">
        <x:v>45</x:v>
      </x:c>
      <x:c r="K114" s="3" t="str">
        <x:v>Related dynamic groups: . Same-capsule grouping, not one-to-one execution coverage.</x:v>
      </x:c>
      <x:c r="L114" s="3" t="str">
        <x:v>Markup-defined; conditional visibility Not run</x:v>
      </x:c>
    </x:row>
    <x:row r="115" ht="67.5" customHeight="1">
      <x:c r="A115" s="3" t="str">
        <x:v>CTL-08-002</x:v>
      </x:c>
      <x:c r="B115" s="3" t="str">
        <x:v>home</x:v>
      </x:c>
      <x:c r="C115" s="3" t="str">
        <x:v>Reload</x:v>
      </x:c>
      <x:c r="D115" s="3" t="str">
        <x:v>button / button</x:v>
      </x:c>
      <x:c r="E115" s="13" t="str">
        <x:v>Pass</x:v>
      </x:c>
      <x:c r="F115" s="3" t="str">
        <x:v>E093 activates the actual host recovery Reload button. It restores the selected Terminal and Desktop without sign-out or identity changes.</x:v>
      </x:c>
      <x:c r="G115" s="3" t="str">
        <x:v>shell-host-recovery-reload</x:v>
      </x:c>
      <x:c r="H115" s="3" t="str">
        <x:v>E-054; E-056; E-076; E-093</x:v>
      </x:c>
      <x:c r="I115" s="3" t="str">
        <x:v>capsules/home/browser/index.html</x:v>
      </x:c>
      <x:c r="J115" s="14" t="n">
        <x:v>48</x:v>
      </x:c>
      <x:c r="K115" s="3" t="str">
        <x:v>Related dynamic groups: . Same-capsule grouping, not one-to-one execution coverage.</x:v>
      </x:c>
      <x:c r="L115" s="3" t="str">
        <x:v>Markup-defined; conditional visibility Not run</x:v>
      </x:c>
    </x:row>
    <x:row r="116" ht="63" customHeight="1">
      <x:c r="A116" s="3" t="str">
        <x:v>CTL-08-003</x:v>
      </x:c>
      <x:c r="B116" s="3" t="str">
        <x:v>home</x:v>
      </x:c>
      <x:c r="C116" s="3" t="str">
        <x:v>Sign out</x:v>
      </x:c>
      <x:c r="D116" s="3" t="str">
        <x:v>button / button</x:v>
      </x:c>
      <x:c r="E116" s="13" t="str">
        <x:v>Blocked prerequisite</x:v>
      </x:c>
      <x:c r="F116" s="3" t="str">
        <x:v>Signed-in existing account is preserved. Sign-out/fresh-account/passkey controls need an isolated user-approved identity fixture.</x:v>
      </x:c>
      <x:c r="G116" s="3" t="str">
        <x:v>shell-host-recovery-sign-out</x:v>
      </x:c>
      <x:c r="H116" s="3" t="str">
        <x:v>E-043; E-054</x:v>
      </x:c>
      <x:c r="I116" s="3" t="str">
        <x:v>capsules/home/browser/index.html</x:v>
      </x:c>
      <x:c r="J116" s="14" t="n">
        <x:v>51</x:v>
      </x:c>
      <x:c r="K116" s="3" t="str">
        <x:v>Related dynamic groups: . Same-capsule grouping, not one-to-one execution coverage.</x:v>
      </x:c>
      <x:c r="L116" s="3" t="str">
        <x:v>Markup-defined; conditional visibility Not run</x:v>
      </x:c>
    </x:row>
    <x:row r="117" ht="63" customHeight="1">
      <x:c r="A117" s="3" t="str">
        <x:v>CTL-08-004</x:v>
      </x:c>
      <x:c r="B117" s="3" t="str">
        <x:v>home</x:v>
      </x:c>
      <x:c r="C117" s="3" t="str">
        <x:v>e</x:v>
      </x:c>
      <x:c r="D117" s="3" t="str">
        <x:v>button / button</x:v>
      </x:c>
      <x:c r="E117" s="13" t="str">
        <x:v>Blocked prerequisite</x:v>
      </x:c>
      <x:c r="F117" s="3" t="str">
        <x:v>Signed-in existing account is preserved. Sign-out/fresh-account/passkey controls need an isolated user-approved identity fixture.</x:v>
      </x:c>
      <x:c r="G117" s="3" t="str">
        <x:v>home-unlock-person</x:v>
      </x:c>
      <x:c r="H117" s="3" t="str">
        <x:v>E-043; E-054</x:v>
      </x:c>
      <x:c r="I117" s="3" t="str">
        <x:v>capsules/home/browser/index.html</x:v>
      </x:c>
      <x:c r="J117" s="14" t="n">
        <x:v>74</x:v>
      </x:c>
      <x:c r="K117" s="3" t="str">
        <x:v>Related dynamic groups: . Same-capsule grouping, not one-to-one execution coverage.</x:v>
      </x:c>
      <x:c r="L117" s="3" t="str">
        <x:v>Markup-defined; conditional visibility Not run</x:v>
      </x:c>
    </x:row>
    <x:row r="118" ht="63" customHeight="1">
      <x:c r="A118" s="3" t="str">
        <x:v>CTL-08-005</x:v>
      </x:c>
      <x:c r="B118" s="3" t="str">
        <x:v>home</x:v>
      </x:c>
      <x:c r="C118" s="3" t="str">
        <x:v>Your name</x:v>
      </x:c>
      <x:c r="D118" s="3" t="str">
        <x:v>input / text</x:v>
      </x:c>
      <x:c r="E118" s="13" t="str">
        <x:v>Blocked prerequisite</x:v>
      </x:c>
      <x:c r="F118" s="3" t="str">
        <x:v>Signed-in existing account is preserved. Sign-out/fresh-account/passkey controls need an isolated user-approved identity fixture.</x:v>
      </x:c>
      <x:c r="G118" s="3" t="str">
        <x:v>home-unlock-name</x:v>
      </x:c>
      <x:c r="H118" s="3" t="str">
        <x:v>E-043; E-054</x:v>
      </x:c>
      <x:c r="I118" s="3" t="str">
        <x:v>capsules/home/browser/index.html</x:v>
      </x:c>
      <x:c r="J118" s="14" t="n">
        <x:v>87</x:v>
      </x:c>
      <x:c r="K118" s="3" t="str">
        <x:v>Related dynamic groups: . Same-capsule grouping, not one-to-one execution coverage.</x:v>
      </x:c>
      <x:c r="L118" s="3" t="str">
        <x:v>Markup-defined; conditional visibility Not run</x:v>
      </x:c>
    </x:row>
    <x:row r="119" ht="63" customHeight="1">
      <x:c r="A119" s="3" t="str">
        <x:v>CTL-08-006</x:v>
      </x:c>
      <x:c r="B119" s="3" t="str">
        <x:v>home</x:v>
      </x:c>
      <x:c r="C119" s="3" t="str">
        <x:v>Use passkey</x:v>
      </x:c>
      <x:c r="D119" s="3" t="str">
        <x:v>button / button</x:v>
      </x:c>
      <x:c r="E119" s="13" t="str">
        <x:v>Blocked prerequisite</x:v>
      </x:c>
      <x:c r="F119" s="3" t="str">
        <x:v>Signed-in existing account is preserved. Sign-out/fresh-account/passkey controls need an isolated user-approved identity fixture.</x:v>
      </x:c>
      <x:c r="G119" s="3" t="str">
        <x:v>home-unlock-primary</x:v>
      </x:c>
      <x:c r="H119" s="3" t="str">
        <x:v>E-043; E-054</x:v>
      </x:c>
      <x:c r="I119" s="3" t="str">
        <x:v>capsules/home/browser/index.html</x:v>
      </x:c>
      <x:c r="J119" s="14" t="n">
        <x:v>97</x:v>
      </x:c>
      <x:c r="K119" s="3" t="str">
        <x:v>Related dynamic groups: . Same-capsule grouping, not one-to-one execution coverage.</x:v>
      </x:c>
      <x:c r="L119" s="3" t="str">
        <x:v>Markup-defined; conditional visibility Not run</x:v>
      </x:c>
    </x:row>
    <x:row r="120" ht="63" customHeight="1">
      <x:c r="A120" s="3" t="str">
        <x:v>CTL-08-007</x:v>
      </x:c>
      <x:c r="B120" s="3" t="str">
        <x:v>home</x:v>
      </x:c>
      <x:c r="C120" s="3" t="str">
        <x:v>Create guest account</x:v>
      </x:c>
      <x:c r="D120" s="3" t="str">
        <x:v>button / button</x:v>
      </x:c>
      <x:c r="E120" s="13" t="str">
        <x:v>Blocked prerequisite</x:v>
      </x:c>
      <x:c r="F120" s="3" t="str">
        <x:v>Signed-in existing account is preserved. Sign-out/fresh-account/passkey controls need an isolated user-approved identity fixture.</x:v>
      </x:c>
      <x:c r="G120" s="3" t="str">
        <x:v>home-unlock-secondary</x:v>
      </x:c>
      <x:c r="H120" s="3" t="str">
        <x:v>E-043; E-054</x:v>
      </x:c>
      <x:c r="I120" s="3" t="str">
        <x:v>capsules/home/browser/index.html</x:v>
      </x:c>
      <x:c r="J120" s="14" t="n">
        <x:v>98</x:v>
      </x:c>
      <x:c r="K120" s="3" t="str">
        <x:v>Related dynamic groups: . Same-capsule grouping, not one-to-one execution coverage.</x:v>
      </x:c>
      <x:c r="L120" s="3" t="str">
        <x:v>Markup-defined; conditional visibility Not run</x:v>
      </x:c>
    </x:row>
    <x:row r="121" ht="67.5" customHeight="1">
      <x:c r="A121" s="3" t="str">
        <x:v>CTL-08-008</x:v>
      </x:c>
      <x:c r="B121" s="3" t="str">
        <x:v>home</x:v>
      </x:c>
      <x:c r="C121" s="3" t="str">
        <x:v>Continue</x:v>
      </x:c>
      <x:c r="D121" s="3" t="str">
        <x:v>button / button</x:v>
      </x:c>
      <x:c r="E121" s="13" t="str">
        <x:v>Blocked prerequisite</x:v>
      </x:c>
      <x:c r="F121" s="3" t="str">
        <x:v>Home Clipboard consent requires a harmless controlled app intent. Host Clipboard has not been read or overwritten; live allow/cancel proof remains pending.</x:v>
      </x:c>
      <x:c r="G121" s="3" t="str">
        <x:v>home-clipboard-allow</x:v>
      </x:c>
      <x:c r="H121" s="3" t="str">
        <x:v>E-054</x:v>
      </x:c>
      <x:c r="I121" s="3" t="str">
        <x:v>capsules/home/browser/index.html</x:v>
      </x:c>
      <x:c r="J121" s="14" t="n">
        <x:v>119</x:v>
      </x:c>
      <x:c r="K121" s="3" t="str">
        <x:v>Related dynamic groups: . Same-capsule grouping, not one-to-one execution coverage.</x:v>
      </x:c>
      <x:c r="L121" s="3" t="str">
        <x:v>Markup-defined; conditional visibility Not run</x:v>
      </x:c>
    </x:row>
    <x:row r="122" ht="67.5" customHeight="1">
      <x:c r="A122" s="3" t="str">
        <x:v>CTL-08-009</x:v>
      </x:c>
      <x:c r="B122" s="3" t="str">
        <x:v>home</x:v>
      </x:c>
      <x:c r="C122" s="3" t="str">
        <x:v>Cancel</x:v>
      </x:c>
      <x:c r="D122" s="3" t="str">
        <x:v>button / button</x:v>
      </x:c>
      <x:c r="E122" s="13" t="str">
        <x:v>Blocked prerequisite</x:v>
      </x:c>
      <x:c r="F122" s="3" t="str">
        <x:v>Home Clipboard consent requires a harmless controlled app intent. Host Clipboard has not been read or overwritten; live allow/cancel proof remains pending.</x:v>
      </x:c>
      <x:c r="G122" s="3" t="str">
        <x:v>home-clipboard-cancel</x:v>
      </x:c>
      <x:c r="H122" s="3" t="str">
        <x:v>E-054</x:v>
      </x:c>
      <x:c r="I122" s="3" t="str">
        <x:v>capsules/home/browser/index.html</x:v>
      </x:c>
      <x:c r="J122" s="14" t="n">
        <x:v>126</x:v>
      </x:c>
      <x:c r="K122" s="3" t="str">
        <x:v>Related dynamic groups: . Same-capsule grouping, not one-to-one execution coverage.</x:v>
      </x:c>
      <x:c r="L122" s="3" t="str">
        <x:v>Markup-defined; conditional visibility Not run</x:v>
      </x:c>
    </x:row>
    <x:row r="123" ht="63" customHeight="1">
      <x:c r="A123" s="3" t="str">
        <x:v>CTL-11-001</x:v>
      </x:c>
      <x:c r="B123" s="3" t="str">
        <x:v>home-gui</x:v>
      </x:c>
      <x:c r="C123" s="3" t="str">
        <x:v>ElastOS menu</x:v>
      </x:c>
      <x:c r="D123" s="3" t="str">
        <x:v>button / button</x:v>
      </x:c>
      <x:c r="E123" s="13" t="str">
        <x:v>Pass</x:v>
      </x:c>
      <x:c r="F123" s="3" t="str">
        <x:v>ElastOS menu opens; System Settings launches the named System window.</x:v>
      </x:c>
      <x:c r="G123" s="3" t="str">
        <x:v>toolbar-home</x:v>
      </x:c>
      <x:c r="H123" s="3" t="str">
        <x:v>E-042; E-054</x:v>
      </x:c>
      <x:c r="I123" s="3" t="str">
        <x:v>capsules/home-gui/browser/home-gui-template.html</x:v>
      </x:c>
      <x:c r="J123" s="14" t="n">
        <x:v>12</x:v>
      </x:c>
      <x:c r="K123" s="3" t="str">
        <x:v>Related dynamic groups: DYN-GUI-03, DYN-GUI-04, DYN-GUI-07, DYN-GUI-09, DYN-GUI-10, DYN-GUI-12, DYN-GUI-15. Same-capsule grouping, not one-to-one execution coverage.</x:v>
      </x:c>
      <x:c r="L123" s="3" t="str">
        <x:v>Template-defined; runtime visibility Not run</x:v>
      </x:c>
    </x:row>
    <x:row r="124" ht="67.5" customHeight="1">
      <x:c r="A124" s="3" t="str">
        <x:v>CTL-11-002</x:v>
      </x:c>
      <x:c r="B124" s="3" t="str">
        <x:v>home-gui</x:v>
      </x:c>
      <x:c r="C124" s="3" t="str">
        <x:v>About ElastOS</x:v>
      </x:c>
      <x:c r="D124" s="3" t="str">
        <x:v>button / button</x:v>
      </x:c>
      <x:c r="E124" s="13" t="str">
        <x:v>Pass</x:v>
      </x:c>
      <x:c r="F124" s="3" t="str">
        <x:v>About opens by keyboard and pointer, shows Runtime/account facts, and closes with Escape to the invoking menu. More Info opens System About.</x:v>
      </x:c>
      <x:c r="G124" s="3" t="str">
        <x:v>identity-menu-about</x:v>
      </x:c>
      <x:c r="H124" s="3" t="str">
        <x:v>E-042; E-056</x:v>
      </x:c>
      <x:c r="I124" s="3" t="str">
        <x:v>capsules/home-gui/browser/home-gui-template.html</x:v>
      </x:c>
      <x:c r="J124" s="14" t="n">
        <x:v>40</x:v>
      </x:c>
      <x:c r="K124" s="3" t="str">
        <x:v>Related dynamic groups: DYN-GUI-03, DYN-GUI-04, DYN-GUI-07, DYN-GUI-09, DYN-GUI-10, DYN-GUI-12, DYN-GUI-15. Same-capsule grouping, not one-to-one execution coverage.</x:v>
      </x:c>
      <x:c r="L124" s="3" t="str">
        <x:v>Template-defined; runtime visibility Not run</x:v>
      </x:c>
    </x:row>
    <x:row r="125" ht="63" customHeight="1">
      <x:c r="A125" s="3" t="str">
        <x:v>CTL-11-003</x:v>
      </x:c>
      <x:c r="B125" s="3" t="str">
        <x:v>home-gui</x:v>
      </x:c>
      <x:c r="C125" s="3" t="str">
        <x:v>System Settings…</x:v>
      </x:c>
      <x:c r="D125" s="3" t="str">
        <x:v>button / button</x:v>
      </x:c>
      <x:c r="E125" s="13" t="str">
        <x:v>Pass</x:v>
      </x:c>
      <x:c r="F125" s="3" t="str">
        <x:v>Home System Settings menu opens System Accounts; normal close preserves session.</x:v>
      </x:c>
      <x:c r="G125" s="3" t="str">
        <x:v>identity-menu-system</x:v>
      </x:c>
      <x:c r="H125" s="3" t="str">
        <x:v>E-042; E-054; E-061</x:v>
      </x:c>
      <x:c r="I125" s="3" t="str">
        <x:v>capsules/home-gui/browser/home-gui-template.html</x:v>
      </x:c>
      <x:c r="J125" s="14" t="n">
        <x:v>44</x:v>
      </x:c>
      <x:c r="K125" s="3" t="str">
        <x:v>Related dynamic groups: DYN-GUI-03, DYN-GUI-04, DYN-GUI-07, DYN-GUI-09, DYN-GUI-10, DYN-GUI-12, DYN-GUI-15. Same-capsule grouping, not one-to-one execution coverage.</x:v>
      </x:c>
      <x:c r="L125" s="3" t="str">
        <x:v>Template-defined; runtime visibility Not run</x:v>
      </x:c>
    </x:row>
    <x:row r="126" ht="63" customHeight="1">
      <x:c r="A126" s="3" t="str">
        <x:v>CTL-11-004</x:v>
      </x:c>
      <x:c r="B126" s="3" t="str">
        <x:v>home-gui</x:v>
      </x:c>
      <x:c r="C126" s="3" t="str">
        <x:v>Apps</x:v>
      </x:c>
      <x:c r="D126" s="3" t="str">
        <x:v>button / button</x:v>
      </x:c>
      <x:c r="E126" s="13" t="str">
        <x:v>Pass</x:v>
      </x:c>
      <x:c r="F126" s="3" t="str">
        <x:v>Home Apps menu opens Marketplace through keyboard activation.</x:v>
      </x:c>
      <x:c r="G126" s="3" t="str">
        <x:v>identity-menu-marketplace</x:v>
      </x:c>
      <x:c r="H126" s="3" t="str">
        <x:v>E-042; E-049; E-061</x:v>
      </x:c>
      <x:c r="I126" s="3" t="str">
        <x:v>capsules/home-gui/browser/home-gui-template.html</x:v>
      </x:c>
      <x:c r="J126" s="14" t="n">
        <x:v>48</x:v>
      </x:c>
      <x:c r="K126" s="3" t="str">
        <x:v>Related dynamic groups: DYN-GUI-03, DYN-GUI-04, DYN-GUI-07, DYN-GUI-09, DYN-GUI-10, DYN-GUI-12, DYN-GUI-15. Same-capsule grouping, not one-to-one execution coverage.</x:v>
      </x:c>
      <x:c r="L126" s="3" t="str">
        <x:v>Template-defined; runtime visibility Not run</x:v>
      </x:c>
    </x:row>
    <x:row r="127" ht="63" customHeight="1">
      <x:c r="A127" s="3" t="str">
        <x:v>CTL-11-005</x:v>
      </x:c>
      <x:c r="B127" s="3" t="str">
        <x:v>home-gui</x:v>
      </x:c>
      <x:c r="C127" s="3" t="str">
        <x:v>Show Desktop</x:v>
      </x:c>
      <x:c r="D127" s="3" t="str">
        <x:v>button / button</x:v>
      </x:c>
      <x:c r="E127" s="13" t="str">
        <x:v>Pass</x:v>
      </x:c>
      <x:c r="F127" s="3" t="str">
        <x:v>Show Desktop hides but preserves audit Marketplace window; taskbar restores it.</x:v>
      </x:c>
      <x:c r="G127" s="3" t="str">
        <x:v>identity-menu-show-desktop</x:v>
      </x:c>
      <x:c r="H127" s="3" t="str">
        <x:v>E-042; E-045; E-061</x:v>
      </x:c>
      <x:c r="I127" s="3" t="str">
        <x:v>capsules/home-gui/browser/home-gui-template.html</x:v>
      </x:c>
      <x:c r="J127" s="14" t="n">
        <x:v>53</x:v>
      </x:c>
      <x:c r="K127" s="3" t="str">
        <x:v>Related dynamic groups: DYN-GUI-03, DYN-GUI-04, DYN-GUI-07, DYN-GUI-09, DYN-GUI-10, DYN-GUI-12, DYN-GUI-15. Same-capsule grouping, not one-to-one execution coverage.</x:v>
      </x:c>
      <x:c r="L127" s="3" t="str">
        <x:v>Template-defined; runtime visibility Not run</x:v>
      </x:c>
    </x:row>
    <x:row r="128" ht="63" customHeight="1">
      <x:c r="A128" s="3" t="str">
        <x:v>CTL-11-006</x:v>
      </x:c>
      <x:c r="B128" s="3" t="str">
        <x:v>home-gui</x:v>
      </x:c>
      <x:c r="C128" s="3" t="str">
        <x:v>Shortcuts ⌘/</x:v>
      </x:c>
      <x:c r="D128" s="3" t="str">
        <x:v>button / button</x:v>
      </x:c>
      <x:c r="E128" s="13" t="str">
        <x:v>Pass</x:v>
      </x:c>
      <x:c r="F128" s="3" t="str">
        <x:v>Shortcuts opens a named dialog with readable descriptions and a focused Close control; Escape closes it.</x:v>
      </x:c>
      <x:c r="G128" s="3" t="str">
        <x:v>identity-menu-shortcuts</x:v>
      </x:c>
      <x:c r="H128" s="3" t="str">
        <x:v>E-042; E-056</x:v>
      </x:c>
      <x:c r="I128" s="3" t="str">
        <x:v>capsules/home-gui/browser/home-gui-template.html</x:v>
      </x:c>
      <x:c r="J128" s="14" t="n">
        <x:v>57</x:v>
      </x:c>
      <x:c r="K128" s="3" t="str">
        <x:v>Related dynamic groups: DYN-GUI-03, DYN-GUI-04, DYN-GUI-07, DYN-GUI-09, DYN-GUI-10, DYN-GUI-12, DYN-GUI-15. Same-capsule grouping, not one-to-one execution coverage.</x:v>
      </x:c>
      <x:c r="L128" s="3" t="str">
        <x:v>Template-defined; runtime visibility Not run</x:v>
      </x:c>
    </x:row>
    <x:row r="129" ht="63" customHeight="1">
      <x:c r="A129" s="3" t="str">
        <x:v>CTL-11-007</x:v>
      </x:c>
      <x:c r="B129" s="3" t="str">
        <x:v>home-gui</x:v>
      </x:c>
      <x:c r="C129" s="3" t="str">
        <x:v>Lock Screen</x:v>
      </x:c>
      <x:c r="D129" s="3" t="str">
        <x:v>button / button</x:v>
      </x:c>
      <x:c r="E129" s="13" t="str">
        <x:v>Blocked prerequisite</x:v>
      </x:c>
      <x:c r="F129" s="3" t="str">
        <x:v>Lock Screen and Sign Out are visible; preserving the existing authenticated session takes precedence over dispatch.</x:v>
      </x:c>
      <x:c r="G129" s="3" t="str">
        <x:v>identity-menu-lock</x:v>
      </x:c>
      <x:c r="H129" s="3" t="str">
        <x:v>E-046</x:v>
      </x:c>
      <x:c r="I129" s="3" t="str">
        <x:v>capsules/home-gui/browser/home-gui-template.html</x:v>
      </x:c>
      <x:c r="J129" s="14" t="n">
        <x:v>63</x:v>
      </x:c>
      <x:c r="K129" s="3" t="str">
        <x:v>Related dynamic groups: DYN-GUI-03, DYN-GUI-04, DYN-GUI-07, DYN-GUI-09, DYN-GUI-10, DYN-GUI-12, DYN-GUI-15. Same-capsule grouping, not one-to-one execution coverage.</x:v>
      </x:c>
      <x:c r="L129" s="3" t="str">
        <x:v>Template-defined; runtime visibility Not run</x:v>
      </x:c>
    </x:row>
    <x:row r="130" ht="63" customHeight="1">
      <x:c r="A130" s="3" t="str">
        <x:v>CTL-11-008</x:v>
      </x:c>
      <x:c r="B130" s="3" t="str">
        <x:v>home-gui</x:v>
      </x:c>
      <x:c r="C130" s="3" t="str">
        <x:v>Sign Out…</x:v>
      </x:c>
      <x:c r="D130" s="3" t="str">
        <x:v>button / button</x:v>
      </x:c>
      <x:c r="E130" s="13" t="str">
        <x:v>Blocked prerequisite</x:v>
      </x:c>
      <x:c r="F130" s="3" t="str">
        <x:v>Lock Screen and Sign Out are visible; preserving the existing authenticated session takes precedence over dispatch.</x:v>
      </x:c>
      <x:c r="G130" s="3" t="str">
        <x:v>identity-menu-sign-out</x:v>
      </x:c>
      <x:c r="H130" s="3" t="str">
        <x:v>E-046</x:v>
      </x:c>
      <x:c r="I130" s="3" t="str">
        <x:v>capsules/home-gui/browser/home-gui-template.html</x:v>
      </x:c>
      <x:c r="J130" s="14" t="n">
        <x:v>67</x:v>
      </x:c>
      <x:c r="K130" s="3" t="str">
        <x:v>Related dynamic groups: DYN-GUI-03, DYN-GUI-04, DYN-GUI-07, DYN-GUI-09, DYN-GUI-10, DYN-GUI-12, DYN-GUI-15. Same-capsule grouping, not one-to-one execution coverage.</x:v>
      </x:c>
      <x:c r="L130" s="3" t="str">
        <x:v>Template-defined; runtime visibility Not run</x:v>
      </x:c>
    </x:row>
    <x:row r="131" ht="67.5" customHeight="1">
      <x:c r="A131" s="3" t="str">
        <x:v>CTL-11-009</x:v>
      </x:c>
      <x:c r="B131" s="3" t="str">
        <x:v>home-gui</x:v>
      </x:c>
      <x:c r="C131" s="3" t="str">
        <x:v>Wallet</x:v>
      </x:c>
      <x:c r="D131" s="3" t="str">
        <x:v>button / button</x:v>
      </x:c>
      <x:c r="E131" s="13" t="str">
        <x:v>Pass</x:v>
      </x:c>
      <x:c r="F131" s="3" t="str">
        <x:v>E100 restored panel opens from the visible topbar orStatusApprovals route;same1pendingrequest remains. Close/focus and fullwindow handoff pass.</x:v>
      </x:c>
      <x:c r="G131" s="3" t="str">
        <x:v>toolbar-wallet</x:v>
      </x:c>
      <x:c r="H131" s="3" t="str">
        <x:v>E-046; E-100</x:v>
      </x:c>
      <x:c r="I131" s="3" t="str">
        <x:v>capsules/home-gui/browser/home-gui-template.html</x:v>
      </x:c>
      <x:c r="J131" s="14" t="n">
        <x:v>76</x:v>
      </x:c>
      <x:c r="K131" s="3" t="str">
        <x:v>Related dynamic groups: DYN-GUI-03, DYN-GUI-04, DYN-GUI-07, DYN-GUI-09, DYN-GUI-10, DYN-GUI-12, DYN-GUI-15. Same-capsule grouping, not one-to-one execution coverage.</x:v>
      </x:c>
      <x:c r="L131" s="3" t="str">
        <x:v>Template-defined; runtime visibility Not run</x:v>
      </x:c>
    </x:row>
    <x:row r="132" ht="67.5" customHeight="1">
      <x:c r="A132" s="3" t="str">
        <x:v>CTL-11-010</x:v>
      </x:c>
      <x:c r="B132" s="3" t="str">
        <x:v>home-gui</x:v>
      </x:c>
      <x:c r="C132" s="3" t="str">
        <x:v>Inbox — pending actions</x:v>
      </x:c>
      <x:c r="D132" s="3" t="str">
        <x:v>button / button</x:v>
      </x:c>
      <x:c r="E132" s="13" t="str">
        <x:v>Pass</x:v>
      </x:c>
      <x:c r="F132" s="3" t="str">
        <x:v>E100 restored panel opens from the visible topbar orStatusApprovals route;same1pendingrequest remains. Close/focus and fullwindow handoff pass.</x:v>
      </x:c>
      <x:c r="G132" s="3" t="str">
        <x:v>toolbar-inbox</x:v>
      </x:c>
      <x:c r="H132" s="3" t="str">
        <x:v>E-046; E-100</x:v>
      </x:c>
      <x:c r="I132" s="3" t="str">
        <x:v>capsules/home-gui/browser/home-gui-template.html</x:v>
      </x:c>
      <x:c r="J132" s="14" t="n">
        <x:v>86</x:v>
      </x:c>
      <x:c r="K132" s="3" t="str">
        <x:v>Related dynamic groups: DYN-GUI-03, DYN-GUI-04, DYN-GUI-07, DYN-GUI-09, DYN-GUI-10, DYN-GUI-12, DYN-GUI-15. Same-capsule grouping, not one-to-one execution coverage.</x:v>
      </x:c>
      <x:c r="L132" s="3" t="str">
        <x:v>Template-defined; runtime visibility Not run</x:v>
      </x:c>
    </x:row>
    <x:row r="133" ht="63" customHeight="1">
      <x:c r="A133" s="3" t="str">
        <x:v>CTL-11-011</x:v>
      </x:c>
      <x:c r="B133" s="3" t="str">
        <x:v>home-gui</x:v>
      </x:c>
      <x:c r="C133" s="3" t="str">
        <x:v>Search</x:v>
      </x:c>
      <x:c r="D133" s="3" t="str">
        <x:v>button / button</x:v>
      </x:c>
      <x:c r="E133" s="13" t="str">
        <x:v>Pass</x:v>
      </x:c>
      <x:c r="F133" s="3" t="str">
        <x:v>F-15 repaired at 2e9644d2: pointer/keyboard open, focus, matching/absent query, Escape focus return and app-result launch pass.</x:v>
      </x:c>
      <x:c r="G133" s="3" t="str">
        <x:v>toolbar-spotlight</x:v>
      </x:c>
      <x:c r="H133" s="3" t="str">
        <x:v>E-036; E-037</x:v>
      </x:c>
      <x:c r="I133" s="3" t="str">
        <x:v>capsules/home-gui/browser/home-gui-template.html</x:v>
      </x:c>
      <x:c r="J133" s="14" t="n">
        <x:v>98</x:v>
      </x:c>
      <x:c r="K133" s="3" t="str">
        <x:v>Related dynamic groups: DYN-GUI-03, DYN-GUI-04, DYN-GUI-07, DYN-GUI-09, DYN-GUI-10, DYN-GUI-12, DYN-GUI-15. Same-capsule grouping, not one-to-one execution coverage.</x:v>
      </x:c>
      <x:c r="L133" s="3" t="str">
        <x:v>Template-defined; runtime visibility Not run</x:v>
      </x:c>
    </x:row>
    <x:row r="134" ht="63" customHeight="1">
      <x:c r="A134" s="3" t="str">
        <x:v>CTL-11-012</x:v>
      </x:c>
      <x:c r="B134" s="3" t="str">
        <x:v>home-gui</x:v>
      </x:c>
      <x:c r="C134" s="3" t="str">
        <x:v>Overview</x:v>
      </x:c>
      <x:c r="D134" s="3" t="str">
        <x:v>button / button</x:v>
      </x:c>
      <x:c r="E134" s="13" t="str">
        <x:v>Pass</x:v>
      </x:c>
      <x:c r="F134" s="3" t="str">
        <x:v>Overview displays both audit windows and selects Documents; view returns to the intended app.</x:v>
      </x:c>
      <x:c r="G134" s="3" t="str">
        <x:v>toolbar-mission-control</x:v>
      </x:c>
      <x:c r="H134" s="3" t="str">
        <x:v>E-045</x:v>
      </x:c>
      <x:c r="I134" s="3" t="str">
        <x:v>capsules/home-gui/browser/home-gui-template.html</x:v>
      </x:c>
      <x:c r="J134" s="14" t="n">
        <x:v>105</x:v>
      </x:c>
      <x:c r="K134" s="3" t="str">
        <x:v>Related dynamic groups: DYN-GUI-03, DYN-GUI-04, DYN-GUI-07, DYN-GUI-09, DYN-GUI-10, DYN-GUI-12, DYN-GUI-15. Same-capsule grouping, not one-to-one execution coverage.</x:v>
      </x:c>
      <x:c r="L134" s="3" t="str">
        <x:v>Template-defined; runtime visibility Not run</x:v>
      </x:c>
    </x:row>
    <x:row r="135" ht="63" customHeight="1">
      <x:c r="A135" s="3" t="str">
        <x:v>CTL-11-013</x:v>
      </x:c>
      <x:c r="B135" s="3" t="str">
        <x:v>home-gui</x:v>
      </x:c>
      <x:c r="C135" s="3" t="str">
        <x:v>Status</x:v>
      </x:c>
      <x:c r="D135" s="3" t="str">
        <x:v>button / button</x:v>
      </x:c>
      <x:c r="E135" s="13" t="str">
        <x:v>Pass</x:v>
      </x:c>
      <x:c r="F135" s="3" t="str">
        <x:v>Status opens current settings. Clock opens notification history with existing market-price request.</x:v>
      </x:c>
      <x:c r="G135" s="3" t="str">
        <x:v>toolbar-control-centre</x:v>
      </x:c>
      <x:c r="H135" s="3" t="str">
        <x:v>E-046</x:v>
      </x:c>
      <x:c r="I135" s="3" t="str">
        <x:v>capsules/home-gui/browser/home-gui-template.html</x:v>
      </x:c>
      <x:c r="J135" s="14" t="n">
        <x:v>114</x:v>
      </x:c>
      <x:c r="K135" s="3" t="str">
        <x:v>Related dynamic groups: DYN-GUI-03, DYN-GUI-04, DYN-GUI-07, DYN-GUI-09, DYN-GUI-10, DYN-GUI-12, DYN-GUI-15. Same-capsule grouping, not one-to-one execution coverage.</x:v>
      </x:c>
      <x:c r="L135" s="3" t="str">
        <x:v>Template-defined; runtime visibility Not run</x:v>
      </x:c>
    </x:row>
    <x:row r="136" ht="63" customHeight="1">
      <x:c r="A136" s="3" t="str">
        <x:v>CTL-11-014</x:v>
      </x:c>
      <x:c r="B136" s="3" t="str">
        <x:v>home-gui</x:v>
      </x:c>
      <x:c r="C136" s="3" t="str">
        <x:v>Clock. Open notification history</x:v>
      </x:c>
      <x:c r="D136" s="3" t="str">
        <x:v>button / button</x:v>
      </x:c>
      <x:c r="E136" s="13" t="str">
        <x:v>Pass</x:v>
      </x:c>
      <x:c r="F136" s="3" t="str">
        <x:v>Status opens current settings. Clock opens notification history with existing market-price request.</x:v>
      </x:c>
      <x:c r="G136" s="3" t="str">
        <x:v>clock</x:v>
      </x:c>
      <x:c r="H136" s="3" t="str">
        <x:v>E-046</x:v>
      </x:c>
      <x:c r="I136" s="3" t="str">
        <x:v>capsules/home-gui/browser/home-gui-template.html</x:v>
      </x:c>
      <x:c r="J136" s="14" t="n">
        <x:v>126</x:v>
      </x:c>
      <x:c r="K136" s="3" t="str">
        <x:v>Related dynamic groups: DYN-GUI-03, DYN-GUI-04, DYN-GUI-07, DYN-GUI-09, DYN-GUI-10, DYN-GUI-12, DYN-GUI-15. Same-capsule grouping, not one-to-one execution coverage.</x:v>
      </x:c>
      <x:c r="L136" s="3" t="str">
        <x:v>Template-defined; runtime visibility Not run</x:v>
      </x:c>
    </x:row>
    <x:row r="137" ht="63" customHeight="1">
      <x:c r="A137" s="3" t="str">
        <x:v>CTL-11-015</x:v>
      </x:c>
      <x:c r="B137" s="3" t="str">
        <x:v>home-gui</x:v>
      </x:c>
      <x:c r="C137" s="3" t="str">
        <x:v>Clear history</x:v>
      </x:c>
      <x:c r="D137" s="3" t="str">
        <x:v>button / button</x:v>
      </x:c>
      <x:c r="E137" s="13" t="str">
        <x:v>Blocked prerequisite</x:v>
      </x:c>
      <x:c r="F137" s="3" t="str">
        <x:v>Clear history would remove existing user notifications. Existing history retained.</x:v>
      </x:c>
      <x:c r="G137" s="3" t="str">
        <x:v>notification-center-clear</x:v>
      </x:c>
      <x:c r="H137" s="3" t="str">
        <x:v>E-046</x:v>
      </x:c>
      <x:c r="I137" s="3" t="str">
        <x:v>capsules/home-gui/browser/home-gui-template.html</x:v>
      </x:c>
      <x:c r="J137" s="14" t="n">
        <x:v>162</x:v>
      </x:c>
      <x:c r="K137" s="3" t="str">
        <x:v>Related dynamic groups: DYN-GUI-03, DYN-GUI-04, DYN-GUI-07, DYN-GUI-09, DYN-GUI-10, DYN-GUI-12, DYN-GUI-15. Same-capsule grouping, not one-to-one execution coverage.</x:v>
      </x:c>
      <x:c r="L137" s="3" t="str">
        <x:v>Template-defined; runtime visibility Not run</x:v>
      </x:c>
    </x:row>
    <x:row r="138" ht="67.5" customHeight="1">
      <x:c r="A138" s="3" t="str">
        <x:v>CTL-11-016</x:v>
      </x:c>
      <x:c r="B138" s="3" t="str">
        <x:v>home-gui</x:v>
      </x:c>
      <x:c r="C138" s="3" t="str">
        <x:v>Spotlight ›</x:v>
      </x:c>
      <x:c r="D138" s="3" t="str">
        <x:v>button / button</x:v>
      </x:c>
      <x:c r="E138" s="13" t="str">
        <x:v>Partially observed</x:v>
      </x:c>
      <x:c r="F138" s="3" t="str">
        <x:v>Status panel exposes the named navigation shortcut. Main toolbar/app launch equivalents were tested; this duplicate route has no separate dispatch proof.</x:v>
      </x:c>
      <x:c r="G138" s="3" t="str">
        <x:v>control-centre-spotlight</x:v>
      </x:c>
      <x:c r="H138" s="3" t="str">
        <x:v>E-046</x:v>
      </x:c>
      <x:c r="I138" s="3" t="str">
        <x:v>capsules/home-gui/browser/home-gui-template.html</x:v>
      </x:c>
      <x:c r="J138" s="14" t="n">
        <x:v>188</x:v>
      </x:c>
      <x:c r="K138" s="3" t="str">
        <x:v>Related dynamic groups: DYN-GUI-03, DYN-GUI-04, DYN-GUI-07, DYN-GUI-09, DYN-GUI-10, DYN-GUI-12, DYN-GUI-15. Same-capsule grouping, not one-to-one execution coverage.</x:v>
      </x:c>
      <x:c r="L138" s="3" t="str">
        <x:v>Template-defined; runtime visibility Not run</x:v>
      </x:c>
    </x:row>
    <x:row r="139" ht="67.5" customHeight="1">
      <x:c r="A139" s="3" t="str">
        <x:v>CTL-11-017</x:v>
      </x:c>
      <x:c r="B139" s="3" t="str">
        <x:v>home-gui</x:v>
      </x:c>
      <x:c r="C139" s="3" t="str">
        <x:v>Inbox Open</x:v>
      </x:c>
      <x:c r="D139" s="3" t="str">
        <x:v>button / button</x:v>
      </x:c>
      <x:c r="E139" s="13" t="str">
        <x:v>Partially observed</x:v>
      </x:c>
      <x:c r="F139" s="3" t="str">
        <x:v>F29 panelmarkup is fixed andtopbar/StatusApprovals routes pass. This older quickcontrol is absent from the currentvisible Status layout; separate dispatch remains unverified.</x:v>
      </x:c>
      <x:c r="G139" s="3" t="str">
        <x:v>control-centre-inbox</x:v>
      </x:c>
      <x:c r="H139" s="3" t="str">
        <x:v>E-046; E-100</x:v>
      </x:c>
      <x:c r="I139" s="3" t="str">
        <x:v>capsules/home-gui/browser/home-gui-template.html</x:v>
      </x:c>
      <x:c r="J139" s="14" t="n">
        <x:v>192</x:v>
      </x:c>
      <x:c r="K139" s="3" t="str">
        <x:v>Related dynamic groups: DYN-GUI-03, DYN-GUI-04, DYN-GUI-07, DYN-GUI-09, DYN-GUI-10, DYN-GUI-12, DYN-GUI-15. Same-capsule grouping, not one-to-one execution coverage.</x:v>
      </x:c>
      <x:c r="L139" s="3" t="str">
        <x:v>Template-defined; runtime visibility Not run</x:v>
      </x:c>
    </x:row>
    <x:row r="140" ht="67.5" customHeight="1">
      <x:c r="A140" s="3" t="str">
        <x:v>CTL-11-018</x:v>
      </x:c>
      <x:c r="B140" s="3" t="str">
        <x:v>home-gui</x:v>
      </x:c>
      <x:c r="C140" s="3" t="str">
        <x:v>Wallet Open</x:v>
      </x:c>
      <x:c r="D140" s="3" t="str">
        <x:v>button / button</x:v>
      </x:c>
      <x:c r="E140" s="13" t="str">
        <x:v>Partially observed</x:v>
      </x:c>
      <x:c r="F140" s="3" t="str">
        <x:v>F29 panelmarkup is fixed andtopbar/StatusApprovals routes pass. This older quickcontrol is absent from the currentvisible Status layout; separate dispatch remains unverified.</x:v>
      </x:c>
      <x:c r="G140" s="3" t="str">
        <x:v>control-centre-quick-wallet</x:v>
      </x:c>
      <x:c r="H140" s="3" t="str">
        <x:v>E-046; E-100</x:v>
      </x:c>
      <x:c r="I140" s="3" t="str">
        <x:v>capsules/home-gui/browser/home-gui-template.html</x:v>
      </x:c>
      <x:c r="J140" s="14" t="n">
        <x:v>196</x:v>
      </x:c>
      <x:c r="K140" s="3" t="str">
        <x:v>Related dynamic groups: DYN-GUI-03, DYN-GUI-04, DYN-GUI-07, DYN-GUI-09, DYN-GUI-10, DYN-GUI-12, DYN-GUI-15. Same-capsule grouping, not one-to-one execution coverage.</x:v>
      </x:c>
      <x:c r="L140" s="3" t="str">
        <x:v>Template-defined; runtime visibility Not run</x:v>
      </x:c>
    </x:row>
    <x:row r="141" ht="67.5" customHeight="1">
      <x:c r="A141" s="3" t="str">
        <x:v>CTL-11-019</x:v>
      </x:c>
      <x:c r="B141" s="3" t="str">
        <x:v>home-gui</x:v>
      </x:c>
      <x:c r="C141" s="3" t="str">
        <x:v>Auto</x:v>
      </x:c>
      <x:c r="D141" s="3" t="str">
        <x:v>button / button</x:v>
      </x:c>
      <x:c r="E141" s="13" t="str">
        <x:v>Partially observed</x:v>
      </x:c>
      <x:c r="F141" s="3" t="str">
        <x:v>Dark/Blue current state inspected; Light then Dark were exercised and restored. Auto not selected. Theme transition exposes missing Home logoF-30.</x:v>
      </x:c>
      <x:c r="G141" s="3" t="str"/>
      <x:c r="H141" s="3" t="str">
        <x:v>E-046</x:v>
      </x:c>
      <x:c r="I141" s="3" t="str">
        <x:v>capsules/home-gui/browser/home-gui-template.html</x:v>
      </x:c>
      <x:c r="J141" s="14" t="n">
        <x:v>206</x:v>
      </x:c>
      <x:c r="K141" s="3" t="str">
        <x:v>Related dynamic groups: DYN-GUI-03, DYN-GUI-04, DYN-GUI-07, DYN-GUI-09, DYN-GUI-10, DYN-GUI-12, DYN-GUI-15. Same-capsule grouping, not one-to-one execution coverage.</x:v>
      </x:c>
      <x:c r="L141" s="3" t="str">
        <x:v>Template-defined; runtime visibility Not run</x:v>
      </x:c>
    </x:row>
    <x:row r="142" ht="67.5" customHeight="1">
      <x:c r="A142" s="3" t="str">
        <x:v>CTL-11-020</x:v>
      </x:c>
      <x:c r="B142" s="3" t="str">
        <x:v>home-gui</x:v>
      </x:c>
      <x:c r="C142" s="3" t="str">
        <x:v>Light</x:v>
      </x:c>
      <x:c r="D142" s="3" t="str">
        <x:v>button / button</x:v>
      </x:c>
      <x:c r="E142" s="13" t="str">
        <x:v>Partially observed</x:v>
      </x:c>
      <x:c r="F142" s="3" t="str">
        <x:v>Dark/Blue current state inspected; Light then Dark were exercised and restored. Auto not selected. Theme transition exposes missing Home logoF-30.</x:v>
      </x:c>
      <x:c r="G142" s="3" t="str"/>
      <x:c r="H142" s="3" t="str">
        <x:v>E-046</x:v>
      </x:c>
      <x:c r="I142" s="3" t="str">
        <x:v>capsules/home-gui/browser/home-gui-template.html</x:v>
      </x:c>
      <x:c r="J142" s="14" t="n">
        <x:v>209</x:v>
      </x:c>
      <x:c r="K142" s="3" t="str">
        <x:v>Related dynamic groups: DYN-GUI-03, DYN-GUI-04, DYN-GUI-07, DYN-GUI-09, DYN-GUI-10, DYN-GUI-12, DYN-GUI-15. Same-capsule grouping, not one-to-one execution coverage.</x:v>
      </x:c>
      <x:c r="L142" s="3" t="str">
        <x:v>Template-defined; runtime visibility Not run</x:v>
      </x:c>
    </x:row>
    <x:row r="143" ht="67.5" customHeight="1">
      <x:c r="A143" s="3" t="str">
        <x:v>CTL-11-021</x:v>
      </x:c>
      <x:c r="B143" s="3" t="str">
        <x:v>home-gui</x:v>
      </x:c>
      <x:c r="C143" s="3" t="str">
        <x:v>Dark</x:v>
      </x:c>
      <x:c r="D143" s="3" t="str">
        <x:v>button / button</x:v>
      </x:c>
      <x:c r="E143" s="13" t="str">
        <x:v>Partially observed</x:v>
      </x:c>
      <x:c r="F143" s="3" t="str">
        <x:v>Dark/Blue current state inspected; Light then Dark were exercised and restored. Auto not selected. Theme transition exposes missing Home logoF-30.</x:v>
      </x:c>
      <x:c r="G143" s="3" t="str"/>
      <x:c r="H143" s="3" t="str">
        <x:v>E-046</x:v>
      </x:c>
      <x:c r="I143" s="3" t="str">
        <x:v>capsules/home-gui/browser/home-gui-template.html</x:v>
      </x:c>
      <x:c r="J143" s="14" t="n">
        <x:v>212</x:v>
      </x:c>
      <x:c r="K143" s="3" t="str">
        <x:v>Related dynamic groups: DYN-GUI-03, DYN-GUI-04, DYN-GUI-07, DYN-GUI-09, DYN-GUI-10, DYN-GUI-12, DYN-GUI-15. Same-capsule grouping, not one-to-one execution coverage.</x:v>
      </x:c>
      <x:c r="L143" s="3" t="str">
        <x:v>Template-defined; runtime visibility Not run</x:v>
      </x:c>
    </x:row>
    <x:row r="144" ht="63" customHeight="1">
      <x:c r="A144" s="3" t="str">
        <x:v>CTL-11-022</x:v>
      </x:c>
      <x:c r="B144" s="3" t="str">
        <x:v>home-gui</x:v>
      </x:c>
      <x:c r="C144" s="3" t="str">
        <x:v>Custom accent hex</x:v>
      </x:c>
      <x:c r="D144" s="3" t="str">
        <x:v>input / text</x:v>
      </x:c>
      <x:c r="E144" s="13" t="str">
        <x:v>Partially observed</x:v>
      </x:c>
      <x:c r="F144" s="3" t="str">
        <x:v>Custom accent input is present in Status. Existing Blue accent preserved; invalid/custom commit branch unrun.</x:v>
      </x:c>
      <x:c r="G144" s="3" t="str">
        <x:v>control-centre-accent-hex</x:v>
      </x:c>
      <x:c r="H144" s="3" t="str">
        <x:v>E-046</x:v>
      </x:c>
      <x:c r="I144" s="3" t="str">
        <x:v>capsules/home-gui/browser/home-gui-template.html</x:v>
      </x:c>
      <x:c r="J144" s="14" t="n">
        <x:v>224</x:v>
      </x:c>
      <x:c r="K144" s="3" t="str">
        <x:v>Related dynamic groups: DYN-GUI-03, DYN-GUI-04, DYN-GUI-07, DYN-GUI-09, DYN-GUI-10, DYN-GUI-12, DYN-GUI-15. Same-capsule grouping, not one-to-one execution coverage.</x:v>
      </x:c>
      <x:c r="L144" s="3" t="str">
        <x:v>Template-defined; runtime visibility Not run</x:v>
      </x:c>
    </x:row>
    <x:row r="145" ht="63" customHeight="1">
      <x:c r="A145" s="3" t="str">
        <x:v>CTL-11-023</x:v>
      </x:c>
      <x:c r="B145" s="3" t="str">
        <x:v>home-gui</x:v>
      </x:c>
      <x:c r="C145" s="3" t="str">
        <x:v>Focus</x:v>
      </x:c>
      <x:c r="D145" s="3" t="str">
        <x:v>button / button</x:v>
      </x:c>
      <x:c r="E145" s="13" t="str">
        <x:v>Partially observed</x:v>
      </x:c>
      <x:c r="F145" s="3" t="str">
        <x:v>Status values observed: Focus on, discovery off, sounds off, auto-hide off, desktop icons on. Those switches preserved.</x:v>
      </x:c>
      <x:c r="G145" s="3" t="str">
        <x:v>control-centre-focus</x:v>
      </x:c>
      <x:c r="H145" s="3" t="str">
        <x:v>E-046</x:v>
      </x:c>
      <x:c r="I145" s="3" t="str">
        <x:v>capsules/home-gui/browser/home-gui-template.html</x:v>
      </x:c>
      <x:c r="J145" s="14" t="n">
        <x:v>231</x:v>
      </x:c>
      <x:c r="K145" s="3" t="str">
        <x:v>Related dynamic groups: DYN-GUI-03, DYN-GUI-04, DYN-GUI-07, DYN-GUI-09, DYN-GUI-10, DYN-GUI-12, DYN-GUI-15. Same-capsule grouping, not one-to-one execution coverage.</x:v>
      </x:c>
      <x:c r="L145" s="3" t="str">
        <x:v>Template-defined; runtime visibility Not run</x:v>
      </x:c>
    </x:row>
    <x:row r="146" ht="67.5" customHeight="1">
      <x:c r="A146" s="3" t="str">
        <x:v>CTL-11-024</x:v>
      </x:c>
      <x:c r="B146" s="3" t="str">
        <x:v>home-gui</x:v>
      </x:c>
      <x:c r="C146" s="3" t="str">
        <x:v>Approvals None</x:v>
      </x:c>
      <x:c r="D146" s="3" t="str">
        <x:v>button / button</x:v>
      </x:c>
      <x:c r="E146" s="13" t="str">
        <x:v>Pass</x:v>
      </x:c>
      <x:c r="F146" s="3" t="str">
        <x:v>E100 restored panel opens from the visible topbar orStatusApprovals route;same1pendingrequest remains. Close/focus and fullwindow handoff pass.</x:v>
      </x:c>
      <x:c r="G146" s="3" t="str">
        <x:v>control-centre-approvals</x:v>
      </x:c>
      <x:c r="H146" s="3" t="str">
        <x:v>E-046; E-100</x:v>
      </x:c>
      <x:c r="I146" s="3" t="str">
        <x:v>capsules/home-gui/browser/home-gui-template.html</x:v>
      </x:c>
      <x:c r="J146" s="14" t="n">
        <x:v>235</x:v>
      </x:c>
      <x:c r="K146" s="3" t="str">
        <x:v>Related dynamic groups: DYN-GUI-03, DYN-GUI-04, DYN-GUI-07, DYN-GUI-09, DYN-GUI-10, DYN-GUI-12, DYN-GUI-15. Same-capsule grouping, not one-to-one execution coverage.</x:v>
      </x:c>
      <x:c r="L146" s="3" t="str">
        <x:v>Template-defined; runtime visibility Not run</x:v>
      </x:c>
    </x:row>
    <x:row r="147" ht="63" customHeight="1">
      <x:c r="A147" s="3" t="str">
        <x:v>CTL-11-025</x:v>
      </x:c>
      <x:c r="B147" s="3" t="str">
        <x:v>home-gui</x:v>
      </x:c>
      <x:c r="C147" s="3" t="str">
        <x:v>Find People</x:v>
      </x:c>
      <x:c r="D147" s="3" t="str">
        <x:v>button / button</x:v>
      </x:c>
      <x:c r="E147" s="13" t="str">
        <x:v>Partially observed</x:v>
      </x:c>
      <x:c r="F147" s="3" t="str">
        <x:v>Status values observed: Focus on, discovery off, sounds off, auto-hide off, desktop icons on. Those switches preserved.</x:v>
      </x:c>
      <x:c r="G147" s="3" t="str">
        <x:v>control-centre-discovery</x:v>
      </x:c>
      <x:c r="H147" s="3" t="str">
        <x:v>E-046</x:v>
      </x:c>
      <x:c r="I147" s="3" t="str">
        <x:v>capsules/home-gui/browser/home-gui-template.html</x:v>
      </x:c>
      <x:c r="J147" s="14" t="n">
        <x:v>243</x:v>
      </x:c>
      <x:c r="K147" s="3" t="str">
        <x:v>Related dynamic groups: DYN-GUI-03, DYN-GUI-04, DYN-GUI-07, DYN-GUI-09, DYN-GUI-10, DYN-GUI-12, DYN-GUI-15. Same-capsule grouping, not one-to-one execution coverage.</x:v>
      </x:c>
      <x:c r="L147" s="3" t="str">
        <x:v>Template-defined; runtime visibility Not run</x:v>
      </x:c>
    </x:row>
    <x:row r="148" ht="63" customHeight="1">
      <x:c r="A148" s="3" t="str">
        <x:v>CTL-11-026</x:v>
      </x:c>
      <x:c r="B148" s="3" t="str">
        <x:v>home-gui</x:v>
      </x:c>
      <x:c r="C148" s="3" t="str">
        <x:v>UI Sounds</x:v>
      </x:c>
      <x:c r="D148" s="3" t="str">
        <x:v>button / button</x:v>
      </x:c>
      <x:c r="E148" s="13" t="str">
        <x:v>Partially observed</x:v>
      </x:c>
      <x:c r="F148" s="3" t="str">
        <x:v>Status values observed: Focus on, discovery off, sounds off, auto-hide off, desktop icons on. Those switches preserved.</x:v>
      </x:c>
      <x:c r="G148" s="3" t="str">
        <x:v>control-centre-sounds</x:v>
      </x:c>
      <x:c r="H148" s="3" t="str">
        <x:v>E-046</x:v>
      </x:c>
      <x:c r="I148" s="3" t="str">
        <x:v>capsules/home-gui/browser/home-gui-template.html</x:v>
      </x:c>
      <x:c r="J148" s="14" t="n">
        <x:v>256</x:v>
      </x:c>
      <x:c r="K148" s="3" t="str">
        <x:v>Related dynamic groups: DYN-GUI-03, DYN-GUI-04, DYN-GUI-07, DYN-GUI-09, DYN-GUI-10, DYN-GUI-12, DYN-GUI-15. Same-capsule grouping, not one-to-one execution coverage.</x:v>
      </x:c>
      <x:c r="L148" s="3" t="str">
        <x:v>Template-defined; runtime visibility Not run</x:v>
      </x:c>
    </x:row>
    <x:row r="149" ht="63" customHeight="1">
      <x:c r="A149" s="3" t="str">
        <x:v>CTL-11-027</x:v>
      </x:c>
      <x:c r="B149" s="3" t="str">
        <x:v>home-gui</x:v>
      </x:c>
      <x:c r="C149" s="3" t="str">
        <x:v>Auto-hide Dock</x:v>
      </x:c>
      <x:c r="D149" s="3" t="str">
        <x:v>button / button</x:v>
      </x:c>
      <x:c r="E149" s="13" t="str">
        <x:v>Partially observed</x:v>
      </x:c>
      <x:c r="F149" s="3" t="str">
        <x:v>Status values observed: Focus on, discovery off, sounds off, auto-hide off, desktop icons on. Those switches preserved.</x:v>
      </x:c>
      <x:c r="G149" s="3" t="str">
        <x:v>control-centre-dock</x:v>
      </x:c>
      <x:c r="H149" s="3" t="str">
        <x:v>E-046</x:v>
      </x:c>
      <x:c r="I149" s="3" t="str">
        <x:v>capsules/home-gui/browser/home-gui-template.html</x:v>
      </x:c>
      <x:c r="J149" s="14" t="n">
        <x:v>260</x:v>
      </x:c>
      <x:c r="K149" s="3" t="str">
        <x:v>Related dynamic groups: DYN-GUI-03, DYN-GUI-04, DYN-GUI-07, DYN-GUI-09, DYN-GUI-10, DYN-GUI-12, DYN-GUI-15. Same-capsule grouping, not one-to-one execution coverage.</x:v>
      </x:c>
      <x:c r="L149" s="3" t="str">
        <x:v>Template-defined; runtime visibility Not run</x:v>
      </x:c>
    </x:row>
    <x:row r="150" ht="63" customHeight="1">
      <x:c r="A150" s="3" t="str">
        <x:v>CTL-11-028</x:v>
      </x:c>
      <x:c r="B150" s="3" t="str">
        <x:v>home-gui</x:v>
      </x:c>
      <x:c r="C150" s="3" t="str">
        <x:v>Desktop Icons</x:v>
      </x:c>
      <x:c r="D150" s="3" t="str">
        <x:v>button / button</x:v>
      </x:c>
      <x:c r="E150" s="13" t="str">
        <x:v>Partially observed</x:v>
      </x:c>
      <x:c r="F150" s="3" t="str">
        <x:v>Status values observed: Focus on, discovery off, sounds off, auto-hide off, desktop icons on. Those switches preserved.</x:v>
      </x:c>
      <x:c r="G150" s="3" t="str">
        <x:v>control-centre-desktop-icons</x:v>
      </x:c>
      <x:c r="H150" s="3" t="str">
        <x:v>E-046</x:v>
      </x:c>
      <x:c r="I150" s="3" t="str">
        <x:v>capsules/home-gui/browser/home-gui-template.html</x:v>
      </x:c>
      <x:c r="J150" s="14" t="n">
        <x:v>264</x:v>
      </x:c>
      <x:c r="K150" s="3" t="str">
        <x:v>Related dynamic groups: DYN-GUI-03, DYN-GUI-04, DYN-GUI-07, DYN-GUI-09, DYN-GUI-10, DYN-GUI-12, DYN-GUI-15. Same-capsule grouping, not one-to-one execution coverage.</x:v>
      </x:c>
      <x:c r="L150" s="3" t="str">
        <x:v>Template-defined; runtime visibility Not run</x:v>
      </x:c>
    </x:row>
    <x:row r="151" ht="63" customHeight="1">
      <x:c r="A151" s="3" t="str">
        <x:v>CTL-11-029</x:v>
      </x:c>
      <x:c r="B151" s="3" t="str">
        <x:v>home-gui</x:v>
      </x:c>
      <x:c r="C151" s="3" t="str">
        <x:v>Enter Fullscreen</x:v>
      </x:c>
      <x:c r="D151" s="3" t="str">
        <x:v>button / button</x:v>
      </x:c>
      <x:c r="E151" s="13" t="str">
        <x:v>Partially observed</x:v>
      </x:c>
      <x:c r="F151" s="3" t="str">
        <x:v>Status offers Home fullscreen. App-window fullscreen tested separately; browser-shell fullscreen branch remains unrun.</x:v>
      </x:c>
      <x:c r="G151" s="3" t="str">
        <x:v>control-centre-fullscreen</x:v>
      </x:c>
      <x:c r="H151" s="3" t="str">
        <x:v>E-046</x:v>
      </x:c>
      <x:c r="I151" s="3" t="str">
        <x:v>capsules/home-gui/browser/home-gui-template.html</x:v>
      </x:c>
      <x:c r="J151" s="14" t="n">
        <x:v>268</x:v>
      </x:c>
      <x:c r="K151" s="3" t="str">
        <x:v>Related dynamic groups: DYN-GUI-03, DYN-GUI-04, DYN-GUI-07, DYN-GUI-09, DYN-GUI-10, DYN-GUI-12, DYN-GUI-15. Same-capsule grouping, not one-to-one execution coverage.</x:v>
      </x:c>
      <x:c r="L151" s="3" t="str">
        <x:v>Template-defined; runtime visibility Not run</x:v>
      </x:c>
    </x:row>
    <x:row r="152" ht="67.5" customHeight="1">
      <x:c r="A152" s="3" t="str">
        <x:v>CTL-11-030</x:v>
      </x:c>
      <x:c r="B152" s="3" t="str">
        <x:v>home-gui</x:v>
      </x:c>
      <x:c r="C152" s="3" t="str">
        <x:v>Overview ›</x:v>
      </x:c>
      <x:c r="D152" s="3" t="str">
        <x:v>button / button</x:v>
      </x:c>
      <x:c r="E152" s="13" t="str">
        <x:v>Partially observed</x:v>
      </x:c>
      <x:c r="F152" s="3" t="str">
        <x:v>Status panel exposes the named navigation shortcut. Main toolbar/app launch equivalents were tested; this duplicate route has no separate dispatch proof.</x:v>
      </x:c>
      <x:c r="G152" s="3" t="str">
        <x:v>control-centre-show-windows</x:v>
      </x:c>
      <x:c r="H152" s="3" t="str">
        <x:v>E-046</x:v>
      </x:c>
      <x:c r="I152" s="3" t="str">
        <x:v>capsules/home-gui/browser/home-gui-template.html</x:v>
      </x:c>
      <x:c r="J152" s="14" t="n">
        <x:v>271</x:v>
      </x:c>
      <x:c r="K152" s="3" t="str">
        <x:v>Related dynamic groups: DYN-GUI-03, DYN-GUI-04, DYN-GUI-07, DYN-GUI-09, DYN-GUI-10, DYN-GUI-12, DYN-GUI-15. Same-capsule grouping, not one-to-one execution coverage.</x:v>
      </x:c>
      <x:c r="L152" s="3" t="str">
        <x:v>Template-defined; runtime visibility Not run</x:v>
      </x:c>
    </x:row>
    <x:row r="153" ht="67.5" customHeight="1">
      <x:c r="A153" s="3" t="str">
        <x:v>CTL-11-031</x:v>
      </x:c>
      <x:c r="B153" s="3" t="str">
        <x:v>home-gui</x:v>
      </x:c>
      <x:c r="C153" s="3" t="str">
        <x:v>Wallet Open</x:v>
      </x:c>
      <x:c r="D153" s="3" t="str">
        <x:v>button / button</x:v>
      </x:c>
      <x:c r="E153" s="13" t="str">
        <x:v>Partially observed</x:v>
      </x:c>
      <x:c r="F153" s="3" t="str">
        <x:v>F29 panelmarkup is fixed andtopbar/StatusApprovals routes pass. This older quickcontrol is absent from the currentvisible Status layout; separate dispatch remains unverified.</x:v>
      </x:c>
      <x:c r="G153" s="3" t="str">
        <x:v>control-centre-wallet</x:v>
      </x:c>
      <x:c r="H153" s="3" t="str">
        <x:v>E-046; E-100</x:v>
      </x:c>
      <x:c r="I153" s="3" t="str">
        <x:v>capsules/home-gui/browser/home-gui-template.html</x:v>
      </x:c>
      <x:c r="J153" s="14" t="n">
        <x:v>283</x:v>
      </x:c>
      <x:c r="K153" s="3" t="str">
        <x:v>Related dynamic groups: DYN-GUI-03, DYN-GUI-04, DYN-GUI-07, DYN-GUI-09, DYN-GUI-10, DYN-GUI-12, DYN-GUI-15. Same-capsule grouping, not one-to-one execution coverage.</x:v>
      </x:c>
      <x:c r="L153" s="3" t="str">
        <x:v>Template-defined; runtime visibility Not run</x:v>
      </x:c>
    </x:row>
    <x:row r="154" ht="81" customHeight="1">
      <x:c r="A154" s="3" t="str">
        <x:v>CTL-11-032</x:v>
      </x:c>
      <x:c r="B154" s="3" t="str">
        <x:v>home-gui</x:v>
      </x:c>
      <x:c r="C154" s="3" t="str">
        <x:v>This Device About</x:v>
      </x:c>
      <x:c r="D154" s="3" t="str">
        <x:v>button / button</x:v>
      </x:c>
      <x:c r="E154" s="13" t="str">
        <x:v>Pass</x:v>
      </x:c>
      <x:c r="F154" s="3" t="str">
        <x:v>Status → This Device About opens the System This Device region with version, source and network status. System closes normally; identity and appearance settings remain unchanged.</x:v>
      </x:c>
      <x:c r="G154" s="3" t="str">
        <x:v>control-centre-this-device</x:v>
      </x:c>
      <x:c r="H154" s="3" t="str">
        <x:v>E-042; E-046; E-082</x:v>
      </x:c>
      <x:c r="I154" s="3" t="str">
        <x:v>capsules/home-gui/browser/home-gui-template.html</x:v>
      </x:c>
      <x:c r="J154" s="14" t="n">
        <x:v>287</x:v>
      </x:c>
      <x:c r="K154" s="3" t="str">
        <x:v>Related dynamic groups: DYN-GUI-03, DYN-GUI-04, DYN-GUI-07, DYN-GUI-09, DYN-GUI-10, DYN-GUI-12, DYN-GUI-15. Same-capsule grouping, not one-to-one execution coverage.</x:v>
      </x:c>
      <x:c r="L154" s="3" t="str">
        <x:v>Template-defined; runtime visibility Not run</x:v>
      </x:c>
    </x:row>
    <x:row r="155" ht="67.5" customHeight="1">
      <x:c r="A155" s="3" t="str">
        <x:v>CTL-11-033</x:v>
      </x:c>
      <x:c r="B155" s="3" t="str">
        <x:v>home-gui</x:v>
      </x:c>
      <x:c r="C155" s="3" t="str">
        <x:v>System Open</x:v>
      </x:c>
      <x:c r="D155" s="3" t="str">
        <x:v>button / button</x:v>
      </x:c>
      <x:c r="E155" s="13" t="str">
        <x:v>Partially observed</x:v>
      </x:c>
      <x:c r="F155" s="3" t="str">
        <x:v>Status panel exposes the named navigation shortcut. Main toolbar/app launch equivalents were tested; this duplicate route has no separate dispatch proof.</x:v>
      </x:c>
      <x:c r="G155" s="3" t="str">
        <x:v>control-centre-system</x:v>
      </x:c>
      <x:c r="H155" s="3" t="str">
        <x:v>E-046</x:v>
      </x:c>
      <x:c r="I155" s="3" t="str">
        <x:v>capsules/home-gui/browser/home-gui-template.html</x:v>
      </x:c>
      <x:c r="J155" s="14" t="n">
        <x:v>291</x:v>
      </x:c>
      <x:c r="K155" s="3" t="str">
        <x:v>Related dynamic groups: DYN-GUI-03, DYN-GUI-04, DYN-GUI-07, DYN-GUI-09, DYN-GUI-10, DYN-GUI-12, DYN-GUI-15. Same-capsule grouping, not one-to-one execution coverage.</x:v>
      </x:c>
      <x:c r="L155" s="3" t="str">
        <x:v>Template-defined; runtime visibility Not run</x:v>
      </x:c>
    </x:row>
    <x:row r="156" ht="63" customHeight="1">
      <x:c r="A156" s="3" t="str">
        <x:v>CTL-11-034</x:v>
      </x:c>
      <x:c r="B156" s="3" t="str">
        <x:v>home-gui</x:v>
      </x:c>
      <x:c r="C156" s="3" t="str">
        <x:v>Close setup</x:v>
      </x:c>
      <x:c r="D156" s="3" t="str">
        <x:v>button / button</x:v>
      </x:c>
      <x:c r="E156" s="13" t="str">
        <x:v>Blocked prerequisite</x:v>
      </x:c>
      <x:c r="F156" s="3" t="str">
        <x:v>First-run setup controls require a fresh principal. Existing Profile/recovery state preserved; no kit export or Profile creation.</x:v>
      </x:c>
      <x:c r="G156" s="3" t="str">
        <x:v>setup-sheet-close</x:v>
      </x:c>
      <x:c r="H156" s="3" t="str">
        <x:v>E-043</x:v>
      </x:c>
      <x:c r="I156" s="3" t="str">
        <x:v>capsules/home-gui/browser/home-gui-template.html</x:v>
      </x:c>
      <x:c r="J156" s="14" t="n">
        <x:v>310</x:v>
      </x:c>
      <x:c r="K156" s="3" t="str">
        <x:v>Related dynamic groups: DYN-GUI-03, DYN-GUI-04, DYN-GUI-07, DYN-GUI-09, DYN-GUI-10, DYN-GUI-12, DYN-GUI-15. Same-capsule grouping, not one-to-one execution coverage.</x:v>
      </x:c>
      <x:c r="L156" s="3" t="str">
        <x:v>Template-defined; runtime visibility Not run</x:v>
      </x:c>
    </x:row>
    <x:row r="157" ht="63" customHeight="1">
      <x:c r="A157" s="3" t="str">
        <x:v>CTL-11-035</x:v>
      </x:c>
      <x:c r="B157" s="3" t="str">
        <x:v>home-gui</x:v>
      </x:c>
      <x:c r="C157" s="3" t="str">
        <x:v>Save kit</x:v>
      </x:c>
      <x:c r="D157" s="3" t="str">
        <x:v>button / button</x:v>
      </x:c>
      <x:c r="E157" s="13" t="str">
        <x:v>Blocked prerequisite</x:v>
      </x:c>
      <x:c r="F157" s="3" t="str">
        <x:v>First-run setup controls require a fresh principal. Existing Profile/recovery state preserved; no kit export or Profile creation.</x:v>
      </x:c>
      <x:c r="G157" s="3" t="str">
        <x:v>setup-sheet-recovery</x:v>
      </x:c>
      <x:c r="H157" s="3" t="str">
        <x:v>E-043</x:v>
      </x:c>
      <x:c r="I157" s="3" t="str">
        <x:v>capsules/home-gui/browser/home-gui-template.html</x:v>
      </x:c>
      <x:c r="J157" s="14" t="n">
        <x:v>329</x:v>
      </x:c>
      <x:c r="K157" s="3" t="str">
        <x:v>Related dynamic groups: DYN-GUI-03, DYN-GUI-04, DYN-GUI-07, DYN-GUI-09, DYN-GUI-10, DYN-GUI-12, DYN-GUI-15. Same-capsule grouping, not one-to-one execution coverage.</x:v>
      </x:c>
      <x:c r="L157" s="3" t="str">
        <x:v>Template-defined; runtime visibility Not run</x:v>
      </x:c>
    </x:row>
    <x:row r="158" ht="63" customHeight="1">
      <x:c r="A158" s="3" t="str">
        <x:v>CTL-11-036</x:v>
      </x:c>
      <x:c r="B158" s="3" t="str">
        <x:v>home-gui</x:v>
      </x:c>
      <x:c r="C158" s="3" t="str">
        <x:v>Create Profile</x:v>
      </x:c>
      <x:c r="D158" s="3" t="str">
        <x:v>button / button</x:v>
      </x:c>
      <x:c r="E158" s="13" t="str">
        <x:v>Blocked prerequisite</x:v>
      </x:c>
      <x:c r="F158" s="3" t="str">
        <x:v>First-run setup controls require a fresh principal. Existing Profile/recovery state preserved; no kit export or Profile creation.</x:v>
      </x:c>
      <x:c r="G158" s="3" t="str">
        <x:v>setup-sheet-profile</x:v>
      </x:c>
      <x:c r="H158" s="3" t="str">
        <x:v>E-043</x:v>
      </x:c>
      <x:c r="I158" s="3" t="str">
        <x:v>capsules/home-gui/browser/home-gui-template.html</x:v>
      </x:c>
      <x:c r="J158" s="14" t="n">
        <x:v>339</x:v>
      </x:c>
      <x:c r="K158" s="3" t="str">
        <x:v>Related dynamic groups: DYN-GUI-03, DYN-GUI-04, DYN-GUI-07, DYN-GUI-09, DYN-GUI-10, DYN-GUI-12, DYN-GUI-15. Same-capsule grouping, not one-to-one execution coverage.</x:v>
      </x:c>
      <x:c r="L158" s="3" t="str">
        <x:v>Template-defined; runtime visibility Not run</x:v>
      </x:c>
    </x:row>
    <x:row r="159" ht="63" customHeight="1">
      <x:c r="A159" s="3" t="str">
        <x:v>CTL-11-037</x:v>
      </x:c>
      <x:c r="B159" s="3" t="str">
        <x:v>home-gui</x:v>
      </x:c>
      <x:c r="C159" s="3" t="str">
        <x:v>Search</x:v>
      </x:c>
      <x:c r="D159" s="3" t="str">
        <x:v>input / search</x:v>
      </x:c>
      <x:c r="E159" s="13" t="str">
        <x:v>Partially observed</x:v>
      </x:c>
      <x:c r="F159" s="3" t="str">
        <x:v>Static launcher-search input is hidden in the current launcher; Search is owned by the separately tested toolbar Spotlight surface.</x:v>
      </x:c>
      <x:c r="G159" s="3" t="str">
        <x:v>launcher-search</x:v>
      </x:c>
      <x:c r="H159" s="3" t="str">
        <x:v>E-033; E-037</x:v>
      </x:c>
      <x:c r="I159" s="3" t="str">
        <x:v>capsules/home-gui/browser/home-gui-template.html</x:v>
      </x:c>
      <x:c r="J159" s="14" t="n">
        <x:v>367</x:v>
      </x:c>
      <x:c r="K159" s="3" t="str">
        <x:v>Related dynamic groups: DYN-GUI-03, DYN-GUI-04, DYN-GUI-07, DYN-GUI-09, DYN-GUI-10, DYN-GUI-12, DYN-GUI-15. Same-capsule grouping, not one-to-one execution coverage.</x:v>
      </x:c>
      <x:c r="L159" s="3" t="str">
        <x:v>Template-defined; runtime visibility Not run</x:v>
      </x:c>
    </x:row>
    <x:row r="160" ht="63" customHeight="1">
      <x:c r="A160" s="3" t="str">
        <x:v>CTL-11-038</x:v>
      </x:c>
      <x:c r="B160" s="3" t="str">
        <x:v>home-gui</x:v>
      </x:c>
      <x:c r="C160" s="3" t="str">
        <x:v>Switch to list view</x:v>
      </x:c>
      <x:c r="D160" s="3" t="str">
        <x:v>button / button</x:v>
      </x:c>
      <x:c r="E160" s="13" t="str">
        <x:v>Pass</x:v>
      </x:c>
      <x:c r="F160" s="3" t="str">
        <x:v>Switch to list view changes to Switch to grid view; switch back restores grid and original setting.</x:v>
      </x:c>
      <x:c r="G160" s="3" t="str">
        <x:v>launcher-view-toggle</x:v>
      </x:c>
      <x:c r="H160" s="3" t="str">
        <x:v>E-033</x:v>
      </x:c>
      <x:c r="I160" s="3" t="str">
        <x:v>capsules/home-gui/browser/home-gui-template.html</x:v>
      </x:c>
      <x:c r="J160" s="14" t="n">
        <x:v>379</x:v>
      </x:c>
      <x:c r="K160" s="3" t="str">
        <x:v>Related dynamic groups: DYN-GUI-03, DYN-GUI-04, DYN-GUI-07, DYN-GUI-09, DYN-GUI-10, DYN-GUI-12, DYN-GUI-15. Same-capsule grouping, not one-to-one execution coverage.</x:v>
      </x:c>
      <x:c r="L160" s="3" t="str">
        <x:v>Template-defined; runtime visibility Not run</x:v>
      </x:c>
    </x:row>
    <x:row r="161" ht="63" customHeight="1">
      <x:c r="A161" s="3" t="str">
        <x:v>CTL-11-039</x:v>
      </x:c>
      <x:c r="B161" s="3" t="str">
        <x:v>home-gui</x:v>
      </x:c>
      <x:c r="C161" s="3" t="str">
        <x:v>Open launcher</x:v>
      </x:c>
      <x:c r="D161" s="3" t="str">
        <x:v>button / button</x:v>
      </x:c>
      <x:c r="E161" s="13" t="str">
        <x:v>Pass</x:v>
      </x:c>
      <x:c r="F161" s="3" t="str">
        <x:v>Open launcher opens the named dialog. Escape closes it and returns focus to the invoking control.</x:v>
      </x:c>
      <x:c r="G161" s="3" t="str">
        <x:v>launcher-toggle</x:v>
      </x:c>
      <x:c r="H161" s="3" t="str">
        <x:v>E-033</x:v>
      </x:c>
      <x:c r="I161" s="3" t="str">
        <x:v>capsules/home-gui/browser/home-gui-template.html</x:v>
      </x:c>
      <x:c r="J161" s="14" t="n">
        <x:v>395</x:v>
      </x:c>
      <x:c r="K161" s="3" t="str">
        <x:v>Related dynamic groups: DYN-GUI-03, DYN-GUI-04, DYN-GUI-07, DYN-GUI-09, DYN-GUI-10, DYN-GUI-12, DYN-GUI-15. Same-capsule grouping, not one-to-one execution coverage.</x:v>
      </x:c>
      <x:c r="L161" s="3" t="str">
        <x:v>Template-defined; runtime visibility Not run</x:v>
      </x:c>
    </x:row>
    <x:row r="162" ht="67.5" customHeight="1">
      <x:c r="A162" s="3" t="str">
        <x:v>CTL-11-040</x:v>
      </x:c>
      <x:c r="B162" s="3" t="str">
        <x:v>home-gui</x:v>
      </x:c>
      <x:c r="C162" s="3" t="str">
        <x:v>Review</x:v>
      </x:c>
      <x:c r="D162" s="3" t="str">
        <x:v>button / button</x:v>
      </x:c>
      <x:c r="E162" s="13" t="str">
        <x:v>Partially observed</x:v>
      </x:c>
      <x:c r="F162" s="3" t="str">
        <x:v>E100 notificationhistory request opens Inbox. StatictoastReview control is currently hidden; equivalent historynavigation is verified withoutapproval.</x:v>
      </x:c>
      <x:c r="G162" s="3" t="str">
        <x:v>home-notification-action</x:v>
      </x:c>
      <x:c r="H162" s="3" t="str">
        <x:v>E-046; E-100</x:v>
      </x:c>
      <x:c r="I162" s="3" t="str">
        <x:v>capsules/home-gui/browser/home-gui-template.html</x:v>
      </x:c>
      <x:c r="J162" s="14" t="n">
        <x:v>426</x:v>
      </x:c>
      <x:c r="K162" s="3" t="str">
        <x:v>Related dynamic groups: DYN-GUI-03, DYN-GUI-04, DYN-GUI-07, DYN-GUI-09, DYN-GUI-10, DYN-GUI-12, DYN-GUI-15. Same-capsule grouping, not one-to-one execution coverage.</x:v>
      </x:c>
      <x:c r="L162" s="3" t="str">
        <x:v>Template-defined; runtime visibility Not run</x:v>
      </x:c>
    </x:row>
    <x:row r="163" ht="63" customHeight="1">
      <x:c r="A163" s="3" t="str">
        <x:v>CTL-11-041</x:v>
      </x:c>
      <x:c r="B163" s="3" t="str">
        <x:v>home-gui</x:v>
      </x:c>
      <x:c r="C163" s="3" t="str">
        <x:v>Dismiss notification</x:v>
      </x:c>
      <x:c r="D163" s="3" t="str">
        <x:v>button / button</x:v>
      </x:c>
      <x:c r="E163" s="13" t="str">
        <x:v>Blocked prerequisite</x:v>
      </x:c>
      <x:c r="F163" s="3" t="str">
        <x:v>Existing pending notification retained. Dismissal needs a disposable notification fixture.</x:v>
      </x:c>
      <x:c r="G163" s="3" t="str">
        <x:v>home-notification-dismiss</x:v>
      </x:c>
      <x:c r="H163" s="3" t="str">
        <x:v>E-046</x:v>
      </x:c>
      <x:c r="I163" s="3" t="str">
        <x:v>capsules/home-gui/browser/home-gui-template.html</x:v>
      </x:c>
      <x:c r="J163" s="14" t="n">
        <x:v>427</x:v>
      </x:c>
      <x:c r="K163" s="3" t="str">
        <x:v>Related dynamic groups: DYN-GUI-03, DYN-GUI-04, DYN-GUI-07, DYN-GUI-09, DYN-GUI-10, DYN-GUI-12, DYN-GUI-15. Same-capsule grouping, not one-to-one execution coverage.</x:v>
      </x:c>
      <x:c r="L163" s="3" t="str">
        <x:v>Template-defined; runtime visibility Not run</x:v>
      </x:c>
    </x:row>
    <x:row r="164" ht="63" customHeight="1">
      <x:c r="A164" s="3" t="str">
        <x:v>CTL-11-042</x:v>
      </x:c>
      <x:c r="B164" s="3" t="str">
        <x:v>home-gui</x:v>
      </x:c>
      <x:c r="C164" s="3" t="str">
        <x:v>Close</x:v>
      </x:c>
      <x:c r="D164" s="3" t="str">
        <x:v>button / button</x:v>
      </x:c>
      <x:c r="E164" s="13" t="str">
        <x:v>Pass</x:v>
      </x:c>
      <x:c r="F164" s="3" t="str">
        <x:v>Audit Documents window closes, minimizes/restores and enters/exits Home fullscreen with one chrome layer.</x:v>
      </x:c>
      <x:c r="G164" s="3" t="str">
        <x:v>close</x:v>
      </x:c>
      <x:c r="H164" s="3" t="str">
        <x:v>E-045</x:v>
      </x:c>
      <x:c r="I164" s="3" t="str">
        <x:v>capsules/home-gui/browser/home-gui-template.html</x:v>
      </x:c>
      <x:c r="J164" s="14" t="n">
        <x:v>440</x:v>
      </x:c>
      <x:c r="K164" s="3" t="str">
        <x:v>Related dynamic groups: DYN-GUI-03, DYN-GUI-04, DYN-GUI-07, DYN-GUI-09, DYN-GUI-10, DYN-GUI-12, DYN-GUI-15. Same-capsule grouping, not one-to-one execution coverage.</x:v>
      </x:c>
      <x:c r="L164" s="3" t="str">
        <x:v>Template-defined; runtime visibility Not run</x:v>
      </x:c>
    </x:row>
    <x:row r="165" ht="63" customHeight="1">
      <x:c r="A165" s="3" t="str">
        <x:v>CTL-11-043</x:v>
      </x:c>
      <x:c r="B165" s="3" t="str">
        <x:v>home-gui</x:v>
      </x:c>
      <x:c r="C165" s="3" t="str">
        <x:v>Minimize</x:v>
      </x:c>
      <x:c r="D165" s="3" t="str">
        <x:v>button / button</x:v>
      </x:c>
      <x:c r="E165" s="13" t="str">
        <x:v>Pass</x:v>
      </x:c>
      <x:c r="F165" s="3" t="str">
        <x:v>Audit Documents window closes, minimizes/restores and enters/exits Home fullscreen with one chrome layer.</x:v>
      </x:c>
      <x:c r="G165" s="3" t="str">
        <x:v>minimize</x:v>
      </x:c>
      <x:c r="H165" s="3" t="str">
        <x:v>E-045</x:v>
      </x:c>
      <x:c r="I165" s="3" t="str">
        <x:v>capsules/home-gui/browser/home-gui-template.html</x:v>
      </x:c>
      <x:c r="J165" s="14" t="n">
        <x:v>443</x:v>
      </x:c>
      <x:c r="K165" s="3" t="str">
        <x:v>Related dynamic groups: DYN-GUI-03, DYN-GUI-04, DYN-GUI-07, DYN-GUI-09, DYN-GUI-10, DYN-GUI-12, DYN-GUI-15. Same-capsule grouping, not one-to-one execution coverage.</x:v>
      </x:c>
      <x:c r="L165" s="3" t="str">
        <x:v>Template-defined; runtime visibility Not run</x:v>
      </x:c>
    </x:row>
    <x:row r="166" ht="63" customHeight="1">
      <x:c r="A166" s="3" t="str">
        <x:v>CTL-11-044</x:v>
      </x:c>
      <x:c r="B166" s="3" t="str">
        <x:v>home-gui</x:v>
      </x:c>
      <x:c r="C166" s="3" t="str">
        <x:v>Enter Fullscreen</x:v>
      </x:c>
      <x:c r="D166" s="3" t="str">
        <x:v>button / button</x:v>
      </x:c>
      <x:c r="E166" s="13" t="str">
        <x:v>Pass</x:v>
      </x:c>
      <x:c r="F166" s="3" t="str">
        <x:v>Audit Documents window closes, minimizes/restores and enters/exits Home fullscreen with one chrome layer.</x:v>
      </x:c>
      <x:c r="G166" s="3" t="str">
        <x:v>maximize</x:v>
      </x:c>
      <x:c r="H166" s="3" t="str">
        <x:v>E-045</x:v>
      </x:c>
      <x:c r="I166" s="3" t="str">
        <x:v>capsules/home-gui/browser/home-gui-template.html</x:v>
      </x:c>
      <x:c r="J166" s="14" t="n">
        <x:v>446</x:v>
      </x:c>
      <x:c r="K166" s="3" t="str">
        <x:v>Related dynamic groups: DYN-GUI-03, DYN-GUI-04, DYN-GUI-07, DYN-GUI-09, DYN-GUI-10, DYN-GUI-12, DYN-GUI-15. Same-capsule grouping, not one-to-one execution coverage.</x:v>
      </x:c>
      <x:c r="L166" s="3" t="str">
        <x:v>Template-defined; runtime visibility Not run</x:v>
      </x:c>
    </x:row>
    <x:row r="167" ht="81" customHeight="1">
      <x:c r="A167" s="3" t="str">
        <x:v>CTL-11-045</x:v>
      </x:c>
      <x:c r="B167" s="3" t="str">
        <x:v>home-gui</x:v>
      </x:c>
      <x:c r="C167" s="3" t="str">
        <x:v>(unlabeled template control)</x:v>
      </x:c>
      <x:c r="D167" s="3" t="str">
        <x:v>button / button</x:v>
      </x:c>
      <x:c r="E167" s="13" t="str">
        <x:v>Blocked prerequisite</x:v>
      </x:c>
      <x:c r="F167" s="3" t="str">
        <x:v>Generic source-template button has no resolved live action identity in this audit. A matching dynamic runtime condition is required before assigning an individual activation result; source presence is not observation.</x:v>
      </x:c>
      <x:c r="G167" s="3" t="str"/>
      <x:c r="H167" s="3" t="str">
        <x:v>E-045</x:v>
      </x:c>
      <x:c r="I167" s="3" t="str">
        <x:v>capsules/home-gui/browser/home-gui-template.html</x:v>
      </x:c>
      <x:c r="J167" s="14" t="n">
        <x:v>476</x:v>
      </x:c>
      <x:c r="K167" s="3" t="str">
        <x:v>Related dynamic groups: DYN-GUI-03, DYN-GUI-04, DYN-GUI-07, DYN-GUI-09, DYN-GUI-10, DYN-GUI-12, DYN-GUI-15. Same-capsule grouping, not one-to-one execution coverage.</x:v>
      </x:c>
      <x:c r="L167" s="3" t="str">
        <x:v>Template-defined; runtime visibility Not run</x:v>
      </x:c>
    </x:row>
    <x:row r="168" ht="81" customHeight="1">
      <x:c r="A168" s="3" t="str">
        <x:v>CTL-11-046</x:v>
      </x:c>
      <x:c r="B168" s="3" t="str">
        <x:v>home-gui</x:v>
      </x:c>
      <x:c r="C168" s="3" t="str">
        <x:v>(unlabeled template control)</x:v>
      </x:c>
      <x:c r="D168" s="3" t="str">
        <x:v>button / button</x:v>
      </x:c>
      <x:c r="E168" s="13" t="str">
        <x:v>Blocked prerequisite</x:v>
      </x:c>
      <x:c r="F168" s="3" t="str">
        <x:v>Generic source-template button has no resolved live action identity in this audit. A matching dynamic runtime condition is required before assigning an individual activation result; source presence is not observation.</x:v>
      </x:c>
      <x:c r="G168" s="3" t="str"/>
      <x:c r="H168" s="3" t="str">
        <x:v>E-045</x:v>
      </x:c>
      <x:c r="I168" s="3" t="str">
        <x:v>capsules/home-gui/browser/home-gui-template.html</x:v>
      </x:c>
      <x:c r="J168" s="14" t="n">
        <x:v>503</x:v>
      </x:c>
      <x:c r="K168" s="3" t="str">
        <x:v>Related dynamic groups: DYN-GUI-03, DYN-GUI-04, DYN-GUI-07, DYN-GUI-09, DYN-GUI-10, DYN-GUI-12, DYN-GUI-15. Same-capsule grouping, not one-to-one execution coverage.</x:v>
      </x:c>
      <x:c r="L168" s="3" t="str">
        <x:v>Template-defined; runtime visibility Not run</x:v>
      </x:c>
    </x:row>
    <x:row r="169" ht="81" customHeight="1">
      <x:c r="A169" s="3" t="str">
        <x:v>CTL-11-047</x:v>
      </x:c>
      <x:c r="B169" s="3" t="str">
        <x:v>home-gui</x:v>
      </x:c>
      <x:c r="C169" s="3" t="str">
        <x:v>(unlabeled template control)</x:v>
      </x:c>
      <x:c r="D169" s="3" t="str">
        <x:v>button / button</x:v>
      </x:c>
      <x:c r="E169" s="13" t="str">
        <x:v>Blocked prerequisite</x:v>
      </x:c>
      <x:c r="F169" s="3" t="str">
        <x:v>Generic source-template button has no resolved live action identity in this audit. A matching dynamic runtime condition is required before assigning an individual activation result; source presence is not observation.</x:v>
      </x:c>
      <x:c r="G169" s="3" t="str"/>
      <x:c r="H169" s="3" t="str">
        <x:v>E-045</x:v>
      </x:c>
      <x:c r="I169" s="3" t="str">
        <x:v>capsules/home-gui/browser/home-gui-template.html</x:v>
      </x:c>
      <x:c r="J169" s="14" t="n">
        <x:v>509</x:v>
      </x:c>
      <x:c r="K169" s="3" t="str">
        <x:v>Related dynamic groups: DYN-GUI-03, DYN-GUI-04, DYN-GUI-07, DYN-GUI-09, DYN-GUI-10, DYN-GUI-12, DYN-GUI-15. Same-capsule grouping, not one-to-one execution coverage.</x:v>
      </x:c>
      <x:c r="L169" s="3" t="str">
        <x:v>Template-defined; runtime visibility Not run</x:v>
      </x:c>
    </x:row>
    <x:row r="170" ht="63" customHeight="1">
      <x:c r="A170" s="3" t="str">
        <x:v>CTL-12-001</x:v>
      </x:c>
      <x:c r="B170" s="3" t="str">
        <x:v>inbox</x:v>
      </x:c>
      <x:c r="C170" s="3" t="str">
        <x:v>0 Pending</x:v>
      </x:c>
      <x:c r="D170" s="3" t="str">
        <x:v>button / button</x:v>
      </x:c>
      <x:c r="E170" s="13" t="str">
        <x:v>Pass</x:v>
      </x:c>
      <x:c r="F170" s="3" t="str">
        <x:v>Pending/Needs Review and Refresh show the same existing request. Pending filter restored; approve/reject untouched.</x:v>
      </x:c>
      <x:c r="G170" s="3" t="str"/>
      <x:c r="H170" s="3" t="str">
        <x:v>E-046</x:v>
      </x:c>
      <x:c r="I170" s="3" t="str">
        <x:v>capsules/inbox/browser/index.html</x:v>
      </x:c>
      <x:c r="J170" s="14" t="n">
        <x:v>555</x:v>
      </x:c>
      <x:c r="K170" s="3" t="str">
        <x:v>Related dynamic groups: DYN-INBOX-02, DYN-INBOX-03, DYN-INBOX-04, DYN-INBOX-05, DYN-INBOX-06. Same-capsule grouping, not one-to-one execution coverage.</x:v>
      </x:c>
      <x:c r="L170" s="3" t="str">
        <x:v>Markup-defined; conditional visibility Not run</x:v>
      </x:c>
    </x:row>
    <x:row r="171" ht="63" customHeight="1">
      <x:c r="A171" s="3" t="str">
        <x:v>CTL-12-002</x:v>
      </x:c>
      <x:c r="B171" s="3" t="str">
        <x:v>inbox</x:v>
      </x:c>
      <x:c r="C171" s="3" t="str">
        <x:v>0 Needs Review</x:v>
      </x:c>
      <x:c r="D171" s="3" t="str">
        <x:v>button / button</x:v>
      </x:c>
      <x:c r="E171" s="13" t="str">
        <x:v>Pass</x:v>
      </x:c>
      <x:c r="F171" s="3" t="str">
        <x:v>Pending/Needs Review and Refresh show the same existing request. Pending filter restored; approve/reject untouched.</x:v>
      </x:c>
      <x:c r="G171" s="3" t="str"/>
      <x:c r="H171" s="3" t="str">
        <x:v>E-046</x:v>
      </x:c>
      <x:c r="I171" s="3" t="str">
        <x:v>capsules/inbox/browser/index.html</x:v>
      </x:c>
      <x:c r="J171" s="14" t="n">
        <x:v>559</x:v>
      </x:c>
      <x:c r="K171" s="3" t="str">
        <x:v>Related dynamic groups: DYN-INBOX-02, DYN-INBOX-03, DYN-INBOX-04, DYN-INBOX-05, DYN-INBOX-06. Same-capsule grouping, not one-to-one execution coverage.</x:v>
      </x:c>
      <x:c r="L171" s="3" t="str">
        <x:v>Markup-defined; conditional visibility Not run</x:v>
      </x:c>
    </x:row>
    <x:row r="172" ht="63" customHeight="1">
      <x:c r="A172" s="3" t="str">
        <x:v>CTL-12-003</x:v>
      </x:c>
      <x:c r="B172" s="3" t="str">
        <x:v>inbox</x:v>
      </x:c>
      <x:c r="C172" s="3" t="str">
        <x:v>Refresh</x:v>
      </x:c>
      <x:c r="D172" s="3" t="str">
        <x:v>button / button</x:v>
      </x:c>
      <x:c r="E172" s="13" t="str">
        <x:v>Pass</x:v>
      </x:c>
      <x:c r="F172" s="3" t="str">
        <x:v>Pending/Needs Review and Refresh show the same existing request. Pending filter restored; approve/reject untouched.</x:v>
      </x:c>
      <x:c r="G172" s="3" t="str">
        <x:v>refresh</x:v>
      </x:c>
      <x:c r="H172" s="3" t="str">
        <x:v>E-046</x:v>
      </x:c>
      <x:c r="I172" s="3" t="str">
        <x:v>capsules/inbox/browser/index.html</x:v>
      </x:c>
      <x:c r="J172" s="14" t="n">
        <x:v>572</x:v>
      </x:c>
      <x:c r="K172" s="3" t="str">
        <x:v>Related dynamic groups: DYN-INBOX-02, DYN-INBOX-03, DYN-INBOX-04, DYN-INBOX-05, DYN-INBOX-06. Same-capsule grouping, not one-to-one execution coverage.</x:v>
      </x:c>
      <x:c r="L172" s="3" t="str">
        <x:v>Markup-defined; conditional visibility Not run</x:v>
      </x:c>
    </x:row>
    <x:row r="173" ht="67.5" customHeight="1">
      <x:c r="A173" s="3" t="str">
        <x:v>CTL-13-001</x:v>
      </x:c>
      <x:c r="B173" s="3" t="str">
        <x:v>library</x:v>
      </x:c>
      <x:c r="C173" s="3" t="str">
        <x:v>Back</x:v>
      </x:c>
      <x:c r="D173" s="3" t="str">
        <x:v>button / button</x:v>
      </x:c>
      <x:c r="E173" s="13" t="str">
        <x:v>Pass</x:v>
      </x:c>
      <x:c r="F173" s="3" t="str">
        <x:v>With audit fixture.md selected, Enter on Back navigates to Documents and preserves the file selection authority. It no longer opens the selected file.</x:v>
      </x:c>
      <x:c r="G173" s="3" t="str">
        <x:v>back-button</x:v>
      </x:c>
      <x:c r="H173" s="3" t="str">
        <x:v>E-044; E-059</x:v>
      </x:c>
      <x:c r="I173" s="3" t="str">
        <x:v>capsules/library/browser/index.html</x:v>
      </x:c>
      <x:c r="J173" s="14" t="n">
        <x:v>40</x:v>
      </x:c>
      <x:c r="K173" s="3" t="str">
        <x:v>Related dynamic groups: DYN-LIB-07, DYN-LIB-09, DYN-LIB-10, DYN-LIB-11, DYN-LIB-12, DYN-LIB-14, DYN-LIB-15, DYN-LIB-17, DYN-LIB-18, DYN-LIB-22, DYN-LIB-23, DYN-LIB-24. Same-capsule grouping, not one-to-one execution coverage.</x:v>
      </x:c>
      <x:c r="L173" s="3" t="str">
        <x:v>Markup-defined; conditional visibility Not run</x:v>
      </x:c>
    </x:row>
    <x:row r="174" ht="63" customHeight="1">
      <x:c r="A174" s="3" t="str">
        <x:v>CTL-13-002</x:v>
      </x:c>
      <x:c r="B174" s="3" t="str">
        <x:v>library</x:v>
      </x:c>
      <x:c r="C174" s="3" t="str">
        <x:v>Forward</x:v>
      </x:c>
      <x:c r="D174" s="3" t="str">
        <x:v>button / button</x:v>
      </x:c>
      <x:c r="E174" s="13" t="str">
        <x:v>Pass</x:v>
      </x:c>
      <x:c r="F174" s="3" t="str">
        <x:v>Enter on Forward returns to audit-20260830 after Back. The selected file does not steal the toolbar action.</x:v>
      </x:c>
      <x:c r="G174" s="3" t="str">
        <x:v>forward-button</x:v>
      </x:c>
      <x:c r="H174" s="3" t="str">
        <x:v>E-044; E-059</x:v>
      </x:c>
      <x:c r="I174" s="3" t="str">
        <x:v>capsules/library/browser/index.html</x:v>
      </x:c>
      <x:c r="J174" s="14" t="n">
        <x:v>41</x:v>
      </x:c>
      <x:c r="K174" s="3" t="str">
        <x:v>Related dynamic groups: DYN-LIB-07, DYN-LIB-09, DYN-LIB-10, DYN-LIB-11, DYN-LIB-12, DYN-LIB-14, DYN-LIB-15, DYN-LIB-17, DYN-LIB-18, DYN-LIB-22, DYN-LIB-23, DYN-LIB-24. Same-capsule grouping, not one-to-one execution coverage.</x:v>
      </x:c>
      <x:c r="L174" s="3" t="str">
        <x:v>Markup-defined; conditional visibility Not run</x:v>
      </x:c>
    </x:row>
    <x:row r="175" ht="63" customHeight="1">
      <x:c r="A175" s="3" t="str">
        <x:v>CTL-13-003</x:v>
      </x:c>
      <x:c r="B175" s="3" t="str">
        <x:v>library</x:v>
      </x:c>
      <x:c r="C175" s="3" t="str">
        <x:v>Up</x:v>
      </x:c>
      <x:c r="D175" s="3" t="str">
        <x:v>button / button</x:v>
      </x:c>
      <x:c r="E175" s="13" t="str">
        <x:v>Pass</x:v>
      </x:c>
      <x:c r="F175" s="3" t="str">
        <x:v>Enter on Up from audit-20260830 returns to Documents with the expected items and unchanged original file metadata.</x:v>
      </x:c>
      <x:c r="G175" s="3" t="str">
        <x:v>up-button</x:v>
      </x:c>
      <x:c r="H175" s="3" t="str">
        <x:v>E-044; E-059; E-082</x:v>
      </x:c>
      <x:c r="I175" s="3" t="str">
        <x:v>capsules/library/browser/index.html</x:v>
      </x:c>
      <x:c r="J175" s="14" t="n">
        <x:v>42</x:v>
      </x:c>
      <x:c r="K175" s="3" t="str">
        <x:v>Related dynamic groups: DYN-LIB-07, DYN-LIB-09, DYN-LIB-10, DYN-LIB-11, DYN-LIB-12, DYN-LIB-14, DYN-LIB-15, DYN-LIB-17, DYN-LIB-18, DYN-LIB-22, DYN-LIB-23, DYN-LIB-24. Same-capsule grouping, not one-to-one execution coverage.</x:v>
      </x:c>
      <x:c r="L175" s="3" t="str">
        <x:v>Markup-defined; conditional visibility Not run</x:v>
      </x:c>
    </x:row>
    <x:row r="176" ht="63" customHeight="1">
      <x:c r="A176" s="3" t="str">
        <x:v>CTL-13-004</x:v>
      </x:c>
      <x:c r="B176" s="3" t="str">
        <x:v>library</x:v>
      </x:c>
      <x:c r="C176" s="3" t="str">
        <x:v>Search</x:v>
      </x:c>
      <x:c r="D176" s="3" t="str">
        <x:v>button / button</x:v>
      </x:c>
      <x:c r="E176" s="13" t="str">
        <x:v>Pass</x:v>
      </x:c>
      <x:c r="F176" s="3" t="str">
        <x:v>Search fixture matches the audit item; absent query shows No matching items and0items; clearing restores contents.</x:v>
      </x:c>
      <x:c r="G176" s="3" t="str">
        <x:v>search-toggle-button</x:v>
      </x:c>
      <x:c r="H176" s="3" t="str">
        <x:v>E-044</x:v>
      </x:c>
      <x:c r="I176" s="3" t="str">
        <x:v>capsules/library/browser/index.html</x:v>
      </x:c>
      <x:c r="J176" s="14" t="n">
        <x:v>50</x:v>
      </x:c>
      <x:c r="K176" s="3" t="str">
        <x:v>Related dynamic groups: DYN-LIB-07, DYN-LIB-09, DYN-LIB-10, DYN-LIB-11, DYN-LIB-12, DYN-LIB-14, DYN-LIB-15, DYN-LIB-17, DYN-LIB-18, DYN-LIB-22, DYN-LIB-23, DYN-LIB-24. Same-capsule grouping, not one-to-one execution coverage.</x:v>
      </x:c>
      <x:c r="L176" s="3" t="str">
        <x:v>Markup-defined; conditional visibility Not run</x:v>
      </x:c>
    </x:row>
    <x:row r="177" ht="63" customHeight="1">
      <x:c r="A177" s="3" t="str">
        <x:v>CTL-13-005</x:v>
      </x:c>
      <x:c r="B177" s="3" t="str">
        <x:v>library</x:v>
      </x:c>
      <x:c r="C177" s="3" t="str">
        <x:v>Search</x:v>
      </x:c>
      <x:c r="D177" s="3" t="str">
        <x:v>input / search</x:v>
      </x:c>
      <x:c r="E177" s="13" t="str">
        <x:v>Pass</x:v>
      </x:c>
      <x:c r="F177" s="3" t="str">
        <x:v>Search fixture matches the audit item; absent query shows No matching items and0items; clearing restores contents.</x:v>
      </x:c>
      <x:c r="G177" s="3" t="str">
        <x:v>search</x:v>
      </x:c>
      <x:c r="H177" s="3" t="str">
        <x:v>E-044</x:v>
      </x:c>
      <x:c r="I177" s="3" t="str">
        <x:v>capsules/library/browser/index.html</x:v>
      </x:c>
      <x:c r="J177" s="14" t="n">
        <x:v>60</x:v>
      </x:c>
      <x:c r="K177" s="3" t="str">
        <x:v>Related dynamic groups: DYN-LIB-07, DYN-LIB-09, DYN-LIB-10, DYN-LIB-11, DYN-LIB-12, DYN-LIB-14, DYN-LIB-15, DYN-LIB-17, DYN-LIB-18, DYN-LIB-22, DYN-LIB-23, DYN-LIB-24. Same-capsule grouping, not one-to-one execution coverage.</x:v>
      </x:c>
      <x:c r="L177" s="3" t="str">
        <x:v>Markup-defined; conditional visibility Not run</x:v>
      </x:c>
    </x:row>
    <x:row r="178" ht="63" customHeight="1">
      <x:c r="A178" s="3" t="str">
        <x:v>CTL-13-006</x:v>
      </x:c>
      <x:c r="B178" s="3" t="str">
        <x:v>library</x:v>
      </x:c>
      <x:c r="C178" s="3" t="str">
        <x:v>Select</x:v>
      </x:c>
      <x:c r="D178" s="3" t="str">
        <x:v>button / button</x:v>
      </x:c>
      <x:c r="E178" s="13" t="str">
        <x:v>Partially observed</x:v>
      </x:c>
      <x:c r="F178" s="3" t="str">
        <x:v>Scoped picker Select/Create ZIP yields a created audit ZIP; delivery to Archive failsF-35.</x:v>
      </x:c>
      <x:c r="G178" s="3" t="str">
        <x:v>picker-action-button</x:v>
      </x:c>
      <x:c r="H178" s="3" t="str">
        <x:v>E-050</x:v>
      </x:c>
      <x:c r="I178" s="3" t="str">
        <x:v>capsules/library/browser/index.html</x:v>
      </x:c>
      <x:c r="J178" s="14" t="n">
        <x:v>62</x:v>
      </x:c>
      <x:c r="K178" s="3" t="str">
        <x:v>Related dynamic groups: DYN-LIB-07, DYN-LIB-09, DYN-LIB-10, DYN-LIB-11, DYN-LIB-12, DYN-LIB-14, DYN-LIB-15, DYN-LIB-17, DYN-LIB-18, DYN-LIB-22, DYN-LIB-23, DYN-LIB-24. Same-capsule grouping, not one-to-one execution coverage.</x:v>
      </x:c>
      <x:c r="L178" s="3" t="str">
        <x:v>Markup-defined; conditional visibility Not run</x:v>
      </x:c>
    </x:row>
    <x:row r="179" ht="81" customHeight="1">
      <x:c r="A179" s="3" t="str">
        <x:v>CTL-13-007</x:v>
      </x:c>
      <x:c r="B179" s="3" t="str">
        <x:v>library</x:v>
      </x:c>
      <x:c r="C179" s="3" t="str">
        <x:v>New folder</x:v>
      </x:c>
      <x:c r="D179" s="3" t="str">
        <x:v>button / button</x:v>
      </x:c>
      <x:c r="E179" s="13" t="str">
        <x:v>Fail</x:v>
      </x:c>
      <x:c r="F179" s="3" t="str">
        <x:v>New folder works by keyboard with a file selected. Invalid name/ keeps the editor open; a corrected name creates exactly one audit-retry-verified folder. F-25 remains open because the generic failure omits the name rule.</x:v>
      </x:c>
      <x:c r="G179" s="3" t="str">
        <x:v>new-folder-button</x:v>
      </x:c>
      <x:c r="H179" s="3" t="str">
        <x:v>E-044; E-059</x:v>
      </x:c>
      <x:c r="I179" s="3" t="str">
        <x:v>capsules/library/browser/index.html</x:v>
      </x:c>
      <x:c r="J179" s="14" t="n">
        <x:v>63</x:v>
      </x:c>
      <x:c r="K179" s="3" t="str">
        <x:v>Related dynamic groups: DYN-LIB-07, DYN-LIB-09, DYN-LIB-10, DYN-LIB-11, DYN-LIB-12, DYN-LIB-14, DYN-LIB-15, DYN-LIB-17, DYN-LIB-18, DYN-LIB-22, DYN-LIB-23, DYN-LIB-24. Same-capsule grouping, not one-to-one execution coverage.</x:v>
      </x:c>
      <x:c r="L179" s="3" t="str">
        <x:v>Markup-defined; conditional visibility Not run</x:v>
      </x:c>
    </x:row>
    <x:row r="180" ht="67.5" customHeight="1">
      <x:c r="A180" s="3" t="str">
        <x:v>CTL-13-008</x:v>
      </x:c>
      <x:c r="B180" s="3" t="str">
        <x:v>library</x:v>
      </x:c>
      <x:c r="C180" s="3" t="str">
        <x:v>Upload</x:v>
      </x:c>
      <x:c r="D180" s="3" t="str">
        <x:v>button / button</x:v>
      </x:c>
      <x:c r="E180" s="13" t="str">
        <x:v>Blocked prerequisite</x:v>
      </x:c>
      <x:c r="F180" s="3" t="str">
        <x:v>Upload is present; controlled host-file transfer remains unrun. Existing user files and native browser state preserved; app-local audit fixtures were created by Library.</x:v>
      </x:c>
      <x:c r="G180" s="3" t="str">
        <x:v>upload-button</x:v>
      </x:c>
      <x:c r="H180" s="3" t="str">
        <x:v>E-044</x:v>
      </x:c>
      <x:c r="I180" s="3" t="str">
        <x:v>capsules/library/browser/index.html</x:v>
      </x:c>
      <x:c r="J180" s="14" t="n">
        <x:v>64</x:v>
      </x:c>
      <x:c r="K180" s="3" t="str">
        <x:v>Related dynamic groups: DYN-LIB-07, DYN-LIB-09, DYN-LIB-10, DYN-LIB-11, DYN-LIB-12, DYN-LIB-14, DYN-LIB-15, DYN-LIB-17, DYN-LIB-18, DYN-LIB-22, DYN-LIB-23, DYN-LIB-24. Same-capsule grouping, not one-to-one execution coverage.</x:v>
      </x:c>
      <x:c r="L180" s="3" t="str">
        <x:v>Markup-defined; conditional visibility Not run</x:v>
      </x:c>
    </x:row>
    <x:row r="181" ht="63" customHeight="1">
      <x:c r="A181" s="3" t="str">
        <x:v>CTL-13-009</x:v>
      </x:c>
      <x:c r="B181" s="3" t="str">
        <x:v>library</x:v>
      </x:c>
      <x:c r="C181" s="3" t="str">
        <x:v>Icons view</x:v>
      </x:c>
      <x:c r="D181" s="3" t="str">
        <x:v>button / button</x:v>
      </x:c>
      <x:c r="E181" s="13" t="str">
        <x:v>Pass</x:v>
      </x:c>
      <x:c r="F181" s="3" t="str">
        <x:v>Icon View and Details View render and restore selection. Details restored after tool recovery.</x:v>
      </x:c>
      <x:c r="G181" s="3" t="str">
        <x:v>grid-button</x:v>
      </x:c>
      <x:c r="H181" s="3" t="str">
        <x:v>E-044</x:v>
      </x:c>
      <x:c r="I181" s="3" t="str">
        <x:v>capsules/library/browser/index.html</x:v>
      </x:c>
      <x:c r="J181" s="14" t="n">
        <x:v>66</x:v>
      </x:c>
      <x:c r="K181" s="3" t="str">
        <x:v>Related dynamic groups: DYN-LIB-07, DYN-LIB-09, DYN-LIB-10, DYN-LIB-11, DYN-LIB-12, DYN-LIB-14, DYN-LIB-15, DYN-LIB-17, DYN-LIB-18, DYN-LIB-22, DYN-LIB-23, DYN-LIB-24. Same-capsule grouping, not one-to-one execution coverage.</x:v>
      </x:c>
      <x:c r="L181" s="3" t="str">
        <x:v>Markup-defined; conditional visibility Not run</x:v>
      </x:c>
    </x:row>
    <x:row r="182" ht="67.5" customHeight="1">
      <x:c r="A182" s="3" t="str">
        <x:v>CTL-13-010</x:v>
      </x:c>
      <x:c r="B182" s="3" t="str">
        <x:v>library</x:v>
      </x:c>
      <x:c r="C182" s="3" t="str">
        <x:v>Details view</x:v>
      </x:c>
      <x:c r="D182" s="3" t="str">
        <x:v>button / button</x:v>
      </x:c>
      <x:c r="E182" s="13" t="str">
        <x:v>Fail</x:v>
      </x:c>
      <x:c r="F182" s="3" t="str">
        <x:v>Details activation works and preserves the folder, but at 680 px its Modified/Size/Type headers remain over hidden values. Wide metadata returns after restoring size (F-57).</x:v>
      </x:c>
      <x:c r="G182" s="3" t="str">
        <x:v>list-button</x:v>
      </x:c>
      <x:c r="H182" s="3" t="str">
        <x:v>E-044; E-083</x:v>
      </x:c>
      <x:c r="I182" s="3" t="str">
        <x:v>capsules/library/browser/index.html</x:v>
      </x:c>
      <x:c r="J182" s="14" t="n">
        <x:v>69</x:v>
      </x:c>
      <x:c r="K182" s="3" t="str">
        <x:v>Related dynamic groups: DYN-LIB-07, DYN-LIB-09, DYN-LIB-10, DYN-LIB-11, DYN-LIB-12, DYN-LIB-14, DYN-LIB-15, DYN-LIB-17, DYN-LIB-18, DYN-LIB-22, DYN-LIB-23, DYN-LIB-24. Same-capsule grouping, not one-to-one execution coverage.</x:v>
      </x:c>
      <x:c r="L182" s="3" t="str">
        <x:v>Markup-defined; conditional visibility Not run</x:v>
      </x:c>
    </x:row>
    <x:row r="183" ht="63" customHeight="1">
      <x:c r="A183" s="3" t="str">
        <x:v>CTL-13-011</x:v>
      </x:c>
      <x:c r="B183" s="3" t="str">
        <x:v>library</x:v>
      </x:c>
      <x:c r="C183" s="3" t="str">
        <x:v>Sort items</x:v>
      </x:c>
      <x:c r="D183" s="3" t="str">
        <x:v>select</x:v>
      </x:c>
      <x:c r="E183" s="13" t="str">
        <x:v>Pass</x:v>
      </x:c>
      <x:c r="F183" s="3" t="str">
        <x:v>Descending Name order changes file order with folders first; ascending restores it.</x:v>
      </x:c>
      <x:c r="G183" s="3" t="str">
        <x:v>sort-select</x:v>
      </x:c>
      <x:c r="H183" s="3" t="str">
        <x:v>E-044</x:v>
      </x:c>
      <x:c r="I183" s="3" t="str">
        <x:v>capsules/library/browser/index.html</x:v>
      </x:c>
      <x:c r="J183" s="14" t="n">
        <x:v>73</x:v>
      </x:c>
      <x:c r="K183" s="3" t="str">
        <x:v>Related dynamic groups: DYN-LIB-07, DYN-LIB-09, DYN-LIB-10, DYN-LIB-11, DYN-LIB-12, DYN-LIB-14, DYN-LIB-15, DYN-LIB-17, DYN-LIB-18, DYN-LIB-22, DYN-LIB-23, DYN-LIB-24. Same-capsule grouping, not one-to-one execution coverage.</x:v>
      </x:c>
      <x:c r="L183" s="3" t="str">
        <x:v>Markup-defined; conditional visibility Not run</x:v>
      </x:c>
    </x:row>
    <x:row r="184" ht="63" customHeight="1">
      <x:c r="A184" s="3" t="str">
        <x:v>CTL-13-012</x:v>
      </x:c>
      <x:c r="B184" s="3" t="str">
        <x:v>library</x:v>
      </x:c>
      <x:c r="C184" s="3" t="str">
        <x:v>Refresh</x:v>
      </x:c>
      <x:c r="D184" s="3" t="str">
        <x:v>button / button</x:v>
      </x:c>
      <x:c r="E184" s="13" t="str">
        <x:v>Partially observed</x:v>
      </x:c>
      <x:c r="F184" s="3" t="str">
        <x:v>Refresh is visible and state remains coherent across reopen. Dedicated focused refresh action is not separately recorded.</x:v>
      </x:c>
      <x:c r="G184" s="3" t="str">
        <x:v>refresh-button</x:v>
      </x:c>
      <x:c r="H184" s="3" t="str">
        <x:v>E-044</x:v>
      </x:c>
      <x:c r="I184" s="3" t="str">
        <x:v>capsules/library/browser/index.html</x:v>
      </x:c>
      <x:c r="J184" s="14" t="n">
        <x:v>79</x:v>
      </x:c>
      <x:c r="K184" s="3" t="str">
        <x:v>Related dynamic groups: DYN-LIB-07, DYN-LIB-09, DYN-LIB-10, DYN-LIB-11, DYN-LIB-12, DYN-LIB-14, DYN-LIB-15, DYN-LIB-17, DYN-LIB-18, DYN-LIB-22, DYN-LIB-23, DYN-LIB-24. Same-capsule grouping, not one-to-one execution coverage.</x:v>
      </x:c>
      <x:c r="L184" s="3" t="str">
        <x:v>Markup-defined; conditional visibility Not run</x:v>
      </x:c>
    </x:row>
    <x:row r="185" ht="63" customHeight="1">
      <x:c r="A185" s="3" t="str">
        <x:v>CTL-13-013</x:v>
      </x:c>
      <x:c r="B185" s="3" t="str">
        <x:v>library</x:v>
      </x:c>
      <x:c r="C185" s="3" t="str">
        <x:v>More actions</x:v>
      </x:c>
      <x:c r="D185" s="3" t="str">
        <x:v>button / button</x:v>
      </x:c>
      <x:c r="E185" s="13" t="str">
        <x:v>Pass</x:v>
      </x:c>
      <x:c r="F185" s="3" t="str">
        <x:v>More actions opens item actions; Properties opens General/Technical. Their contrast defectF-22 is recorded separately.</x:v>
      </x:c>
      <x:c r="G185" s="3" t="str">
        <x:v>more-button</x:v>
      </x:c>
      <x:c r="H185" s="3" t="str">
        <x:v>E-044</x:v>
      </x:c>
      <x:c r="I185" s="3" t="str">
        <x:v>capsules/library/browser/index.html</x:v>
      </x:c>
      <x:c r="J185" s="14" t="n">
        <x:v>80</x:v>
      </x:c>
      <x:c r="K185" s="3" t="str">
        <x:v>Related dynamic groups: DYN-LIB-07, DYN-LIB-09, DYN-LIB-10, DYN-LIB-11, DYN-LIB-12, DYN-LIB-14, DYN-LIB-15, DYN-LIB-17, DYN-LIB-18, DYN-LIB-22, DYN-LIB-23, DYN-LIB-24. Same-capsule grouping, not one-to-one execution coverage.</x:v>
      </x:c>
      <x:c r="L185" s="3" t="str">
        <x:v>Markup-defined; conditional visibility Not run</x:v>
      </x:c>
    </x:row>
    <x:row r="186" ht="67.5" customHeight="1">
      <x:c r="A186" s="3" t="str">
        <x:v>CTL-13-014</x:v>
      </x:c>
      <x:c r="B186" s="3" t="str">
        <x:v>library</x:v>
      </x:c>
      <x:c r="C186" s="3" t="str">
        <x:v>Upload files</x:v>
      </x:c>
      <x:c r="D186" s="3" t="str">
        <x:v>input / file</x:v>
      </x:c>
      <x:c r="E186" s="13" t="str">
        <x:v>Blocked prerequisite</x:v>
      </x:c>
      <x:c r="F186" s="3" t="str">
        <x:v>Upload is present; controlled host-file transfer remains unrun. Existing user files and native browser state preserved; app-local audit fixtures were created by Library.</x:v>
      </x:c>
      <x:c r="G186" s="3" t="str">
        <x:v>file-input</x:v>
      </x:c>
      <x:c r="H186" s="3" t="str">
        <x:v>E-044</x:v>
      </x:c>
      <x:c r="I186" s="3" t="str">
        <x:v>capsules/library/browser/index.html</x:v>
      </x:c>
      <x:c r="J186" s="14" t="n">
        <x:v>95</x:v>
      </x:c>
      <x:c r="K186" s="3" t="str">
        <x:v>Related dynamic groups: DYN-LIB-07, DYN-LIB-09, DYN-LIB-10, DYN-LIB-11, DYN-LIB-12, DYN-LIB-14, DYN-LIB-15, DYN-LIB-17, DYN-LIB-18, DYN-LIB-22, DYN-LIB-23, DYN-LIB-24. Same-capsule grouping, not one-to-one execution coverage.</x:v>
      </x:c>
      <x:c r="L186" s="3" t="str">
        <x:v>Markup-defined; conditional visibility Not run</x:v>
      </x:c>
    </x:row>
    <x:row r="187" ht="63" customHeight="1">
      <x:c r="A187" s="3" t="str">
        <x:v>CTL-14-001</x:v>
      </x:c>
      <x:c r="B187" s="3" t="str">
        <x:v>marketplace</x:v>
      </x:c>
      <x:c r="C187" s="3" t="str">
        <x:v>Search</x:v>
      </x:c>
      <x:c r="D187" s="3" t="str">
        <x:v>input / search</x:v>
      </x:c>
      <x:c r="E187" s="13" t="str">
        <x:v>Fail</x:v>
      </x:c>
      <x:c r="F187" s="3" t="str">
        <x:v>Search filtering works for absent query and nonogram, but input has no accessible name.F-31.</x:v>
      </x:c>
      <x:c r="G187" s="3" t="str">
        <x:v>search-input</x:v>
      </x:c>
      <x:c r="H187" s="3" t="str">
        <x:v>E-049</x:v>
      </x:c>
      <x:c r="I187" s="3" t="str">
        <x:v>capsules/marketplace/browser/index.html</x:v>
      </x:c>
      <x:c r="J187" s="14" t="n">
        <x:v>22</x:v>
      </x:c>
      <x:c r="K187" s="3" t="str">
        <x:v>Related dynamic groups: DYN-MARKET-01, DYN-MARKET-03, DYN-MARKET-07, DYN-MARKET-08, DYN-MARKET-09. Same-capsule grouping, not one-to-one execution coverage.</x:v>
      </x:c>
      <x:c r="L187" s="3" t="str">
        <x:v>Markup-defined; conditional visibility Not run</x:v>
      </x:c>
    </x:row>
    <x:row r="188" ht="63" customHeight="1">
      <x:c r="A188" s="3" t="str">
        <x:v>CTL-14-002</x:v>
      </x:c>
      <x:c r="B188" s="3" t="str">
        <x:v>marketplace</x:v>
      </x:c>
      <x:c r="C188" s="3" t="str">
        <x:v>Discover</x:v>
      </x:c>
      <x:c r="D188" s="3" t="str">
        <x:v>button / button</x:v>
      </x:c>
      <x:c r="E188" s="13" t="str">
        <x:v>Pass</x:v>
      </x:c>
      <x:c r="F188" s="3" t="str">
        <x:v>Discover/Installed show catalog and33installed entries; provider cards remain nonlaunchable.</x:v>
      </x:c>
      <x:c r="G188" s="3" t="str"/>
      <x:c r="H188" s="3" t="str">
        <x:v>E-049</x:v>
      </x:c>
      <x:c r="I188" s="3" t="str">
        <x:v>capsules/marketplace/browser/index.html</x:v>
      </x:c>
      <x:c r="J188" s="14" t="n">
        <x:v>32</x:v>
      </x:c>
      <x:c r="K188" s="3" t="str">
        <x:v>Related dynamic groups: DYN-MARKET-01, DYN-MARKET-03, DYN-MARKET-07, DYN-MARKET-08, DYN-MARKET-09. Same-capsule grouping, not one-to-one execution coverage.</x:v>
      </x:c>
      <x:c r="L188" s="3" t="str">
        <x:v>Markup-defined; conditional visibility Not run</x:v>
      </x:c>
    </x:row>
    <x:row r="189" ht="63" customHeight="1">
      <x:c r="A189" s="3" t="str">
        <x:v>CTL-14-003</x:v>
      </x:c>
      <x:c r="B189" s="3" t="str">
        <x:v>marketplace</x:v>
      </x:c>
      <x:c r="C189" s="3" t="str">
        <x:v>Installed 0</x:v>
      </x:c>
      <x:c r="D189" s="3" t="str">
        <x:v>button / button</x:v>
      </x:c>
      <x:c r="E189" s="13" t="str">
        <x:v>Pass</x:v>
      </x:c>
      <x:c r="F189" s="3" t="str">
        <x:v>Discover/Installed show catalog and33installed entries; provider cards remain nonlaunchable.</x:v>
      </x:c>
      <x:c r="G189" s="3" t="str"/>
      <x:c r="H189" s="3" t="str">
        <x:v>E-049</x:v>
      </x:c>
      <x:c r="I189" s="3" t="str">
        <x:v>capsules/marketplace/browser/index.html</x:v>
      </x:c>
      <x:c r="J189" s="14" t="n">
        <x:v>45</x:v>
      </x:c>
      <x:c r="K189" s="3" t="str">
        <x:v>Related dynamic groups: DYN-MARKET-01, DYN-MARKET-03, DYN-MARKET-07, DYN-MARKET-08, DYN-MARKET-09. Same-capsule grouping, not one-to-one execution coverage.</x:v>
      </x:c>
      <x:c r="L189" s="3" t="str">
        <x:v>Markup-defined; conditional visibility Not run</x:v>
      </x:c>
    </x:row>
    <x:row r="190" ht="63" customHeight="1">
      <x:c r="A190" s="3" t="str">
        <x:v>CTL-14-004</x:v>
      </x:c>
      <x:c r="B190" s="3" t="str">
        <x:v>marketplace</x:v>
      </x:c>
      <x:c r="C190" s="3" t="str">
        <x:v>Media</x:v>
      </x:c>
      <x:c r="D190" s="3" t="str">
        <x:v>button / button</x:v>
      </x:c>
      <x:c r="E190" s="13" t="str">
        <x:v>Pass</x:v>
      </x:c>
      <x:c r="F190" s="3" t="str">
        <x:v>Media shows No protected media available without blanking catalog.</x:v>
      </x:c>
      <x:c r="G190" s="3" t="str"/>
      <x:c r="H190" s="3" t="str">
        <x:v>E-049</x:v>
      </x:c>
      <x:c r="I190" s="3" t="str">
        <x:v>capsules/marketplace/browser/index.html</x:v>
      </x:c>
      <x:c r="J190" s="14" t="n">
        <x:v>56</x:v>
      </x:c>
      <x:c r="K190" s="3" t="str">
        <x:v>Related dynamic groups: DYN-MARKET-01, DYN-MARKET-03, DYN-MARKET-07, DYN-MARKET-08, DYN-MARKET-09. Same-capsule grouping, not one-to-one execution coverage.</x:v>
      </x:c>
      <x:c r="L190" s="3" t="str">
        <x:v>Markup-defined; conditional visibility Not run</x:v>
      </x:c>
    </x:row>
    <x:row r="191" ht="63" customHeight="1">
      <x:c r="A191" s="3" t="str">
        <x:v>CTL-15-001</x:v>
      </x:c>
      <x:c r="B191" s="3" t="str">
        <x:v>people</x:v>
      </x:c>
      <x:c r="C191" s="3" t="str">
        <x:v>People</x:v>
      </x:c>
      <x:c r="D191" s="3" t="str">
        <x:v>button / button</x:v>
      </x:c>
      <x:c r="E191" s="13" t="str">
        <x:v>Partially observed</x:v>
      </x:c>
      <x:c r="F191" s="3" t="str">
        <x:v>People/Discovery render current Profile,0contacts,0visible peers/requests and collaboration-unconfigured state.</x:v>
      </x:c>
      <x:c r="G191" s="3" t="str"/>
      <x:c r="H191" s="3" t="str">
        <x:v>E-046</x:v>
      </x:c>
      <x:c r="I191" s="3" t="str">
        <x:v>capsules/people/browser/index.html</x:v>
      </x:c>
      <x:c r="J191" s="14" t="n">
        <x:v>22</x:v>
      </x:c>
      <x:c r="K191" s="3" t="str">
        <x:v>Related dynamic groups: DYN-PEOPLE-03, DYN-PEOPLE-04. Same-capsule grouping, not one-to-one execution coverage.</x:v>
      </x:c>
      <x:c r="L191" s="3" t="str">
        <x:v>Markup-defined; conditional visibility Not run</x:v>
      </x:c>
    </x:row>
    <x:row r="192" ht="63" customHeight="1">
      <x:c r="A192" s="3" t="str">
        <x:v>CTL-15-002</x:v>
      </x:c>
      <x:c r="B192" s="3" t="str">
        <x:v>people</x:v>
      </x:c>
      <x:c r="C192" s="3" t="str">
        <x:v>Discovery</x:v>
      </x:c>
      <x:c r="D192" s="3" t="str">
        <x:v>button / button</x:v>
      </x:c>
      <x:c r="E192" s="13" t="str">
        <x:v>Partially observed</x:v>
      </x:c>
      <x:c r="F192" s="3" t="str">
        <x:v>People/Discovery render current Profile,0contacts,0visible peers/requests and collaboration-unconfigured state.</x:v>
      </x:c>
      <x:c r="G192" s="3" t="str"/>
      <x:c r="H192" s="3" t="str">
        <x:v>E-046</x:v>
      </x:c>
      <x:c r="I192" s="3" t="str">
        <x:v>capsules/people/browser/index.html</x:v>
      </x:c>
      <x:c r="J192" s="14" t="n">
        <x:v>26</x:v>
      </x:c>
      <x:c r="K192" s="3" t="str">
        <x:v>Related dynamic groups: DYN-PEOPLE-03, DYN-PEOPLE-04. Same-capsule grouping, not one-to-one execution coverage.</x:v>
      </x:c>
      <x:c r="L192" s="3" t="str">
        <x:v>Markup-defined; conditional visibility Not run</x:v>
      </x:c>
    </x:row>
    <x:row r="193" ht="63" customHeight="1">
      <x:c r="A193" s="3" t="str">
        <x:v>CTL-15-003</x:v>
      </x:c>
      <x:c r="B193" s="3" t="str">
        <x:v>people</x:v>
      </x:c>
      <x:c r="C193" s="3" t="str">
        <x:v>Your name</x:v>
      </x:c>
      <x:c r="D193" s="3" t="str">
        <x:v>input / text</x:v>
      </x:c>
      <x:c r="E193" s="13" t="str">
        <x:v>Blocked prerequisite</x:v>
      </x:c>
      <x:c r="F193" s="3" t="str">
        <x:v>Existing Profile display name and Save are present. Profile identity was preserved; no save/create dispatch.</x:v>
      </x:c>
      <x:c r="G193" s="3" t="str">
        <x:v>profile-name</x:v>
      </x:c>
      <x:c r="H193" s="3" t="str">
        <x:v>E-046</x:v>
      </x:c>
      <x:c r="I193" s="3" t="str">
        <x:v>capsules/people/browser/index.html</x:v>
      </x:c>
      <x:c r="J193" s="14" t="n">
        <x:v>46</x:v>
      </x:c>
      <x:c r="K193" s="3" t="str">
        <x:v>Related dynamic groups: DYN-PEOPLE-03, DYN-PEOPLE-04. Same-capsule grouping, not one-to-one execution coverage.</x:v>
      </x:c>
      <x:c r="L193" s="3" t="str">
        <x:v>Markup-defined; conditional visibility Not run</x:v>
      </x:c>
    </x:row>
    <x:row r="194" ht="63" customHeight="1">
      <x:c r="A194" s="3" t="str">
        <x:v>CTL-15-004</x:v>
      </x:c>
      <x:c r="B194" s="3" t="str">
        <x:v>people</x:v>
      </x:c>
      <x:c r="C194" s="3" t="str">
        <x:v>Create Profile</x:v>
      </x:c>
      <x:c r="D194" s="3" t="str">
        <x:v>button / submit</x:v>
      </x:c>
      <x:c r="E194" s="13" t="str">
        <x:v>Blocked prerequisite</x:v>
      </x:c>
      <x:c r="F194" s="3" t="str">
        <x:v>Existing Profile display name and Save are present. Profile identity was preserved; no save/create dispatch.</x:v>
      </x:c>
      <x:c r="G194" s="3" t="str">
        <x:v>profile-submit</x:v>
      </x:c>
      <x:c r="H194" s="3" t="str">
        <x:v>E-046</x:v>
      </x:c>
      <x:c r="I194" s="3" t="str">
        <x:v>capsules/people/browser/index.html</x:v>
      </x:c>
      <x:c r="J194" s="14" t="n">
        <x:v>47</x:v>
      </x:c>
      <x:c r="K194" s="3" t="str">
        <x:v>Related dynamic groups: DYN-PEOPLE-03, DYN-PEOPLE-04. Same-capsule grouping, not one-to-one execution coverage.</x:v>
      </x:c>
      <x:c r="L194" s="3" t="str">
        <x:v>Markup-defined; conditional visibility Not run</x:v>
      </x:c>
    </x:row>
    <x:row r="195" ht="63" customHeight="1">
      <x:c r="A195" s="3" t="str">
        <x:v>CTL-15-005</x:v>
      </x:c>
      <x:c r="B195" s="3" t="str">
        <x:v>people</x:v>
      </x:c>
      <x:c r="C195" s="3" t="str">
        <x:v>Turn On</x:v>
      </x:c>
      <x:c r="D195" s="3" t="str">
        <x:v>button / button</x:v>
      </x:c>
      <x:c r="E195" s="13" t="str">
        <x:v>Blocked prerequisite</x:v>
      </x:c>
      <x:c r="F195" s="3" t="str">
        <x:v>Discovery lacks collaboration setup and a consenting peer. Policy remains unchanged.</x:v>
      </x:c>
      <x:c r="G195" s="3" t="str">
        <x:v>discovery-toggle</x:v>
      </x:c>
      <x:c r="H195" s="3" t="str">
        <x:v>E-046</x:v>
      </x:c>
      <x:c r="I195" s="3" t="str">
        <x:v>capsules/people/browser/index.html</x:v>
      </x:c>
      <x:c r="J195" s="14" t="n">
        <x:v>63</x:v>
      </x:c>
      <x:c r="K195" s="3" t="str">
        <x:v>Related dynamic groups: DYN-PEOPLE-03, DYN-PEOPLE-04. Same-capsule grouping, not one-to-one execution coverage.</x:v>
      </x:c>
      <x:c r="L195" s="3" t="str">
        <x:v>Markup-defined; conditional visibility Not run</x:v>
      </x:c>
    </x:row>
    <x:row r="196" ht="63" customHeight="1">
      <x:c r="A196" s="3" t="str">
        <x:v>CTL-15-006</x:v>
      </x:c>
      <x:c r="B196" s="3" t="str">
        <x:v>people</x:v>
      </x:c>
      <x:c r="C196" s="3" t="str">
        <x:v>Refresh</x:v>
      </x:c>
      <x:c r="D196" s="3" t="str">
        <x:v>button / button</x:v>
      </x:c>
      <x:c r="E196" s="13" t="str">
        <x:v>Blocked prerequisite</x:v>
      </x:c>
      <x:c r="F196" s="3" t="str">
        <x:v>Discovery lacks collaboration setup and a consenting peer. Policy remains unchanged.</x:v>
      </x:c>
      <x:c r="G196" s="3" t="str">
        <x:v>discovery-refresh</x:v>
      </x:c>
      <x:c r="H196" s="3" t="str">
        <x:v>E-046</x:v>
      </x:c>
      <x:c r="I196" s="3" t="str">
        <x:v>capsules/people/browser/index.html</x:v>
      </x:c>
      <x:c r="J196" s="14" t="n">
        <x:v>64</x:v>
      </x:c>
      <x:c r="K196" s="3" t="str">
        <x:v>Related dynamic groups: DYN-PEOPLE-03, DYN-PEOPLE-04. Same-capsule grouping, not one-to-one execution coverage.</x:v>
      </x:c>
      <x:c r="L196" s="3" t="str">
        <x:v>Markup-defined; conditional visibility Not run</x:v>
      </x:c>
    </x:row>
    <x:row r="197" ht="67.5" customHeight="1">
      <x:c r="A197" s="3" t="str">
        <x:v>CTL-16-001</x:v>
      </x:c>
      <x:c r="B197" s="3" t="str">
        <x:v>services</x:v>
      </x:c>
      <x:c r="C197" s="3" t="str">
        <x:v>This device 0</x:v>
      </x:c>
      <x:c r="D197" s="3" t="str">
        <x:v>button / button</x:v>
      </x:c>
      <x:c r="E197" s="13" t="str">
        <x:v>Pass</x:v>
      </x:c>
      <x:c r="F197" s="3" t="str">
        <x:v>This device/From People/Refresh show0shared or subscribed services after restoring accidental audit sharing. Browser Engine and Exit private.</x:v>
      </x:c>
      <x:c r="G197" s="3" t="str"/>
      <x:c r="H197" s="3" t="str">
        <x:v>E-048</x:v>
      </x:c>
      <x:c r="I197" s="3" t="str">
        <x:v>capsules/services/browser/index.html</x:v>
      </x:c>
      <x:c r="J197" s="14" t="n">
        <x:v>23</x:v>
      </x:c>
      <x:c r="K197" s="3" t="str">
        <x:v>Related dynamic groups: DYN-SERVICE-02, DYN-SERVICE-03. Same-capsule grouping, not one-to-one execution coverage.</x:v>
      </x:c>
      <x:c r="L197" s="3" t="str">
        <x:v>Markup-defined; conditional visibility Not run</x:v>
      </x:c>
    </x:row>
    <x:row r="198" ht="67.5" customHeight="1">
      <x:c r="A198" s="3" t="str">
        <x:v>CTL-16-002</x:v>
      </x:c>
      <x:c r="B198" s="3" t="str">
        <x:v>services</x:v>
      </x:c>
      <x:c r="C198" s="3" t="str">
        <x:v>From People 0</x:v>
      </x:c>
      <x:c r="D198" s="3" t="str">
        <x:v>button / button</x:v>
      </x:c>
      <x:c r="E198" s="13" t="str">
        <x:v>Pass</x:v>
      </x:c>
      <x:c r="F198" s="3" t="str">
        <x:v>This device/From People/Refresh show0shared or subscribed services after restoring accidental audit sharing. Browser Engine and Exit private.</x:v>
      </x:c>
      <x:c r="G198" s="3" t="str"/>
      <x:c r="H198" s="3" t="str">
        <x:v>E-048</x:v>
      </x:c>
      <x:c r="I198" s="3" t="str">
        <x:v>capsules/services/browser/index.html</x:v>
      </x:c>
      <x:c r="J198" s="14" t="n">
        <x:v>28</x:v>
      </x:c>
      <x:c r="K198" s="3" t="str">
        <x:v>Related dynamic groups: DYN-SERVICE-02, DYN-SERVICE-03. Same-capsule grouping, not one-to-one execution coverage.</x:v>
      </x:c>
      <x:c r="L198" s="3" t="str">
        <x:v>Markup-defined; conditional visibility Not run</x:v>
      </x:c>
    </x:row>
    <x:row r="199" ht="67.5" customHeight="1">
      <x:c r="A199" s="3" t="str">
        <x:v>CTL-16-003</x:v>
      </x:c>
      <x:c r="B199" s="3" t="str">
        <x:v>services</x:v>
      </x:c>
      <x:c r="C199" s="3" t="str">
        <x:v>Refresh</x:v>
      </x:c>
      <x:c r="D199" s="3" t="str">
        <x:v>button / button</x:v>
      </x:c>
      <x:c r="E199" s="13" t="str">
        <x:v>Pass</x:v>
      </x:c>
      <x:c r="F199" s="3" t="str">
        <x:v>This device/From People/Refresh show0shared or subscribed services after restoring accidental audit sharing. Browser Engine and Exit private.</x:v>
      </x:c>
      <x:c r="G199" s="3" t="str">
        <x:v>refresh-services</x:v>
      </x:c>
      <x:c r="H199" s="3" t="str">
        <x:v>E-048</x:v>
      </x:c>
      <x:c r="I199" s="3" t="str">
        <x:v>capsules/services/browser/index.html</x:v>
      </x:c>
      <x:c r="J199" s="14" t="n">
        <x:v>38</x:v>
      </x:c>
      <x:c r="K199" s="3" t="str">
        <x:v>Related dynamic groups: DYN-SERVICE-02, DYN-SERVICE-03. Same-capsule grouping, not one-to-one execution coverage.</x:v>
      </x:c>
      <x:c r="L199" s="3" t="str">
        <x:v>Markup-defined; conditional visibility Not run</x:v>
      </x:c>
    </x:row>
    <x:row r="200" ht="67.5" customHeight="1">
      <x:c r="A200" s="3" t="str">
        <x:v>CTL-17-001</x:v>
      </x:c>
      <x:c r="B200" s="3" t="str">
        <x:v>system</x:v>
      </x:c>
      <x:c r="C200" s="3" t="str">
        <x:v>Toggle settings sections</x:v>
      </x:c>
      <x:c r="D200" s="3" t="str">
        <x:v>button / button</x:v>
      </x:c>
      <x:c r="E200" s="13" t="str">
        <x:v>Blocked prerequisite</x:v>
      </x:c>
      <x:c r="F200" s="3" t="str">
        <x:v>Narrow-layout section-toggle branch requires an isolated layout check. Standard System sidebar navigation was tested; original window state preserved.</x:v>
      </x:c>
      <x:c r="G200" s="3" t="str"/>
      <x:c r="H200" s="3" t="str">
        <x:v>E-043</x:v>
      </x:c>
      <x:c r="I200" s="3" t="str">
        <x:v>capsules/system/browser/index.html</x:v>
      </x:c>
      <x:c r="J200" s="14" t="n">
        <x:v>22</x:v>
      </x:c>
      <x:c r="K200" s="3" t="str">
        <x:v>Related dynamic groups: DYN-SYS-03, DYN-SYS-10, DYN-SYS-11, DYN-SYS-12, DYN-SYS-13. Same-capsule grouping, not one-to-one execution coverage.</x:v>
      </x:c>
      <x:c r="L200" s="3" t="str">
        <x:v>Markup-defined; conditional visibility Not run</x:v>
      </x:c>
    </x:row>
    <x:row r="201" ht="63" customHeight="1">
      <x:c r="A201" s="3" t="str">
        <x:v>CTL-17-002</x:v>
      </x:c>
      <x:c r="B201" s="3" t="str">
        <x:v>system</x:v>
      </x:c>
      <x:c r="C201" s="3" t="str">
        <x:v>Search settings</x:v>
      </x:c>
      <x:c r="D201" s="3" t="str">
        <x:v>input / search</x:v>
      </x:c>
      <x:c r="E201" s="13" t="str">
        <x:v>Pass</x:v>
      </x:c>
      <x:c r="F201" s="3" t="str">
        <x:v>Typed shell filters matching sections; clearing restores all6section buttons.</x:v>
      </x:c>
      <x:c r="G201" s="3" t="str">
        <x:v>settings-search</x:v>
      </x:c>
      <x:c r="H201" s="3" t="str">
        <x:v>E-054</x:v>
      </x:c>
      <x:c r="I201" s="3" t="str">
        <x:v>capsules/system/browser/index.html</x:v>
      </x:c>
      <x:c r="J201" s="14" t="n">
        <x:v>27</x:v>
      </x:c>
      <x:c r="K201" s="3" t="str">
        <x:v>Related dynamic groups: DYN-SYS-03, DYN-SYS-10, DYN-SYS-11, DYN-SYS-12, DYN-SYS-13. Same-capsule grouping, not one-to-one execution coverage.</x:v>
      </x:c>
      <x:c r="L201" s="3" t="str">
        <x:v>Markup-defined; conditional visibility Not run</x:v>
      </x:c>
    </x:row>
    <x:row r="202" ht="63" customHeight="1">
      <x:c r="A202" s="3" t="str">
        <x:v>CTL-17-003</x:v>
      </x:c>
      <x:c r="B202" s="3" t="str">
        <x:v>system</x:v>
      </x:c>
      <x:c r="C202" s="3" t="str">
        <x:v>Accounts</x:v>
      </x:c>
      <x:c r="D202" s="3" t="str">
        <x:v>button / button</x:v>
      </x:c>
      <x:c r="E202" s="13" t="str">
        <x:v>Pass</x:v>
      </x:c>
      <x:c r="F202" s="3" t="str">
        <x:v>Each named section opens its corresponding content. Shell selection itself hasF-44; navigation buttons work.</x:v>
      </x:c>
      <x:c r="G202" s="3" t="str">
        <x:v>account</x:v>
      </x:c>
      <x:c r="H202" s="3" t="str">
        <x:v>E-043; E-054</x:v>
      </x:c>
      <x:c r="I202" s="3" t="str">
        <x:v>capsules/system/browser/index.html</x:v>
      </x:c>
      <x:c r="J202" s="14" t="n">
        <x:v>35</x:v>
      </x:c>
      <x:c r="K202" s="3" t="str">
        <x:v>Related dynamic groups: DYN-SYS-03, DYN-SYS-10, DYN-SYS-11, DYN-SYS-12, DYN-SYS-13. Same-capsule grouping, not one-to-one execution coverage.</x:v>
      </x:c>
      <x:c r="L202" s="3" t="str">
        <x:v>Markup-defined; conditional visibility Not run</x:v>
      </x:c>
    </x:row>
    <x:row r="203" ht="63" customHeight="1">
      <x:c r="A203" s="3" t="str">
        <x:v>CTL-17-004</x:v>
      </x:c>
      <x:c r="B203" s="3" t="str">
        <x:v>system</x:v>
      </x:c>
      <x:c r="C203" s="3" t="str">
        <x:v>Appearance</x:v>
      </x:c>
      <x:c r="D203" s="3" t="str">
        <x:v>button / button</x:v>
      </x:c>
      <x:c r="E203" s="13" t="str">
        <x:v>Pass</x:v>
      </x:c>
      <x:c r="F203" s="3" t="str">
        <x:v>Each named section opens its corresponding content. Shell selection itself hasF-44; navigation buttons work.</x:v>
      </x:c>
      <x:c r="G203" s="3" t="str">
        <x:v>personalization</x:v>
      </x:c>
      <x:c r="H203" s="3" t="str">
        <x:v>E-043; E-054</x:v>
      </x:c>
      <x:c r="I203" s="3" t="str">
        <x:v>capsules/system/browser/index.html</x:v>
      </x:c>
      <x:c r="J203" s="14" t="n">
        <x:v>41</x:v>
      </x:c>
      <x:c r="K203" s="3" t="str">
        <x:v>Related dynamic groups: DYN-SYS-03, DYN-SYS-10, DYN-SYS-11, DYN-SYS-12, DYN-SYS-13. Same-capsule grouping, not one-to-one execution coverage.</x:v>
      </x:c>
      <x:c r="L203" s="3" t="str">
        <x:v>Markup-defined; conditional visibility Not run</x:v>
      </x:c>
    </x:row>
    <x:row r="204" ht="63" customHeight="1">
      <x:c r="A204" s="3" t="str">
        <x:v>CTL-17-005</x:v>
      </x:c>
      <x:c r="B204" s="3" t="str">
        <x:v>system</x:v>
      </x:c>
      <x:c r="C204" s="3" t="str">
        <x:v>Shell</x:v>
      </x:c>
      <x:c r="D204" s="3" t="str">
        <x:v>button / button</x:v>
      </x:c>
      <x:c r="E204" s="13" t="str">
        <x:v>Pass</x:v>
      </x:c>
      <x:c r="F204" s="3" t="str">
        <x:v>Each named section opens its corresponding content. Shell selection itself hasF-44; navigation buttons work.</x:v>
      </x:c>
      <x:c r="G204" s="3" t="str">
        <x:v>shell</x:v>
      </x:c>
      <x:c r="H204" s="3" t="str">
        <x:v>E-043; E-054</x:v>
      </x:c>
      <x:c r="I204" s="3" t="str">
        <x:v>capsules/system/browser/index.html</x:v>
      </x:c>
      <x:c r="J204" s="14" t="n">
        <x:v>47</x:v>
      </x:c>
      <x:c r="K204" s="3" t="str">
        <x:v>Related dynamic groups: DYN-SYS-03, DYN-SYS-10, DYN-SYS-11, DYN-SYS-12, DYN-SYS-13. Same-capsule grouping, not one-to-one execution coverage.</x:v>
      </x:c>
      <x:c r="L204" s="3" t="str">
        <x:v>Markup-defined; conditional visibility Not run</x:v>
      </x:c>
    </x:row>
    <x:row r="205" ht="63" customHeight="1">
      <x:c r="A205" s="3" t="str">
        <x:v>CTL-17-006</x:v>
      </x:c>
      <x:c r="B205" s="3" t="str">
        <x:v>system</x:v>
      </x:c>
      <x:c r="C205" s="3" t="str">
        <x:v>Security</x:v>
      </x:c>
      <x:c r="D205" s="3" t="str">
        <x:v>button / button</x:v>
      </x:c>
      <x:c r="E205" s="13" t="str">
        <x:v>Pass</x:v>
      </x:c>
      <x:c r="F205" s="3" t="str">
        <x:v>Each named section opens its corresponding content. Shell selection itself hasF-44; navigation buttons work.</x:v>
      </x:c>
      <x:c r="G205" s="3" t="str">
        <x:v>security</x:v>
      </x:c>
      <x:c r="H205" s="3" t="str">
        <x:v>E-043; E-054</x:v>
      </x:c>
      <x:c r="I205" s="3" t="str">
        <x:v>capsules/system/browser/index.html</x:v>
      </x:c>
      <x:c r="J205" s="14" t="n">
        <x:v>53</x:v>
      </x:c>
      <x:c r="K205" s="3" t="str">
        <x:v>Related dynamic groups: DYN-SYS-03, DYN-SYS-10, DYN-SYS-11, DYN-SYS-12, DYN-SYS-13. Same-capsule grouping, not one-to-one execution coverage.</x:v>
      </x:c>
      <x:c r="L205" s="3" t="str">
        <x:v>Markup-defined; conditional visibility Not run</x:v>
      </x:c>
    </x:row>
    <x:row r="206" ht="63" customHeight="1">
      <x:c r="A206" s="3" t="str">
        <x:v>CTL-17-007</x:v>
      </x:c>
      <x:c r="B206" s="3" t="str">
        <x:v>system</x:v>
      </x:c>
      <x:c r="C206" s="3" t="str">
        <x:v>Apps &amp; Services</x:v>
      </x:c>
      <x:c r="D206" s="3" t="str">
        <x:v>button / button</x:v>
      </x:c>
      <x:c r="E206" s="13" t="str">
        <x:v>Pass</x:v>
      </x:c>
      <x:c r="F206" s="3" t="str">
        <x:v>Each named section opens its corresponding content. Shell selection itself hasF-44; navigation buttons work.</x:v>
      </x:c>
      <x:c r="G206" s="3" t="str">
        <x:v>catalog</x:v>
      </x:c>
      <x:c r="H206" s="3" t="str">
        <x:v>E-043; E-054</x:v>
      </x:c>
      <x:c r="I206" s="3" t="str">
        <x:v>capsules/system/browser/index.html</x:v>
      </x:c>
      <x:c r="J206" s="14" t="n">
        <x:v>59</x:v>
      </x:c>
      <x:c r="K206" s="3" t="str">
        <x:v>Related dynamic groups: DYN-SYS-03, DYN-SYS-10, DYN-SYS-11, DYN-SYS-12, DYN-SYS-13. Same-capsule grouping, not one-to-one execution coverage.</x:v>
      </x:c>
      <x:c r="L206" s="3" t="str">
        <x:v>Markup-defined; conditional visibility Not run</x:v>
      </x:c>
    </x:row>
    <x:row r="207" ht="63" customHeight="1">
      <x:c r="A207" s="3" t="str">
        <x:v>CTL-17-008</x:v>
      </x:c>
      <x:c r="B207" s="3" t="str">
        <x:v>system</x:v>
      </x:c>
      <x:c r="C207" s="3" t="str">
        <x:v>About</x:v>
      </x:c>
      <x:c r="D207" s="3" t="str">
        <x:v>button / button</x:v>
      </x:c>
      <x:c r="E207" s="13" t="str">
        <x:v>Pass</x:v>
      </x:c>
      <x:c r="F207" s="3" t="str">
        <x:v>Each named section opens its corresponding content. Shell selection itself hasF-44; navigation buttons work.</x:v>
      </x:c>
      <x:c r="G207" s="3" t="str">
        <x:v>about</x:v>
      </x:c>
      <x:c r="H207" s="3" t="str">
        <x:v>E-043; E-054</x:v>
      </x:c>
      <x:c r="I207" s="3" t="str">
        <x:v>capsules/system/browser/index.html</x:v>
      </x:c>
      <x:c r="J207" s="14" t="n">
        <x:v>65</x:v>
      </x:c>
      <x:c r="K207" s="3" t="str">
        <x:v>Related dynamic groups: DYN-SYS-03, DYN-SYS-10, DYN-SYS-11, DYN-SYS-12, DYN-SYS-13. Same-capsule grouping, not one-to-one execution coverage.</x:v>
      </x:c>
      <x:c r="L207" s="3" t="str">
        <x:v>Markup-defined; conditional visibility Not run</x:v>
      </x:c>
    </x:row>
    <x:row r="208" ht="67.5" customHeight="1">
      <x:c r="A208" s="3" t="str">
        <x:v>CTL-17-009</x:v>
      </x:c>
      <x:c r="B208" s="3" t="str">
        <x:v>system</x:v>
      </x:c>
      <x:c r="C208" s="3" t="str">
        <x:v>Auto</x:v>
      </x:c>
      <x:c r="D208" s="3" t="str">
        <x:v>button / button</x:v>
      </x:c>
      <x:c r="E208" s="13" t="str">
        <x:v>Partially observed</x:v>
      </x:c>
      <x:c r="F208" s="3" t="str">
        <x:v>Theme/accent options are visible; original Dark/Blue preserved after Light/Dark coverage. Other accent selections were not dispatched.</x:v>
      </x:c>
      <x:c r="G208" s="3" t="str"/>
      <x:c r="H208" s="3" t="str">
        <x:v>E-043; E-046</x:v>
      </x:c>
      <x:c r="I208" s="3" t="str">
        <x:v>capsules/system/browser/index.html</x:v>
      </x:c>
      <x:c r="J208" s="14" t="n">
        <x:v>114</x:v>
      </x:c>
      <x:c r="K208" s="3" t="str">
        <x:v>Related dynamic groups: DYN-SYS-03, DYN-SYS-10, DYN-SYS-11, DYN-SYS-12, DYN-SYS-13. Same-capsule grouping, not one-to-one execution coverage.</x:v>
      </x:c>
      <x:c r="L208" s="3" t="str">
        <x:v>Markup-defined; conditional visibility Not run</x:v>
      </x:c>
    </x:row>
    <x:row r="209" ht="67.5" customHeight="1">
      <x:c r="A209" s="3" t="str">
        <x:v>CTL-17-010</x:v>
      </x:c>
      <x:c r="B209" s="3" t="str">
        <x:v>system</x:v>
      </x:c>
      <x:c r="C209" s="3" t="str">
        <x:v>Light</x:v>
      </x:c>
      <x:c r="D209" s="3" t="str">
        <x:v>button / button</x:v>
      </x:c>
      <x:c r="E209" s="13" t="str">
        <x:v>Partially observed</x:v>
      </x:c>
      <x:c r="F209" s="3" t="str">
        <x:v>Theme/accent options are visible; original Dark/Blue preserved after Light/Dark coverage. Other accent selections were not dispatched.</x:v>
      </x:c>
      <x:c r="G209" s="3" t="str"/>
      <x:c r="H209" s="3" t="str">
        <x:v>E-043; E-046</x:v>
      </x:c>
      <x:c r="I209" s="3" t="str">
        <x:v>capsules/system/browser/index.html</x:v>
      </x:c>
      <x:c r="J209" s="14" t="n">
        <x:v>115</x:v>
      </x:c>
      <x:c r="K209" s="3" t="str">
        <x:v>Related dynamic groups: DYN-SYS-03, DYN-SYS-10, DYN-SYS-11, DYN-SYS-12, DYN-SYS-13. Same-capsule grouping, not one-to-one execution coverage.</x:v>
      </x:c>
      <x:c r="L209" s="3" t="str">
        <x:v>Markup-defined; conditional visibility Not run</x:v>
      </x:c>
    </x:row>
    <x:row r="210" ht="67.5" customHeight="1">
      <x:c r="A210" s="3" t="str">
        <x:v>CTL-17-011</x:v>
      </x:c>
      <x:c r="B210" s="3" t="str">
        <x:v>system</x:v>
      </x:c>
      <x:c r="C210" s="3" t="str">
        <x:v>Dark</x:v>
      </x:c>
      <x:c r="D210" s="3" t="str">
        <x:v>button / button</x:v>
      </x:c>
      <x:c r="E210" s="13" t="str">
        <x:v>Partially observed</x:v>
      </x:c>
      <x:c r="F210" s="3" t="str">
        <x:v>Theme/accent options are visible; original Dark/Blue preserved after Light/Dark coverage. Other accent selections were not dispatched.</x:v>
      </x:c>
      <x:c r="G210" s="3" t="str"/>
      <x:c r="H210" s="3" t="str">
        <x:v>E-043; E-046</x:v>
      </x:c>
      <x:c r="I210" s="3" t="str">
        <x:v>capsules/system/browser/index.html</x:v>
      </x:c>
      <x:c r="J210" s="14" t="n">
        <x:v>116</x:v>
      </x:c>
      <x:c r="K210" s="3" t="str">
        <x:v>Related dynamic groups: DYN-SYS-03, DYN-SYS-10, DYN-SYS-11, DYN-SYS-12, DYN-SYS-13. Same-capsule grouping, not one-to-one execution coverage.</x:v>
      </x:c>
      <x:c r="L210" s="3" t="str">
        <x:v>Markup-defined; conditional visibility Not run</x:v>
      </x:c>
    </x:row>
    <x:row r="211" ht="67.5" customHeight="1">
      <x:c r="A211" s="3" t="str">
        <x:v>CTL-17-012</x:v>
      </x:c>
      <x:c r="B211" s="3" t="str">
        <x:v>system</x:v>
      </x:c>
      <x:c r="C211" s="3" t="str">
        <x:v>Blue</x:v>
      </x:c>
      <x:c r="D211" s="3" t="str">
        <x:v>button / button</x:v>
      </x:c>
      <x:c r="E211" s="13" t="str">
        <x:v>Pass</x:v>
      </x:c>
      <x:c r="F211" s="3" t="str">
        <x:v>E097 keyboard selection shows correct named accent or Custom input. Final settled appearance restored Dark/Blue; broader per-app color rendering has separate scope.</x:v>
      </x:c>
      <x:c r="G211" s="3" t="str"/>
      <x:c r="H211" s="3" t="str">
        <x:v>E-043; E-046; E-097</x:v>
      </x:c>
      <x:c r="I211" s="3" t="str">
        <x:v>capsules/system/browser/index.html</x:v>
      </x:c>
      <x:c r="J211" s="14" t="n">
        <x:v>127</x:v>
      </x:c>
      <x:c r="K211" s="3" t="str">
        <x:v>Related dynamic groups: DYN-SYS-03, DYN-SYS-10, DYN-SYS-11, DYN-SYS-12, DYN-SYS-13. Same-capsule grouping, not one-to-one execution coverage.</x:v>
      </x:c>
      <x:c r="L211" s="3" t="str">
        <x:v>Markup-defined; conditional visibility Not run</x:v>
      </x:c>
    </x:row>
    <x:row r="212" ht="67.5" customHeight="1">
      <x:c r="A212" s="3" t="str">
        <x:v>CTL-17-013</x:v>
      </x:c>
      <x:c r="B212" s="3" t="str">
        <x:v>system</x:v>
      </x:c>
      <x:c r="C212" s="3" t="str">
        <x:v>Purple</x:v>
      </x:c>
      <x:c r="D212" s="3" t="str">
        <x:v>button / button</x:v>
      </x:c>
      <x:c r="E212" s="13" t="str">
        <x:v>Pass</x:v>
      </x:c>
      <x:c r="F212" s="3" t="str">
        <x:v>E097 keyboard selection shows correct named accent or Custom input. Final settled appearance restored Dark/Blue; broader per-app color rendering has separate scope.</x:v>
      </x:c>
      <x:c r="G212" s="3" t="str"/>
      <x:c r="H212" s="3" t="str">
        <x:v>E-043; E-046; E-097</x:v>
      </x:c>
      <x:c r="I212" s="3" t="str">
        <x:v>capsules/system/browser/index.html</x:v>
      </x:c>
      <x:c r="J212" s="14" t="n">
        <x:v>128</x:v>
      </x:c>
      <x:c r="K212" s="3" t="str">
        <x:v>Related dynamic groups: DYN-SYS-03, DYN-SYS-10, DYN-SYS-11, DYN-SYS-12, DYN-SYS-13. Same-capsule grouping, not one-to-one execution coverage.</x:v>
      </x:c>
      <x:c r="L212" s="3" t="str">
        <x:v>Markup-defined; conditional visibility Not run</x:v>
      </x:c>
    </x:row>
    <x:row r="213" ht="67.5" customHeight="1">
      <x:c r="A213" s="3" t="str">
        <x:v>CTL-17-014</x:v>
      </x:c>
      <x:c r="B213" s="3" t="str">
        <x:v>system</x:v>
      </x:c>
      <x:c r="C213" s="3" t="str">
        <x:v>Pink</x:v>
      </x:c>
      <x:c r="D213" s="3" t="str">
        <x:v>button / button</x:v>
      </x:c>
      <x:c r="E213" s="13" t="str">
        <x:v>Pass</x:v>
      </x:c>
      <x:c r="F213" s="3" t="str">
        <x:v>E097 keyboard selection shows correct named accent or Custom input. Final settled appearance restored Dark/Blue; broader per-app color rendering has separate scope.</x:v>
      </x:c>
      <x:c r="G213" s="3" t="str"/>
      <x:c r="H213" s="3" t="str">
        <x:v>E-043; E-046; E-097</x:v>
      </x:c>
      <x:c r="I213" s="3" t="str">
        <x:v>capsules/system/browser/index.html</x:v>
      </x:c>
      <x:c r="J213" s="14" t="n">
        <x:v>129</x:v>
      </x:c>
      <x:c r="K213" s="3" t="str">
        <x:v>Related dynamic groups: DYN-SYS-03, DYN-SYS-10, DYN-SYS-11, DYN-SYS-12, DYN-SYS-13. Same-capsule grouping, not one-to-one execution coverage.</x:v>
      </x:c>
      <x:c r="L213" s="3" t="str">
        <x:v>Markup-defined; conditional visibility Not run</x:v>
      </x:c>
    </x:row>
    <x:row r="214" ht="67.5" customHeight="1">
      <x:c r="A214" s="3" t="str">
        <x:v>CTL-17-015</x:v>
      </x:c>
      <x:c r="B214" s="3" t="str">
        <x:v>system</x:v>
      </x:c>
      <x:c r="C214" s="3" t="str">
        <x:v>Red</x:v>
      </x:c>
      <x:c r="D214" s="3" t="str">
        <x:v>button / button</x:v>
      </x:c>
      <x:c r="E214" s="13" t="str">
        <x:v>Pass</x:v>
      </x:c>
      <x:c r="F214" s="3" t="str">
        <x:v>E097 keyboard selection shows correct named accent or Custom input. Final settled appearance restored Dark/Blue; broader per-app color rendering has separate scope.</x:v>
      </x:c>
      <x:c r="G214" s="3" t="str"/>
      <x:c r="H214" s="3" t="str">
        <x:v>E-043; E-046; E-097</x:v>
      </x:c>
      <x:c r="I214" s="3" t="str">
        <x:v>capsules/system/browser/index.html</x:v>
      </x:c>
      <x:c r="J214" s="14" t="n">
        <x:v>130</x:v>
      </x:c>
      <x:c r="K214" s="3" t="str">
        <x:v>Related dynamic groups: DYN-SYS-03, DYN-SYS-10, DYN-SYS-11, DYN-SYS-12, DYN-SYS-13. Same-capsule grouping, not one-to-one execution coverage.</x:v>
      </x:c>
      <x:c r="L214" s="3" t="str">
        <x:v>Markup-defined; conditional visibility Not run</x:v>
      </x:c>
    </x:row>
    <x:row r="215" ht="67.5" customHeight="1">
      <x:c r="A215" s="3" t="str">
        <x:v>CTL-17-016</x:v>
      </x:c>
      <x:c r="B215" s="3" t="str">
        <x:v>system</x:v>
      </x:c>
      <x:c r="C215" s="3" t="str">
        <x:v>Orange</x:v>
      </x:c>
      <x:c r="D215" s="3" t="str">
        <x:v>button / button</x:v>
      </x:c>
      <x:c r="E215" s="13" t="str">
        <x:v>Pass</x:v>
      </x:c>
      <x:c r="F215" s="3" t="str">
        <x:v>E097 keyboard selection shows correct named accent or Custom input. Final settled appearance restored Dark/Blue; broader per-app color rendering has separate scope.</x:v>
      </x:c>
      <x:c r="G215" s="3" t="str"/>
      <x:c r="H215" s="3" t="str">
        <x:v>E-043; E-046; E-097</x:v>
      </x:c>
      <x:c r="I215" s="3" t="str">
        <x:v>capsules/system/browser/index.html</x:v>
      </x:c>
      <x:c r="J215" s="14" t="n">
        <x:v>131</x:v>
      </x:c>
      <x:c r="K215" s="3" t="str">
        <x:v>Related dynamic groups: DYN-SYS-03, DYN-SYS-10, DYN-SYS-11, DYN-SYS-12, DYN-SYS-13. Same-capsule grouping, not one-to-one execution coverage.</x:v>
      </x:c>
      <x:c r="L215" s="3" t="str">
        <x:v>Markup-defined; conditional visibility Not run</x:v>
      </x:c>
    </x:row>
    <x:row r="216" ht="67.5" customHeight="1">
      <x:c r="A216" s="3" t="str">
        <x:v>CTL-17-017</x:v>
      </x:c>
      <x:c r="B216" s="3" t="str">
        <x:v>system</x:v>
      </x:c>
      <x:c r="C216" s="3" t="str">
        <x:v>Yellow</x:v>
      </x:c>
      <x:c r="D216" s="3" t="str">
        <x:v>button / button</x:v>
      </x:c>
      <x:c r="E216" s="13" t="str">
        <x:v>Pass</x:v>
      </x:c>
      <x:c r="F216" s="3" t="str">
        <x:v>E097 keyboard selection shows correct named accent or Custom input. Final settled appearance restored Dark/Blue; broader per-app color rendering has separate scope.</x:v>
      </x:c>
      <x:c r="G216" s="3" t="str"/>
      <x:c r="H216" s="3" t="str">
        <x:v>E-043; E-046; E-097</x:v>
      </x:c>
      <x:c r="I216" s="3" t="str">
        <x:v>capsules/system/browser/index.html</x:v>
      </x:c>
      <x:c r="J216" s="14" t="n">
        <x:v>132</x:v>
      </x:c>
      <x:c r="K216" s="3" t="str">
        <x:v>Related dynamic groups: DYN-SYS-03, DYN-SYS-10, DYN-SYS-11, DYN-SYS-12, DYN-SYS-13. Same-capsule grouping, not one-to-one execution coverage.</x:v>
      </x:c>
      <x:c r="L216" s="3" t="str">
        <x:v>Markup-defined; conditional visibility Not run</x:v>
      </x:c>
    </x:row>
    <x:row r="217" ht="67.5" customHeight="1">
      <x:c r="A217" s="3" t="str">
        <x:v>CTL-17-018</x:v>
      </x:c>
      <x:c r="B217" s="3" t="str">
        <x:v>system</x:v>
      </x:c>
      <x:c r="C217" s="3" t="str">
        <x:v>Green</x:v>
      </x:c>
      <x:c r="D217" s="3" t="str">
        <x:v>button / button</x:v>
      </x:c>
      <x:c r="E217" s="13" t="str">
        <x:v>Pass</x:v>
      </x:c>
      <x:c r="F217" s="3" t="str">
        <x:v>E097 keyboard selection shows correct named accent or Custom input. Final settled appearance restored Dark/Blue; broader per-app color rendering has separate scope.</x:v>
      </x:c>
      <x:c r="G217" s="3" t="str"/>
      <x:c r="H217" s="3" t="str">
        <x:v>E-043; E-046; E-097</x:v>
      </x:c>
      <x:c r="I217" s="3" t="str">
        <x:v>capsules/system/browser/index.html</x:v>
      </x:c>
      <x:c r="J217" s="14" t="n">
        <x:v>133</x:v>
      </x:c>
      <x:c r="K217" s="3" t="str">
        <x:v>Related dynamic groups: DYN-SYS-03, DYN-SYS-10, DYN-SYS-11, DYN-SYS-12, DYN-SYS-13. Same-capsule grouping, not one-to-one execution coverage.</x:v>
      </x:c>
      <x:c r="L217" s="3" t="str">
        <x:v>Markup-defined; conditional visibility Not run</x:v>
      </x:c>
    </x:row>
    <x:row r="218" ht="67.5" customHeight="1">
      <x:c r="A218" s="3" t="str">
        <x:v>CTL-17-019</x:v>
      </x:c>
      <x:c r="B218" s="3" t="str">
        <x:v>system</x:v>
      </x:c>
      <x:c r="C218" s="3" t="str">
        <x:v>Graphite</x:v>
      </x:c>
      <x:c r="D218" s="3" t="str">
        <x:v>button / button</x:v>
      </x:c>
      <x:c r="E218" s="13" t="str">
        <x:v>Pass</x:v>
      </x:c>
      <x:c r="F218" s="3" t="str">
        <x:v>E097 keyboard selection shows correct named accent or Custom input. Final settled appearance restored Dark/Blue; broader per-app color rendering has separate scope.</x:v>
      </x:c>
      <x:c r="G218" s="3" t="str"/>
      <x:c r="H218" s="3" t="str">
        <x:v>E-043; E-046; E-097</x:v>
      </x:c>
      <x:c r="I218" s="3" t="str">
        <x:v>capsules/system/browser/index.html</x:v>
      </x:c>
      <x:c r="J218" s="14" t="n">
        <x:v>134</x:v>
      </x:c>
      <x:c r="K218" s="3" t="str">
        <x:v>Related dynamic groups: DYN-SYS-03, DYN-SYS-10, DYN-SYS-11, DYN-SYS-12, DYN-SYS-13. Same-capsule grouping, not one-to-one execution coverage.</x:v>
      </x:c>
      <x:c r="L218" s="3" t="str">
        <x:v>Markup-defined; conditional visibility Not run</x:v>
      </x:c>
    </x:row>
    <x:row r="219" ht="67.5" customHeight="1">
      <x:c r="A219" s="3" t="str">
        <x:v>CTL-17-020</x:v>
      </x:c>
      <x:c r="B219" s="3" t="str">
        <x:v>system</x:v>
      </x:c>
      <x:c r="C219" s="3" t="str">
        <x:v>Custom</x:v>
      </x:c>
      <x:c r="D219" s="3" t="str">
        <x:v>button / button</x:v>
      </x:c>
      <x:c r="E219" s="13" t="str">
        <x:v>Pass</x:v>
      </x:c>
      <x:c r="F219" s="3" t="str">
        <x:v>E097 keyboard selection shows correct named accent or Custom input. Final settled appearance restored Dark/Blue; broader per-app color rendering has separate scope.</x:v>
      </x:c>
      <x:c r="G219" s="3" t="str"/>
      <x:c r="H219" s="3" t="str">
        <x:v>E-043; E-046; E-097</x:v>
      </x:c>
      <x:c r="I219" s="3" t="str">
        <x:v>capsules/system/browser/index.html</x:v>
      </x:c>
      <x:c r="J219" s="14" t="n">
        <x:v>135</x:v>
      </x:c>
      <x:c r="K219" s="3" t="str">
        <x:v>Related dynamic groups: DYN-SYS-03, DYN-SYS-10, DYN-SYS-11, DYN-SYS-12, DYN-SYS-13. Same-capsule grouping, not one-to-one execution coverage.</x:v>
      </x:c>
      <x:c r="L219" s="3" t="str">
        <x:v>Markup-defined; conditional visibility Not run</x:v>
      </x:c>
    </x:row>
    <x:row r="220" ht="63" customHeight="1">
      <x:c r="A220" s="3" t="str">
        <x:v>CTL-17-021</x:v>
      </x:c>
      <x:c r="B220" s="3" t="str">
        <x:v>system</x:v>
      </x:c>
      <x:c r="C220" s="3" t="str">
        <x:v>Custom accent hex</x:v>
      </x:c>
      <x:c r="D220" s="3" t="str">
        <x:v>input / text</x:v>
      </x:c>
      <x:c r="E220" s="13" t="str">
        <x:v>Fail</x:v>
      </x:c>
      <x:c r="F220" s="3" t="str">
        <x:v>E097 invalid not-a-c silently reverts to saved #4f7fff on Tab; F59 needs a format explanation. Original Blue restored.</x:v>
      </x:c>
      <x:c r="G220" s="3" t="str">
        <x:v>accent-custom-hex</x:v>
      </x:c>
      <x:c r="H220" s="3" t="str">
        <x:v>E-043; E-097</x:v>
      </x:c>
      <x:c r="I220" s="3" t="str">
        <x:v>capsules/system/browser/index.html</x:v>
      </x:c>
      <x:c r="J220" s="14" t="n">
        <x:v>142</x:v>
      </x:c>
      <x:c r="K220" s="3" t="str">
        <x:v>Related dynamic groups: DYN-SYS-03, DYN-SYS-10, DYN-SYS-11, DYN-SYS-12, DYN-SYS-13. Same-capsule grouping, not one-to-one execution coverage.</x:v>
      </x:c>
      <x:c r="L220" s="3" t="str">
        <x:v>Markup-defined; conditional visibility Not run</x:v>
      </x:c>
    </x:row>
    <x:row r="221" ht="63" customHeight="1">
      <x:c r="A221" s="3" t="str">
        <x:v>CTL-17-022</x:v>
      </x:c>
      <x:c r="B221" s="3" t="str">
        <x:v>system</x:v>
      </x:c>
      <x:c r="C221" s="3" t="str">
        <x:v>Automatically hide and show the Dock</x:v>
      </x:c>
      <x:c r="D221" s="3" t="str">
        <x:v>input / checkbox</x:v>
      </x:c>
      <x:c r="E221" s="13" t="str">
        <x:v>Pass</x:v>
      </x:c>
      <x:c r="F221" s="3" t="str">
        <x:v>E097 auto-hide on/off and contrast on, strength55→60→55, then off work by keyboard. Final original values restored.</x:v>
      </x:c>
      <x:c r="G221" s="3" t="str">
        <x:v>dock-autohide</x:v>
      </x:c>
      <x:c r="H221" s="3" t="str">
        <x:v>E-043; E-097</x:v>
      </x:c>
      <x:c r="I221" s="3" t="str">
        <x:v>capsules/system/browser/index.html</x:v>
      </x:c>
      <x:c r="J221" s="14" t="n">
        <x:v>153</x:v>
      </x:c>
      <x:c r="K221" s="3" t="str">
        <x:v>Related dynamic groups: DYN-SYS-03, DYN-SYS-10, DYN-SYS-11, DYN-SYS-12, DYN-SYS-13. Same-capsule grouping, not one-to-one execution coverage.</x:v>
      </x:c>
      <x:c r="L221" s="3" t="str">
        <x:v>Markup-defined; conditional visibility Not run</x:v>
      </x:c>
    </x:row>
    <x:row r="222" ht="63" customHeight="1">
      <x:c r="A222" s="3" t="str">
        <x:v>CTL-17-023</x:v>
      </x:c>
      <x:c r="B222" s="3" t="str">
        <x:v>system</x:v>
      </x:c>
      <x:c r="C222" s="3" t="str">
        <x:v>Play interface sounds</x:v>
      </x:c>
      <x:c r="D222" s="3" t="str">
        <x:v>input / checkbox</x:v>
      </x:c>
      <x:c r="E222" s="13" t="str">
        <x:v>Partially observed</x:v>
      </x:c>
      <x:c r="F222" s="3" t="str">
        <x:v>Auto-hide, sounds and background contrast are unchecked; background Reset disabled with no image. Values preserved.</x:v>
      </x:c>
      <x:c r="G222" s="3" t="str">
        <x:v>ui-sounds</x:v>
      </x:c>
      <x:c r="H222" s="3" t="str">
        <x:v>E-043</x:v>
      </x:c>
      <x:c r="I222" s="3" t="str">
        <x:v>capsules/system/browser/index.html</x:v>
      </x:c>
      <x:c r="J222" s="14" t="n">
        <x:v>165</x:v>
      </x:c>
      <x:c r="K222" s="3" t="str">
        <x:v>Related dynamic groups: DYN-SYS-03, DYN-SYS-10, DYN-SYS-11, DYN-SYS-12, DYN-SYS-13. Same-capsule grouping, not one-to-one execution coverage.</x:v>
      </x:c>
      <x:c r="L222" s="3" t="str">
        <x:v>Markup-defined; conditional visibility Not run</x:v>
      </x:c>
    </x:row>
    <x:row r="223" ht="63" customHeight="1">
      <x:c r="A223" s="3" t="str">
        <x:v>CTL-17-024</x:v>
      </x:c>
      <x:c r="B223" s="3" t="str">
        <x:v>system</x:v>
      </x:c>
      <x:c r="C223" s="3" t="str">
        <x:v>Choose background image</x:v>
      </x:c>
      <x:c r="D223" s="3" t="str">
        <x:v>input / file</x:v>
      </x:c>
      <x:c r="E223" s="13" t="str">
        <x:v>Blocked prerequisite</x:v>
      </x:c>
      <x:c r="F223" s="3" t="str">
        <x:v>Background chooser is visible. Controlled image transfer and exact background restoration fixture are pending.</x:v>
      </x:c>
      <x:c r="G223" s="3" t="str">
        <x:v>background-input</x:v>
      </x:c>
      <x:c r="H223" s="3" t="str">
        <x:v>E-043</x:v>
      </x:c>
      <x:c r="I223" s="3" t="str">
        <x:v>capsules/system/browser/index.html</x:v>
      </x:c>
      <x:c r="J223" s="14" t="n">
        <x:v>180</x:v>
      </x:c>
      <x:c r="K223" s="3" t="str">
        <x:v>Related dynamic groups: DYN-SYS-03, DYN-SYS-10, DYN-SYS-11, DYN-SYS-12, DYN-SYS-13. Same-capsule grouping, not one-to-one execution coverage.</x:v>
      </x:c>
      <x:c r="L223" s="3" t="str">
        <x:v>Markup-defined; conditional visibility Not run</x:v>
      </x:c>
    </x:row>
    <x:row r="224" ht="63" customHeight="1">
      <x:c r="A224" s="3" t="str">
        <x:v>CTL-17-025</x:v>
      </x:c>
      <x:c r="B224" s="3" t="str">
        <x:v>system</x:v>
      </x:c>
      <x:c r="C224" s="3" t="str">
        <x:v>Reset</x:v>
      </x:c>
      <x:c r="D224" s="3" t="str">
        <x:v>button / button</x:v>
      </x:c>
      <x:c r="E224" s="13" t="str">
        <x:v>Partially observed</x:v>
      </x:c>
      <x:c r="F224" s="3" t="str">
        <x:v>Auto-hide, sounds and background contrast are unchecked; background Reset disabled with no image. Values preserved.</x:v>
      </x:c>
      <x:c r="G224" s="3" t="str">
        <x:v>background-reset</x:v>
      </x:c>
      <x:c r="H224" s="3" t="str">
        <x:v>E-043</x:v>
      </x:c>
      <x:c r="I224" s="3" t="str">
        <x:v>capsules/system/browser/index.html</x:v>
      </x:c>
      <x:c r="J224" s="14" t="n">
        <x:v>181</x:v>
      </x:c>
      <x:c r="K224" s="3" t="str">
        <x:v>Related dynamic groups: DYN-SYS-03, DYN-SYS-10, DYN-SYS-11, DYN-SYS-12, DYN-SYS-13. Same-capsule grouping, not one-to-one execution coverage.</x:v>
      </x:c>
      <x:c r="L224" s="3" t="str">
        <x:v>Markup-defined; conditional visibility Not run</x:v>
      </x:c>
    </x:row>
    <x:row r="225" ht="63" customHeight="1">
      <x:c r="A225" s="3" t="str">
        <x:v>CTL-17-026</x:v>
      </x:c>
      <x:c r="B225" s="3" t="str">
        <x:v>system</x:v>
      </x:c>
      <x:c r="C225" s="3" t="str">
        <x:v>Add contrast over background</x:v>
      </x:c>
      <x:c r="D225" s="3" t="str">
        <x:v>input / checkbox</x:v>
      </x:c>
      <x:c r="E225" s="13" t="str">
        <x:v>Pass</x:v>
      </x:c>
      <x:c r="F225" s="3" t="str">
        <x:v>E097 auto-hide on/off and contrast on, strength55→60→55, then off work by keyboard. Final original values restored.</x:v>
      </x:c>
      <x:c r="G225" s="3" t="str">
        <x:v>background-overlay</x:v>
      </x:c>
      <x:c r="H225" s="3" t="str">
        <x:v>E-043; E-097</x:v>
      </x:c>
      <x:c r="I225" s="3" t="str">
        <x:v>capsules/system/browser/index.html</x:v>
      </x:c>
      <x:c r="J225" s="14" t="n">
        <x:v>185</x:v>
      </x:c>
      <x:c r="K225" s="3" t="str">
        <x:v>Related dynamic groups: DYN-SYS-03, DYN-SYS-10, DYN-SYS-11, DYN-SYS-12, DYN-SYS-13. Same-capsule grouping, not one-to-one execution coverage.</x:v>
      </x:c>
      <x:c r="L225" s="3" t="str">
        <x:v>Markup-defined; conditional visibility Not run</x:v>
      </x:c>
    </x:row>
    <x:row r="226" ht="63" customHeight="1">
      <x:c r="A226" s="3" t="str">
        <x:v>CTL-17-027</x:v>
      </x:c>
      <x:c r="B226" s="3" t="str">
        <x:v>system</x:v>
      </x:c>
      <x:c r="C226" s="3" t="str">
        <x:v>Overlay strength</x:v>
      </x:c>
      <x:c r="D226" s="3" t="str">
        <x:v>input / range</x:v>
      </x:c>
      <x:c r="E226" s="13" t="str">
        <x:v>Pass</x:v>
      </x:c>
      <x:c r="F226" s="3" t="str">
        <x:v>E097 auto-hide on/off and contrast on, strength55→60→55, then off work by keyboard. Final original values restored.</x:v>
      </x:c>
      <x:c r="G226" s="3" t="str">
        <x:v>background-overlay-opacity</x:v>
      </x:c>
      <x:c r="H226" s="3" t="str">
        <x:v>E-043; E-097</x:v>
      </x:c>
      <x:c r="I226" s="3" t="str">
        <x:v>capsules/system/browser/index.html</x:v>
      </x:c>
      <x:c r="J226" s="14" t="n">
        <x:v>194</x:v>
      </x:c>
      <x:c r="K226" s="3" t="str">
        <x:v>Related dynamic groups: DYN-SYS-03, DYN-SYS-10, DYN-SYS-11, DYN-SYS-12, DYN-SYS-13. Same-capsule grouping, not one-to-one execution coverage.</x:v>
      </x:c>
      <x:c r="L226" s="3" t="str">
        <x:v>Markup-defined; conditional visibility Not run</x:v>
      </x:c>
    </x:row>
    <x:row r="227" ht="81" customHeight="1">
      <x:c r="A227" s="3" t="str">
        <x:v>CTL-17-028</x:v>
      </x:c>
      <x:c r="B227" s="3" t="str">
        <x:v>system</x:v>
      </x:c>
      <x:c r="C227" s="3" t="str">
        <x:v>Optional password</x:v>
      </x:c>
      <x:c r="D227" s="3" t="str">
        <x:v>input / password</x:v>
      </x:c>
      <x:c r="E227" s="13" t="str">
        <x:v>Blocked prerequisite</x:v>
      </x:c>
      <x:c r="F227" s="3" t="str">
        <x:v>Recovery, account policy and device-identity Clipboard controls were inspected where visible. Existing credentials, policy and host Clipboard are preserved; no export/import/copy.</x:v>
      </x:c>
      <x:c r="G227" s="3" t="str">
        <x:v>recovery-password</x:v>
      </x:c>
      <x:c r="H227" s="3" t="str">
        <x:v>E-043</x:v>
      </x:c>
      <x:c r="I227" s="3" t="str">
        <x:v>capsules/system/browser/index.html</x:v>
      </x:c>
      <x:c r="J227" s="14" t="n">
        <x:v>223</x:v>
      </x:c>
      <x:c r="K227" s="3" t="str">
        <x:v>Related dynamic groups: DYN-SYS-03, DYN-SYS-10, DYN-SYS-11, DYN-SYS-12, DYN-SYS-13. Same-capsule grouping, not one-to-one execution coverage.</x:v>
      </x:c>
      <x:c r="L227" s="3" t="str">
        <x:v>Markup-defined; conditional visibility Not run</x:v>
      </x:c>
    </x:row>
    <x:row r="228" ht="81" customHeight="1">
      <x:c r="A228" s="3" t="str">
        <x:v>CTL-17-029</x:v>
      </x:c>
      <x:c r="B228" s="3" t="str">
        <x:v>system</x:v>
      </x:c>
      <x:c r="C228" s="3" t="str">
        <x:v>Download Recovery Kit</x:v>
      </x:c>
      <x:c r="D228" s="3" t="str">
        <x:v>button / button</x:v>
      </x:c>
      <x:c r="E228" s="13" t="str">
        <x:v>Blocked prerequisite</x:v>
      </x:c>
      <x:c r="F228" s="3" t="str">
        <x:v>Recovery, account policy and device-identity Clipboard controls were inspected where visible. Existing credentials, policy and host Clipboard are preserved; no export/import/copy.</x:v>
      </x:c>
      <x:c r="G228" s="3" t="str">
        <x:v>recovery-download</x:v>
      </x:c>
      <x:c r="H228" s="3" t="str">
        <x:v>E-043</x:v>
      </x:c>
      <x:c r="I228" s="3" t="str">
        <x:v>capsules/system/browser/index.html</x:v>
      </x:c>
      <x:c r="J228" s="14" t="n">
        <x:v>224</x:v>
      </x:c>
      <x:c r="K228" s="3" t="str">
        <x:v>Related dynamic groups: DYN-SYS-03, DYN-SYS-10, DYN-SYS-11, DYN-SYS-12, DYN-SYS-13. Same-capsule grouping, not one-to-one execution coverage.</x:v>
      </x:c>
      <x:c r="L228" s="3" t="str">
        <x:v>Markup-defined; conditional visibility Not run</x:v>
      </x:c>
    </x:row>
    <x:row r="229" ht="81" customHeight="1">
      <x:c r="A229" s="3" t="str">
        <x:v>CTL-17-030</x:v>
      </x:c>
      <x:c r="B229" s="3" t="str">
        <x:v>system</x:v>
      </x:c>
      <x:c r="C229" s="3" t="str">
        <x:v>Import Recovery Kit</x:v>
      </x:c>
      <x:c r="D229" s="3" t="str">
        <x:v>input / file</x:v>
      </x:c>
      <x:c r="E229" s="13" t="str">
        <x:v>Blocked prerequisite</x:v>
      </x:c>
      <x:c r="F229" s="3" t="str">
        <x:v>Recovery, account policy and device-identity Clipboard controls were inspected where visible. Existing credentials, policy and host Clipboard are preserved; no export/import/copy.</x:v>
      </x:c>
      <x:c r="G229" s="3" t="str">
        <x:v>recovery-import</x:v>
      </x:c>
      <x:c r="H229" s="3" t="str">
        <x:v>E-043</x:v>
      </x:c>
      <x:c r="I229" s="3" t="str">
        <x:v>capsules/system/browser/index.html</x:v>
      </x:c>
      <x:c r="J229" s="14" t="n">
        <x:v>226</x:v>
      </x:c>
      <x:c r="K229" s="3" t="str">
        <x:v>Related dynamic groups: DYN-SYS-03, DYN-SYS-10, DYN-SYS-11, DYN-SYS-12, DYN-SYS-13. Same-capsule grouping, not one-to-one execution coverage.</x:v>
      </x:c>
      <x:c r="L229" s="3" t="str">
        <x:v>Markup-defined; conditional visibility Not run</x:v>
      </x:c>
    </x:row>
    <x:row r="230" ht="81" customHeight="1">
      <x:c r="A230" s="3" t="str">
        <x:v>CTL-17-031</x:v>
      </x:c>
      <x:c r="B230" s="3" t="str">
        <x:v>system</x:v>
      </x:c>
      <x:c r="C230" s="3" t="str">
        <x:v>Recover account</x:v>
      </x:c>
      <x:c r="D230" s="3" t="str">
        <x:v>button / button</x:v>
      </x:c>
      <x:c r="E230" s="13" t="str">
        <x:v>Blocked prerequisite</x:v>
      </x:c>
      <x:c r="F230" s="3" t="str">
        <x:v>Recovery, account policy and device-identity Clipboard controls were inspected where visible. Existing credentials, policy and host Clipboard are preserved; no export/import/copy.</x:v>
      </x:c>
      <x:c r="G230" s="3" t="str">
        <x:v>recovery-attach</x:v>
      </x:c>
      <x:c r="H230" s="3" t="str">
        <x:v>E-043</x:v>
      </x:c>
      <x:c r="I230" s="3" t="str">
        <x:v>capsules/system/browser/index.html</x:v>
      </x:c>
      <x:c r="J230" s="14" t="n">
        <x:v>232</x:v>
      </x:c>
      <x:c r="K230" s="3" t="str">
        <x:v>Related dynamic groups: DYN-SYS-03, DYN-SYS-10, DYN-SYS-11, DYN-SYS-12, DYN-SYS-13. Same-capsule grouping, not one-to-one execution coverage.</x:v>
      </x:c>
      <x:c r="L230" s="3" t="str">
        <x:v>Markup-defined; conditional visibility Not run</x:v>
      </x:c>
    </x:row>
    <x:row r="231" ht="81" customHeight="1">
      <x:c r="A231" s="3" t="str">
        <x:v>CTL-17-032</x:v>
      </x:c>
      <x:c r="B231" s="3" t="str">
        <x:v>system</x:v>
      </x:c>
      <x:c r="C231" s="3" t="str">
        <x:v>Cancel</x:v>
      </x:c>
      <x:c r="D231" s="3" t="str">
        <x:v>button / button</x:v>
      </x:c>
      <x:c r="E231" s="13" t="str">
        <x:v>Blocked prerequisite</x:v>
      </x:c>
      <x:c r="F231" s="3" t="str">
        <x:v>Recovery, account policy and device-identity Clipboard controls were inspected where visible. Existing credentials, policy and host Clipboard are preserved; no export/import/copy.</x:v>
      </x:c>
      <x:c r="G231" s="3" t="str">
        <x:v>recovery-cancel</x:v>
      </x:c>
      <x:c r="H231" s="3" t="str">
        <x:v>E-043</x:v>
      </x:c>
      <x:c r="I231" s="3" t="str">
        <x:v>capsules/system/browser/index.html</x:v>
      </x:c>
      <x:c r="J231" s="14" t="n">
        <x:v>233</x:v>
      </x:c>
      <x:c r="K231" s="3" t="str">
        <x:v>Related dynamic groups: DYN-SYS-03, DYN-SYS-10, DYN-SYS-11, DYN-SYS-12, DYN-SYS-13. Same-capsule grouping, not one-to-one execution coverage.</x:v>
      </x:c>
      <x:c r="L231" s="3" t="str">
        <x:v>Markup-defined; conditional visibility Not run</x:v>
      </x:c>
    </x:row>
    <x:row r="232" ht="81" customHeight="1">
      <x:c r="A232" s="3" t="str">
        <x:v>CTL-17-033</x:v>
      </x:c>
      <x:c r="B232" s="3" t="str">
        <x:v>system</x:v>
      </x:c>
      <x:c r="C232" s="3" t="str">
        <x:v>Allow new guest accounts</x:v>
      </x:c>
      <x:c r="D232" s="3" t="str">
        <x:v>input / checkbox</x:v>
      </x:c>
      <x:c r="E232" s="13" t="str">
        <x:v>Blocked prerequisite</x:v>
      </x:c>
      <x:c r="F232" s="3" t="str">
        <x:v>Recovery, account policy and device-identity Clipboard controls were inspected where visible. Existing credentials, policy and host Clipboard are preserved; no export/import/copy.</x:v>
      </x:c>
      <x:c r="G232" s="3" t="str">
        <x:v>guest-registration</x:v>
      </x:c>
      <x:c r="H232" s="3" t="str">
        <x:v>E-043</x:v>
      </x:c>
      <x:c r="I232" s="3" t="str">
        <x:v>capsules/system/browser/index.html</x:v>
      </x:c>
      <x:c r="J232" s="14" t="n">
        <x:v>253</x:v>
      </x:c>
      <x:c r="K232" s="3" t="str">
        <x:v>Related dynamic groups: DYN-SYS-03, DYN-SYS-10, DYN-SYS-11, DYN-SYS-12, DYN-SYS-13. Same-capsule grouping, not one-to-one execution coverage.</x:v>
      </x:c>
      <x:c r="L232" s="3" t="str">
        <x:v>Markup-defined; conditional visibility Not run</x:v>
      </x:c>
    </x:row>
    <x:row r="233" ht="67.5" customHeight="1">
      <x:c r="A233" s="3" t="str">
        <x:v>CTL-17-034</x:v>
      </x:c>
      <x:c r="B233" s="3" t="str">
        <x:v>system</x:v>
      </x:c>
      <x:c r="C233" s="3" t="str">
        <x:v>Technical Details Review component identity, permissions, verification, and approval requirements.</x:v>
      </x:c>
      <x:c r="D233" s="3" t="str">
        <x:v>summary</x:v>
      </x:c>
      <x:c r="E233" s="13" t="str">
        <x:v>Pass</x:v>
      </x:c>
      <x:c r="F233" s="3" t="str">
        <x:v>Technical Details opens and closes with Space. Refresh settles with 49 objects and unchanged component facts. Permissions and approvals remain unchanged.</x:v>
      </x:c>
      <x:c r="G233" s="3" t="str"/>
      <x:c r="H233" s="3" t="str">
        <x:v>E-043; E-054; E-103</x:v>
      </x:c>
      <x:c r="I233" s="3" t="str">
        <x:v>capsules/system/browser/index.html</x:v>
      </x:c>
      <x:c r="J233" s="14" t="n">
        <x:v>268</x:v>
      </x:c>
      <x:c r="K233" s="3" t="str">
        <x:v>Related dynamic groups: DYN-SYS-03, DYN-SYS-10, DYN-SYS-11, DYN-SYS-12, DYN-SYS-13. Same-capsule grouping, not one-to-one execution coverage.</x:v>
      </x:c>
      <x:c r="L233" s="3" t="str">
        <x:v>Markup-defined; conditional visibility Not run</x:v>
      </x:c>
    </x:row>
    <x:row r="234" ht="67.5" customHeight="1">
      <x:c r="A234" s="3" t="str">
        <x:v>CTL-17-035</x:v>
      </x:c>
      <x:c r="B234" s="3" t="str">
        <x:v>system</x:v>
      </x:c>
      <x:c r="C234" s="3" t="str">
        <x:v>Refresh</x:v>
      </x:c>
      <x:c r="D234" s="3" t="str">
        <x:v>button / button</x:v>
      </x:c>
      <x:c r="E234" s="13" t="str">
        <x:v>Pass</x:v>
      </x:c>
      <x:c r="F234" s="3" t="str">
        <x:v>Technical Details opens and closes with Space. Refresh settles with 49 objects and unchanged component facts. Permissions and approvals remain unchanged.</x:v>
      </x:c>
      <x:c r="G234" s="3" t="str">
        <x:v>technical-inspect-refresh</x:v>
      </x:c>
      <x:c r="H234" s="3" t="str">
        <x:v>E-043; E-054; E-103</x:v>
      </x:c>
      <x:c r="I234" s="3" t="str">
        <x:v>capsules/system/browser/index.html</x:v>
      </x:c>
      <x:c r="J234" s="14" t="n">
        <x:v>277</x:v>
      </x:c>
      <x:c r="K234" s="3" t="str">
        <x:v>Related dynamic groups: DYN-SYS-03, DYN-SYS-10, DYN-SYS-11, DYN-SYS-12, DYN-SYS-13. Same-capsule grouping, not one-to-one execution coverage.</x:v>
      </x:c>
      <x:c r="L234" s="3" t="str">
        <x:v>Markup-defined; conditional visibility Not run</x:v>
      </x:c>
    </x:row>
    <x:row r="235" ht="63" customHeight="1">
      <x:c r="A235" s="3" t="str">
        <x:v>CTL-17-036</x:v>
      </x:c>
      <x:c r="B235" s="3" t="str">
        <x:v>system</x:v>
      </x:c>
      <x:c r="C235" s="3" t="str">
        <x:v>Refresh</x:v>
      </x:c>
      <x:c r="D235" s="3" t="str">
        <x:v>button / button</x:v>
      </x:c>
      <x:c r="E235" s="13" t="str">
        <x:v>Pass</x:v>
      </x:c>
      <x:c r="F235" s="3" t="str">
        <x:v>Apps &amp; Services Refresh settles with 33 available items and an enabled control. Inventory and settings remain unchanged.</x:v>
      </x:c>
      <x:c r="G235" s="3" t="str">
        <x:v>capsule-catalog-refresh</x:v>
      </x:c>
      <x:c r="H235" s="3" t="str">
        <x:v>E-043; E-054; E-103</x:v>
      </x:c>
      <x:c r="I235" s="3" t="str">
        <x:v>capsules/system/browser/index.html</x:v>
      </x:c>
      <x:c r="J235" s="14" t="n">
        <x:v>294</x:v>
      </x:c>
      <x:c r="K235" s="3" t="str">
        <x:v>Related dynamic groups: DYN-SYS-03, DYN-SYS-10, DYN-SYS-11, DYN-SYS-12, DYN-SYS-13. Same-capsule grouping, not one-to-one execution coverage.</x:v>
      </x:c>
      <x:c r="L235" s="3" t="str">
        <x:v>Markup-defined; conditional visibility Not run</x:v>
      </x:c>
    </x:row>
    <x:row r="236" ht="81" customHeight="1">
      <x:c r="A236" s="3" t="str">
        <x:v>CTL-17-037</x:v>
      </x:c>
      <x:c r="B236" s="3" t="str">
        <x:v>system</x:v>
      </x:c>
      <x:c r="C236" s="3" t="str">
        <x:v>Copy device identity</x:v>
      </x:c>
      <x:c r="D236" s="3" t="str">
        <x:v>button / button</x:v>
      </x:c>
      <x:c r="E236" s="13" t="str">
        <x:v>Blocked prerequisite</x:v>
      </x:c>
      <x:c r="F236" s="3" t="str">
        <x:v>Recovery, account policy and device-identity Clipboard controls were inspected where visible. Existing credentials, policy and host Clipboard are preserved; no export/import/copy.</x:v>
      </x:c>
      <x:c r="G236" s="3" t="str">
        <x:v>device-did-copy</x:v>
      </x:c>
      <x:c r="H236" s="3" t="str">
        <x:v>E-043</x:v>
      </x:c>
      <x:c r="I236" s="3" t="str">
        <x:v>capsules/system/browser/index.html</x:v>
      </x:c>
      <x:c r="J236" s="14" t="n">
        <x:v>315</x:v>
      </x:c>
      <x:c r="K236" s="3" t="str">
        <x:v>Related dynamic groups: DYN-SYS-03, DYN-SYS-10, DYN-SYS-11, DYN-SYS-12, DYN-SYS-13. Same-capsule grouping, not one-to-one execution coverage.</x:v>
      </x:c>
      <x:c r="L236" s="3" t="str">
        <x:v>Markup-defined; conditional visibility Not run</x:v>
      </x:c>
    </x:row>
    <x:row r="237" ht="67.5" customHeight="1">
      <x:c r="A237" s="3" t="str">
        <x:v>CTL-18-001</x:v>
      </x:c>
      <x:c r="B237" s="3" t="str">
        <x:v>wallet</x:v>
      </x:c>
      <x:c r="C237" s="3" t="str">
        <x:v>Activity</x:v>
      </x:c>
      <x:c r="D237" s="3" t="str">
        <x:v>button / button</x:v>
      </x:c>
      <x:c r="E237" s="13" t="str">
        <x:v>Pass</x:v>
      </x:c>
      <x:c r="F237" s="3" t="str">
        <x:v>Activity shows no activity; Settings and Close work. Hide/Show and USD/ELA changes tested, original balance visibility and BTC unit restored.</x:v>
      </x:c>
      <x:c r="G237" s="3" t="str">
        <x:v>wallet-activity-open</x:v>
      </x:c>
      <x:c r="H237" s="3" t="str">
        <x:v>E-047</x:v>
      </x:c>
      <x:c r="I237" s="3" t="str">
        <x:v>capsules/wallet/browser/index.html</x:v>
      </x:c>
      <x:c r="J237" s="14" t="n">
        <x:v>18</x:v>
      </x:c>
      <x:c r="K237" s="3" t="str">
        <x:v>Related dynamic groups: DYN-WALLET-03, DYN-WALLET-04, DYN-WALLET-05, DYN-WALLET-06, DYN-WALLET-07, DYN-WALLET-08, DYN-WALLET-09, DYN-WALLET-12, DYN-WALLET-14, DYN-WALLET-15. Same-capsule grouping, not one-to-one execution coverage.</x:v>
      </x:c>
      <x:c r="L237" s="3" t="str">
        <x:v>Markup-defined; conditional visibility Not run</x:v>
      </x:c>
    </x:row>
    <x:row r="238" ht="67.5" customHeight="1">
      <x:c r="A238" s="3" t="str">
        <x:v>CTL-18-002</x:v>
      </x:c>
      <x:c r="B238" s="3" t="str">
        <x:v>wallet</x:v>
      </x:c>
      <x:c r="C238" s="3" t="str">
        <x:v>Open settings</x:v>
      </x:c>
      <x:c r="D238" s="3" t="str">
        <x:v>button / button</x:v>
      </x:c>
      <x:c r="E238" s="13" t="str">
        <x:v>Pass</x:v>
      </x:c>
      <x:c r="F238" s="3" t="str">
        <x:v>Activity shows no activity; Settings and Close work. Hide/Show and USD/ELA changes tested, original balance visibility and BTC unit restored.</x:v>
      </x:c>
      <x:c r="G238" s="3" t="str">
        <x:v>wallet-settings-open</x:v>
      </x:c>
      <x:c r="H238" s="3" t="str">
        <x:v>E-047</x:v>
      </x:c>
      <x:c r="I238" s="3" t="str">
        <x:v>capsules/wallet/browser/index.html</x:v>
      </x:c>
      <x:c r="J238" s="14" t="n">
        <x:v>26</x:v>
      </x:c>
      <x:c r="K238" s="3" t="str">
        <x:v>Related dynamic groups: DYN-WALLET-03, DYN-WALLET-04, DYN-WALLET-05, DYN-WALLET-06, DYN-WALLET-07, DYN-WALLET-08, DYN-WALLET-09, DYN-WALLET-12, DYN-WALLET-14, DYN-WALLET-15. Same-capsule grouping, not one-to-one execution coverage.</x:v>
      </x:c>
      <x:c r="L238" s="3" t="str">
        <x:v>Markup-defined; conditional visibility Not run</x:v>
      </x:c>
    </x:row>
    <x:row r="239" ht="67.5" customHeight="1">
      <x:c r="A239" s="3" t="str">
        <x:v>CTL-18-003</x:v>
      </x:c>
      <x:c r="B239" s="3" t="str">
        <x:v>wallet</x:v>
      </x:c>
      <x:c r="C239" s="3" t="str">
        <x:v>Hide balances</x:v>
      </x:c>
      <x:c r="D239" s="3" t="str">
        <x:v>button / button</x:v>
      </x:c>
      <x:c r="E239" s="13" t="str">
        <x:v>Pass</x:v>
      </x:c>
      <x:c r="F239" s="3" t="str">
        <x:v>Activity shows no activity; Settings and Close work. Hide/Show and USD/ELA changes tested, original balance visibility and BTC unit restored.</x:v>
      </x:c>
      <x:c r="G239" s="3" t="str">
        <x:v>wallet-privacy</x:v>
      </x:c>
      <x:c r="H239" s="3" t="str">
        <x:v>E-047</x:v>
      </x:c>
      <x:c r="I239" s="3" t="str">
        <x:v>capsules/wallet/browser/index.html</x:v>
      </x:c>
      <x:c r="J239" s="14" t="n">
        <x:v>33</x:v>
      </x:c>
      <x:c r="K239" s="3" t="str">
        <x:v>Related dynamic groups: DYN-WALLET-03, DYN-WALLET-04, DYN-WALLET-05, DYN-WALLET-06, DYN-WALLET-07, DYN-WALLET-08, DYN-WALLET-09, DYN-WALLET-12, DYN-WALLET-14, DYN-WALLET-15. Same-capsule grouping, not one-to-one execution coverage.</x:v>
      </x:c>
      <x:c r="L239" s="3" t="str">
        <x:v>Markup-defined; conditional visibility Not run</x:v>
      </x:c>
    </x:row>
    <x:row r="240" ht="63" customHeight="1">
      <x:c r="A240" s="3" t="str">
        <x:v>CTL-18-004</x:v>
      </x:c>
      <x:c r="B240" s="3" t="str">
        <x:v>wallet</x:v>
      </x:c>
      <x:c r="C240" s="3" t="str">
        <x:v>↗ Send</x:v>
      </x:c>
      <x:c r="D240" s="3" t="str">
        <x:v>button / button</x:v>
      </x:c>
      <x:c r="E240" s="13" t="str">
        <x:v>Blocked prerequisite</x:v>
      </x:c>
      <x:c r="F240" s="3" t="str">
        <x:v>Zero wallet accounts prevents receive/send proof. No transaction or approval dispatched.</x:v>
      </x:c>
      <x:c r="G240" s="3" t="str">
        <x:v>wallet-send</x:v>
      </x:c>
      <x:c r="H240" s="3" t="str">
        <x:v>E-047</x:v>
      </x:c>
      <x:c r="I240" s="3" t="str">
        <x:v>capsules/wallet/browser/index.html</x:v>
      </x:c>
      <x:c r="J240" s="14" t="n">
        <x:v>86</x:v>
      </x:c>
      <x:c r="K240" s="3" t="str">
        <x:v>Related dynamic groups: DYN-WALLET-03, DYN-WALLET-04, DYN-WALLET-05, DYN-WALLET-06, DYN-WALLET-07, DYN-WALLET-08, DYN-WALLET-09, DYN-WALLET-12, DYN-WALLET-14, DYN-WALLET-15. Same-capsule grouping, not one-to-one execution coverage.</x:v>
      </x:c>
      <x:c r="L240" s="3" t="str">
        <x:v>Markup-defined; conditional visibility Not run</x:v>
      </x:c>
    </x:row>
    <x:row r="241" ht="63" customHeight="1">
      <x:c r="A241" s="3" t="str">
        <x:v>CTL-18-005</x:v>
      </x:c>
      <x:c r="B241" s="3" t="str">
        <x:v>wallet</x:v>
      </x:c>
      <x:c r="C241" s="3" t="str">
        <x:v>↙ Receive</x:v>
      </x:c>
      <x:c r="D241" s="3" t="str">
        <x:v>button / button</x:v>
      </x:c>
      <x:c r="E241" s="13" t="str">
        <x:v>Blocked prerequisite</x:v>
      </x:c>
      <x:c r="F241" s="3" t="str">
        <x:v>Zero wallet accounts prevents receive/send proof. No transaction or approval dispatched.</x:v>
      </x:c>
      <x:c r="G241" s="3" t="str">
        <x:v>wallet-receive</x:v>
      </x:c>
      <x:c r="H241" s="3" t="str">
        <x:v>E-047</x:v>
      </x:c>
      <x:c r="I241" s="3" t="str">
        <x:v>capsules/wallet/browser/index.html</x:v>
      </x:c>
      <x:c r="J241" s="14" t="n">
        <x:v>87</x:v>
      </x:c>
      <x:c r="K241" s="3" t="str">
        <x:v>Related dynamic groups: DYN-WALLET-03, DYN-WALLET-04, DYN-WALLET-05, DYN-WALLET-06, DYN-WALLET-07, DYN-WALLET-08, DYN-WALLET-09, DYN-WALLET-12, DYN-WALLET-14, DYN-WALLET-15. Same-capsule grouping, not one-to-one execution coverage.</x:v>
      </x:c>
      <x:c r="L241" s="3" t="str">
        <x:v>Markup-defined; conditional visibility Not run</x:v>
      </x:c>
    </x:row>
    <x:row r="242" ht="63" customHeight="1">
      <x:c r="A242" s="3" t="str">
        <x:v>CTL-18-006</x:v>
      </x:c>
      <x:c r="B242" s="3" t="str">
        <x:v>wallet</x:v>
      </x:c>
      <x:c r="C242" s="3" t="str">
        <x:v>Create account</x:v>
      </x:c>
      <x:c r="D242" s="3" t="str">
        <x:v>button / button</x:v>
      </x:c>
      <x:c r="E242" s="13" t="str">
        <x:v>Partially observed</x:v>
      </x:c>
      <x:c r="F242" s="3" t="str">
        <x:v>Create account opens EVM/Bitcoin name preview; Back and Cancel preserve zero accounts. No account created.</x:v>
      </x:c>
      <x:c r="G242" s="3" t="str">
        <x:v>wallet-create-cta</x:v>
      </x:c>
      <x:c r="H242" s="3" t="str">
        <x:v>E-047</x:v>
      </x:c>
      <x:c r="I242" s="3" t="str">
        <x:v>capsules/wallet/browser/index.html</x:v>
      </x:c>
      <x:c r="J242" s="14" t="n">
        <x:v>91</x:v>
      </x:c>
      <x:c r="K242" s="3" t="str">
        <x:v>Related dynamic groups: DYN-WALLET-03, DYN-WALLET-04, DYN-WALLET-05, DYN-WALLET-06, DYN-WALLET-07, DYN-WALLET-08, DYN-WALLET-09, DYN-WALLET-12, DYN-WALLET-14, DYN-WALLET-15. Same-capsule grouping, not one-to-one execution coverage.</x:v>
      </x:c>
      <x:c r="L242" s="3" t="str">
        <x:v>Markup-defined; conditional visibility Not run</x:v>
      </x:c>
    </x:row>
    <x:row r="243" ht="63" customHeight="1">
      <x:c r="A243" s="3" t="str">
        <x:v>CTL-18-007</x:v>
      </x:c>
      <x:c r="B243" s="3" t="str">
        <x:v>wallet</x:v>
      </x:c>
      <x:c r="C243" s="3" t="str">
        <x:v>Connect a wallet</x:v>
      </x:c>
      <x:c r="D243" s="3" t="str">
        <x:v>button / button</x:v>
      </x:c>
      <x:c r="E243" s="13" t="str">
        <x:v>Pass</x:v>
      </x:c>
      <x:c r="F243" s="3" t="str">
        <x:v>Connect a wallet opens signer choices and connector previews; no external access accepted.</x:v>
      </x:c>
      <x:c r="G243" s="3" t="str">
        <x:v>wallet-connect-cta</x:v>
      </x:c>
      <x:c r="H243" s="3" t="str">
        <x:v>E-047</x:v>
      </x:c>
      <x:c r="I243" s="3" t="str">
        <x:v>capsules/wallet/browser/index.html</x:v>
      </x:c>
      <x:c r="J243" s="14" t="n">
        <x:v>92</x:v>
      </x:c>
      <x:c r="K243" s="3" t="str">
        <x:v>Related dynamic groups: DYN-WALLET-03, DYN-WALLET-04, DYN-WALLET-05, DYN-WALLET-06, DYN-WALLET-07, DYN-WALLET-08, DYN-WALLET-09, DYN-WALLET-12, DYN-WALLET-14, DYN-WALLET-15. Same-capsule grouping, not one-to-one execution coverage.</x:v>
      </x:c>
      <x:c r="L243" s="3" t="str">
        <x:v>Markup-defined; conditional visibility Not run</x:v>
      </x:c>
    </x:row>
    <x:row r="244" ht="63" customHeight="1">
      <x:c r="A244" s="3" t="str">
        <x:v>CTL-18-008</x:v>
      </x:c>
      <x:c r="B244" s="3" t="str">
        <x:v>wallet</x:v>
      </x:c>
      <x:c r="C244" s="3" t="str">
        <x:v>Create account</x:v>
      </x:c>
      <x:c r="D244" s="3" t="str">
        <x:v>button / button</x:v>
      </x:c>
      <x:c r="E244" s="13" t="str">
        <x:v>Partially observed</x:v>
      </x:c>
      <x:c r="F244" s="3" t="str">
        <x:v>Create account opens EVM/Bitcoin name preview; Back and Cancel preserve zero accounts. No account created.</x:v>
      </x:c>
      <x:c r="G244" s="3" t="str"/>
      <x:c r="H244" s="3" t="str">
        <x:v>E-047</x:v>
      </x:c>
      <x:c r="I244" s="3" t="str">
        <x:v>capsules/wallet/browser/index.html</x:v>
      </x:c>
      <x:c r="J244" s="14" t="n">
        <x:v>116</x:v>
      </x:c>
      <x:c r="K244" s="3" t="str">
        <x:v>Related dynamic groups: DYN-WALLET-03, DYN-WALLET-04, DYN-WALLET-05, DYN-WALLET-06, DYN-WALLET-07, DYN-WALLET-08, DYN-WALLET-09, DYN-WALLET-12, DYN-WALLET-14, DYN-WALLET-15. Same-capsule grouping, not one-to-one execution coverage.</x:v>
      </x:c>
      <x:c r="L244" s="3" t="str">
        <x:v>Markup-defined; conditional visibility Not run</x:v>
      </x:c>
    </x:row>
    <x:row r="245" ht="63" customHeight="1">
      <x:c r="A245" s="3" t="str">
        <x:v>CTL-18-009</x:v>
      </x:c>
      <x:c r="B245" s="3" t="str">
        <x:v>wallet</x:v>
      </x:c>
      <x:c r="C245" s="3" t="str">
        <x:v>Import Wallet key</x:v>
      </x:c>
      <x:c r="D245" s="3" t="str">
        <x:v>button / button</x:v>
      </x:c>
      <x:c r="E245" s="13" t="str">
        <x:v>Partially observed</x:v>
      </x:c>
      <x:c r="F245" s="3" t="str">
        <x:v>Import opens empty recovery form and names fresh passkey requirement; Cancel returns safely. No key read or supplied.</x:v>
      </x:c>
      <x:c r="G245" s="3" t="str"/>
      <x:c r="H245" s="3" t="str">
        <x:v>E-047</x:v>
      </x:c>
      <x:c r="I245" s="3" t="str">
        <x:v>capsules/wallet/browser/index.html</x:v>
      </x:c>
      <x:c r="J245" s="14" t="n">
        <x:v>117</x:v>
      </x:c>
      <x:c r="K245" s="3" t="str">
        <x:v>Related dynamic groups: DYN-WALLET-03, DYN-WALLET-04, DYN-WALLET-05, DYN-WALLET-06, DYN-WALLET-07, DYN-WALLET-08, DYN-WALLET-09, DYN-WALLET-12, DYN-WALLET-14, DYN-WALLET-15. Same-capsule grouping, not one-to-one execution coverage.</x:v>
      </x:c>
      <x:c r="L245" s="3" t="str">
        <x:v>Markup-defined; conditional visibility Not run</x:v>
      </x:c>
    </x:row>
    <x:row r="246" ht="67.5" customHeight="1">
      <x:c r="A246" s="3" t="str">
        <x:v>CTL-18-010</x:v>
      </x:c>
      <x:c r="B246" s="3" t="str">
        <x:v>wallet</x:v>
      </x:c>
      <x:c r="C246" s="3" t="str">
        <x:v>Close settings</x:v>
      </x:c>
      <x:c r="D246" s="3" t="str">
        <x:v>button / button</x:v>
      </x:c>
      <x:c r="E246" s="13" t="str">
        <x:v>Pass</x:v>
      </x:c>
      <x:c r="F246" s="3" t="str">
        <x:v>Activity shows no activity; Settings and Close work. Hide/Show and USD/ELA changes tested, original balance visibility and BTC unit restored.</x:v>
      </x:c>
      <x:c r="G246" s="3" t="str"/>
      <x:c r="H246" s="3" t="str">
        <x:v>E-047</x:v>
      </x:c>
      <x:c r="I246" s="3" t="str">
        <x:v>capsules/wallet/browser/index.html</x:v>
      </x:c>
      <x:c r="J246" s="14" t="n">
        <x:v>154</x:v>
      </x:c>
      <x:c r="K246" s="3" t="str">
        <x:v>Related dynamic groups: DYN-WALLET-03, DYN-WALLET-04, DYN-WALLET-05, DYN-WALLET-06, DYN-WALLET-07, DYN-WALLET-08, DYN-WALLET-09, DYN-WALLET-12, DYN-WALLET-14, DYN-WALLET-15. Same-capsule grouping, not one-to-one execution coverage.</x:v>
      </x:c>
      <x:c r="L246" s="3" t="str">
        <x:v>Markup-defined; conditional visibility Not run</x:v>
      </x:c>
    </x:row>
    <x:row r="247" ht="63" customHeight="1">
      <x:c r="A247" s="3" t="str">
        <x:v>CTL-18-011</x:v>
      </x:c>
      <x:c r="B247" s="3" t="str">
        <x:v>wallet</x:v>
      </x:c>
      <x:c r="C247" s="3" t="str">
        <x:v>Create account</x:v>
      </x:c>
      <x:c r="D247" s="3" t="str">
        <x:v>button / button</x:v>
      </x:c>
      <x:c r="E247" s="13" t="str">
        <x:v>Partially observed</x:v>
      </x:c>
      <x:c r="F247" s="3" t="str">
        <x:v>Create account opens EVM/Bitcoin name preview; Back and Cancel preserve zero accounts. No account created.</x:v>
      </x:c>
      <x:c r="G247" s="3" t="str">
        <x:v>wallet-create</x:v>
      </x:c>
      <x:c r="H247" s="3" t="str">
        <x:v>E-047</x:v>
      </x:c>
      <x:c r="I247" s="3" t="str">
        <x:v>capsules/wallet/browser/index.html</x:v>
      </x:c>
      <x:c r="J247" s="14" t="n">
        <x:v>160</x:v>
      </x:c>
      <x:c r="K247" s="3" t="str">
        <x:v>Related dynamic groups: DYN-WALLET-03, DYN-WALLET-04, DYN-WALLET-05, DYN-WALLET-06, DYN-WALLET-07, DYN-WALLET-08, DYN-WALLET-09, DYN-WALLET-12, DYN-WALLET-14, DYN-WALLET-15. Same-capsule grouping, not one-to-one execution coverage.</x:v>
      </x:c>
      <x:c r="L247" s="3" t="str">
        <x:v>Markup-defined; conditional visibility Not run</x:v>
      </x:c>
    </x:row>
    <x:row r="248" ht="63" customHeight="1">
      <x:c r="A248" s="3" t="str">
        <x:v>CTL-18-012</x:v>
      </x:c>
      <x:c r="B248" s="3" t="str">
        <x:v>wallet</x:v>
      </x:c>
      <x:c r="C248" s="3" t="str">
        <x:v>Import Wallet recovery key</x:v>
      </x:c>
      <x:c r="D248" s="3" t="str">
        <x:v>button / button</x:v>
      </x:c>
      <x:c r="E248" s="13" t="str">
        <x:v>Partially observed</x:v>
      </x:c>
      <x:c r="F248" s="3" t="str">
        <x:v>Import opens empty recovery form and names fresh passkey requirement; Cancel returns safely. No key read or supplied.</x:v>
      </x:c>
      <x:c r="G248" s="3" t="str"/>
      <x:c r="H248" s="3" t="str">
        <x:v>E-047</x:v>
      </x:c>
      <x:c r="I248" s="3" t="str">
        <x:v>capsules/wallet/browser/index.html</x:v>
      </x:c>
      <x:c r="J248" s="14" t="n">
        <x:v>161</x:v>
      </x:c>
      <x:c r="K248" s="3" t="str">
        <x:v>Related dynamic groups: DYN-WALLET-03, DYN-WALLET-04, DYN-WALLET-05, DYN-WALLET-06, DYN-WALLET-07, DYN-WALLET-08, DYN-WALLET-09, DYN-WALLET-12, DYN-WALLET-14, DYN-WALLET-15. Same-capsule grouping, not one-to-one execution coverage.</x:v>
      </x:c>
      <x:c r="L248" s="3" t="str">
        <x:v>Markup-defined; conditional visibility Not run</x:v>
      </x:c>
    </x:row>
    <x:row r="249" ht="67.5" customHeight="1">
      <x:c r="A249" s="3" t="str">
        <x:v>CTL-18-013</x:v>
      </x:c>
      <x:c r="B249" s="3" t="str">
        <x:v>wallet</x:v>
      </x:c>
      <x:c r="C249" s="3" t="str">
        <x:v>USD</x:v>
      </x:c>
      <x:c r="D249" s="3" t="str">
        <x:v>button / button</x:v>
      </x:c>
      <x:c r="E249" s="13" t="str">
        <x:v>Pass</x:v>
      </x:c>
      <x:c r="F249" s="3" t="str">
        <x:v>Activity shows no activity; Settings and Close work. Hide/Show and USD/ELA changes tested, original balance visibility and BTC unit restored.</x:v>
      </x:c>
      <x:c r="G249" s="3" t="str"/>
      <x:c r="H249" s="3" t="str">
        <x:v>E-047</x:v>
      </x:c>
      <x:c r="I249" s="3" t="str">
        <x:v>capsules/wallet/browser/index.html</x:v>
      </x:c>
      <x:c r="J249" s="14" t="n">
        <x:v>166</x:v>
      </x:c>
      <x:c r="K249" s="3" t="str">
        <x:v>Related dynamic groups: DYN-WALLET-03, DYN-WALLET-04, DYN-WALLET-05, DYN-WALLET-06, DYN-WALLET-07, DYN-WALLET-08, DYN-WALLET-09, DYN-WALLET-12, DYN-WALLET-14, DYN-WALLET-15. Same-capsule grouping, not one-to-one execution coverage.</x:v>
      </x:c>
      <x:c r="L249" s="3" t="str">
        <x:v>Markup-defined; conditional visibility Not run</x:v>
      </x:c>
    </x:row>
    <x:row r="250" ht="67.5" customHeight="1">
      <x:c r="A250" s="3" t="str">
        <x:v>CTL-18-014</x:v>
      </x:c>
      <x:c r="B250" s="3" t="str">
        <x:v>wallet</x:v>
      </x:c>
      <x:c r="C250" s="3" t="str">
        <x:v>BTC</x:v>
      </x:c>
      <x:c r="D250" s="3" t="str">
        <x:v>button / button</x:v>
      </x:c>
      <x:c r="E250" s="13" t="str">
        <x:v>Pass</x:v>
      </x:c>
      <x:c r="F250" s="3" t="str">
        <x:v>Activity shows no activity; Settings and Close work. Hide/Show and USD/ELA changes tested, original balance visibility and BTC unit restored.</x:v>
      </x:c>
      <x:c r="G250" s="3" t="str"/>
      <x:c r="H250" s="3" t="str">
        <x:v>E-047</x:v>
      </x:c>
      <x:c r="I250" s="3" t="str">
        <x:v>capsules/wallet/browser/index.html</x:v>
      </x:c>
      <x:c r="J250" s="14" t="n">
        <x:v>167</x:v>
      </x:c>
      <x:c r="K250" s="3" t="str">
        <x:v>Related dynamic groups: DYN-WALLET-03, DYN-WALLET-04, DYN-WALLET-05, DYN-WALLET-06, DYN-WALLET-07, DYN-WALLET-08, DYN-WALLET-09, DYN-WALLET-12, DYN-WALLET-14, DYN-WALLET-15. Same-capsule grouping, not one-to-one execution coverage.</x:v>
      </x:c>
      <x:c r="L250" s="3" t="str">
        <x:v>Markup-defined; conditional visibility Not run</x:v>
      </x:c>
    </x:row>
    <x:row r="251" ht="67.5" customHeight="1">
      <x:c r="A251" s="3" t="str">
        <x:v>CTL-18-015</x:v>
      </x:c>
      <x:c r="B251" s="3" t="str">
        <x:v>wallet</x:v>
      </x:c>
      <x:c r="C251" s="3" t="str">
        <x:v>ELA</x:v>
      </x:c>
      <x:c r="D251" s="3" t="str">
        <x:v>button / button</x:v>
      </x:c>
      <x:c r="E251" s="13" t="str">
        <x:v>Pass</x:v>
      </x:c>
      <x:c r="F251" s="3" t="str">
        <x:v>Activity shows no activity; Settings and Close work. Hide/Show and USD/ELA changes tested, original balance visibility and BTC unit restored.</x:v>
      </x:c>
      <x:c r="G251" s="3" t="str"/>
      <x:c r="H251" s="3" t="str">
        <x:v>E-047</x:v>
      </x:c>
      <x:c r="I251" s="3" t="str">
        <x:v>capsules/wallet/browser/index.html</x:v>
      </x:c>
      <x:c r="J251" s="14" t="n">
        <x:v>168</x:v>
      </x:c>
      <x:c r="K251" s="3" t="str">
        <x:v>Related dynamic groups: DYN-WALLET-03, DYN-WALLET-04, DYN-WALLET-05, DYN-WALLET-06, DYN-WALLET-07, DYN-WALLET-08, DYN-WALLET-09, DYN-WALLET-12, DYN-WALLET-14, DYN-WALLET-15. Same-capsule grouping, not one-to-one execution coverage.</x:v>
      </x:c>
      <x:c r="L251" s="3" t="str">
        <x:v>Markup-defined; conditional visibility Not run</x:v>
      </x:c>
    </x:row>
    <x:row r="252" ht="67.5" customHeight="1">
      <x:c r="A252" s="3" t="str">
        <x:v>CTL-18-016</x:v>
      </x:c>
      <x:c r="B252" s="3" t="str">
        <x:v>wallet</x:v>
      </x:c>
      <x:c r="C252" s="3" t="str">
        <x:v>Close activity</x:v>
      </x:c>
      <x:c r="D252" s="3" t="str">
        <x:v>button / button</x:v>
      </x:c>
      <x:c r="E252" s="13" t="str">
        <x:v>Pass</x:v>
      </x:c>
      <x:c r="F252" s="3" t="str">
        <x:v>Activity shows no activity; Settings and Close work. Hide/Show and USD/ELA changes tested, original balance visibility and BTC unit restored.</x:v>
      </x:c>
      <x:c r="G252" s="3" t="str"/>
      <x:c r="H252" s="3" t="str">
        <x:v>E-047</x:v>
      </x:c>
      <x:c r="I252" s="3" t="str">
        <x:v>capsules/wallet/browser/index.html</x:v>
      </x:c>
      <x:c r="J252" s="14" t="n">
        <x:v>181</x:v>
      </x:c>
      <x:c r="K252" s="3" t="str">
        <x:v>Related dynamic groups: DYN-WALLET-03, DYN-WALLET-04, DYN-WALLET-05, DYN-WALLET-06, DYN-WALLET-07, DYN-WALLET-08, DYN-WALLET-09, DYN-WALLET-12, DYN-WALLET-14, DYN-WALLET-15. Same-capsule grouping, not one-to-one execution coverage.</x:v>
      </x:c>
      <x:c r="L252" s="3" t="str">
        <x:v>Markup-defined; conditional visibility Not run</x:v>
      </x:c>
    </x:row>
    <x:row r="253" ht="63" customHeight="1">
      <x:c r="A253" s="3" t="str">
        <x:v>CTL-19-001</x:v>
      </x:c>
      <x:c r="B253" s="3" t="str">
        <x:v>wallet-metamask</x:v>
      </x:c>
      <x:c r="C253" s="3" t="str">
        <x:v>Connect wallet</x:v>
      </x:c>
      <x:c r="D253" s="3" t="str">
        <x:v>button / button</x:v>
      </x:c>
      <x:c r="E253" s="13" t="str">
        <x:v>Partially observed</x:v>
      </x:c>
      <x:c r="F253" s="3" t="str">
        <x:v>Connector window exposes Connect and0linked accounts/requests. Closed before external wallet access.</x:v>
      </x:c>
      <x:c r="G253" s="3" t="str">
        <x:v>wallet-connect</x:v>
      </x:c>
      <x:c r="H253" s="3" t="str">
        <x:v>E-047</x:v>
      </x:c>
      <x:c r="I253" s="3" t="str">
        <x:v>capsules/wallet-metamask/browser/index.html</x:v>
      </x:c>
      <x:c r="J253" s="14" t="n">
        <x:v>21</x:v>
      </x:c>
      <x:c r="K253" s="3" t="str">
        <x:v>Related dynamic groups: . Same-capsule grouping, not one-to-one execution coverage.</x:v>
      </x:c>
      <x:c r="L253" s="3" t="str">
        <x:v>Markup-defined; conditional visibility Not run</x:v>
      </x:c>
    </x:row>
    <x:row r="254" ht="63" customHeight="1">
      <x:c r="A254" s="3" t="str">
        <x:v>CTL-20-001</x:v>
      </x:c>
      <x:c r="B254" s="3" t="str">
        <x:v>wallet-unisat</x:v>
      </x:c>
      <x:c r="C254" s="3" t="str">
        <x:v>Connect UniSat</x:v>
      </x:c>
      <x:c r="D254" s="3" t="str">
        <x:v>button / button</x:v>
      </x:c>
      <x:c r="E254" s="13" t="str">
        <x:v>Partially observed</x:v>
      </x:c>
      <x:c r="F254" s="3" t="str">
        <x:v>Connector window exposes Connect and0linked accounts/requests. Closed before external wallet access.</x:v>
      </x:c>
      <x:c r="G254" s="3" t="str">
        <x:v>wallet-connect</x:v>
      </x:c>
      <x:c r="H254" s="3" t="str">
        <x:v>E-047</x:v>
      </x:c>
      <x:c r="I254" s="3" t="str">
        <x:v>capsules/wallet-unisat/browser/index.html</x:v>
      </x:c>
      <x:c r="J254" s="14" t="n">
        <x:v>21</x:v>
      </x:c>
      <x:c r="K254" s="3" t="str">
        <x:v>Related dynamic groups: . Same-capsule grouping, not one-to-one execution coverage.</x:v>
      </x:c>
      <x:c r="L254" s="3" t="str">
        <x:v>Markup-defined; conditional visibility Not run</x:v>
      </x:c>
    </x:row>
    <x:row r="255" ht="63" customHeight="1">
      <x:c r="A255" s="3" t="str">
        <x:v>CTL-21-001</x:v>
      </x:c>
      <x:c r="B255" s="3" t="str">
        <x:v>wallet-walletconnect</x:v>
      </x:c>
      <x:c r="C255" s="3" t="str">
        <x:v>Connect wallet</x:v>
      </x:c>
      <x:c r="D255" s="3" t="str">
        <x:v>button / button</x:v>
      </x:c>
      <x:c r="E255" s="13" t="str">
        <x:v>Blocked prerequisite</x:v>
      </x:c>
      <x:c r="F255" s="3" t="str">
        <x:v>WalletConnect is absent under current pinned operator configuration; no connection configured.</x:v>
      </x:c>
      <x:c r="G255" s="3" t="str">
        <x:v>wallet-connect</x:v>
      </x:c>
      <x:c r="H255" s="3" t="str">
        <x:v>E-047</x:v>
      </x:c>
      <x:c r="I255" s="3" t="str">
        <x:v>capsules/wallet-walletconnect/browser/index.html</x:v>
      </x:c>
      <x:c r="J255" s="14" t="n">
        <x:v>18</x:v>
      </x:c>
      <x:c r="K255" s="3" t="str">
        <x:v>Related dynamic groups: . Same-capsule grouping, not one-to-one execution coverage.</x:v>
      </x:c>
      <x:c r="L255" s="3" t="str">
        <x:v>Markup-defined; conditional visibility Not run</x:v>
      </x:c>
    </x:row>
    <x:row r="256">
      <x:c r="A256" s="3"/>
      <x:c r="B256" s="3"/>
      <x:c r="C256" s="3"/>
      <x:c r="D256" s="3"/>
      <x:c r="E256" s="3"/>
      <x:c r="F256" s="3"/>
      <x:c r="G256" s="3"/>
      <x:c r="H256" s="3"/>
      <x:c r="I256" s="3"/>
      <x:c r="J256" s="3"/>
      <x:c r="K256" s="3"/>
      <x:c r="L256" s="3"/>
    </x:row>
    <x:row r="257">
      <x:c r="A257" s="3"/>
      <x:c r="B257" s="3"/>
      <x:c r="C257" s="3"/>
      <x:c r="D257" s="3"/>
      <x:c r="E257" s="3"/>
      <x:c r="F257" s="3"/>
      <x:c r="G257" s="3"/>
      <x:c r="H257" s="3"/>
      <x:c r="I257" s="3"/>
      <x:c r="J257" s="3"/>
      <x:c r="K257" s="3"/>
      <x:c r="L257" s="3"/>
    </x:row>
    <x:row r="258">
      <x:c r="A258" s="16" t="str">
        <x:v>Conditional dynamic control groups | Separate from the 249 static-control denominator</x:v>
      </x:c>
      <x:c r="B258" s="16" t="str">
        <x:v>Conditional dynamic control groups | Separate from the 249 static-control denominator</x:v>
      </x:c>
      <x:c r="C258" s="16" t="str">
        <x:v>Conditional dynamic control groups | Separate from the 249 static-control denominator</x:v>
      </x:c>
      <x:c r="D258" s="16" t="str">
        <x:v>Conditional dynamic control groups | Separate from the 249 static-control denominator</x:v>
      </x:c>
      <x:c r="E258" s="16" t="str">
        <x:v>Conditional dynamic control groups | Separate from the 249 static-control denominator</x:v>
      </x:c>
      <x:c r="F258" s="16" t="str">
        <x:v>Conditional dynamic control groups | Separate from the 249 static-control denominator</x:v>
      </x:c>
      <x:c r="G258" s="3"/>
      <x:c r="H258" s="3"/>
      <x:c r="I258" s="3"/>
      <x:c r="J258" s="3"/>
      <x:c r="K258" s="3"/>
      <x:c r="L258" s="3"/>
    </x:row>
    <x:row r="259">
      <x:c r="A259" s="3"/>
      <x:c r="B259" s="3"/>
      <x:c r="C259" s="3"/>
      <x:c r="D259" s="3"/>
      <x:c r="E259" s="3"/>
      <x:c r="F259" s="3"/>
      <x:c r="G259" s="3"/>
      <x:c r="H259" s="3"/>
      <x:c r="I259" s="3"/>
      <x:c r="J259" s="3"/>
      <x:c r="K259" s="3"/>
      <x:c r="L259" s="3"/>
    </x:row>
    <x:row r="260" ht="28.5" customHeight="1">
      <x:c r="A260" s="11" t="str">
        <x:v>Control ID</x:v>
      </x:c>
      <x:c r="B260" s="11" t="str">
        <x:v>Capsule</x:v>
      </x:c>
      <x:c r="C260" s="11" t="str">
        <x:v>Control / accessible label</x:v>
      </x:c>
      <x:c r="D260" s="11" t="str">
        <x:v>Type</x:v>
      </x:c>
      <x:c r="E260" s="11" t="str">
        <x:v>Live status</x:v>
      </x:c>
      <x:c r="F260" s="11" t="str">
        <x:v>Actual / visibility</x:v>
      </x:c>
      <x:c r="G260" s="11" t="str">
        <x:v>Element ID / action</x:v>
      </x:c>
      <x:c r="H260" s="11" t="str">
        <x:v>Live evidence</x:v>
      </x:c>
      <x:c r="I260" s="11" t="str">
        <x:v>Source file / refs</x:v>
      </x:c>
      <x:c r="J260" s="11" t="str">
        <x:v>Line</x:v>
      </x:c>
      <x:c r="K260" s="11" t="str">
        <x:v>Related dynamic groups</x:v>
      </x:c>
      <x:c r="L260" s="11" t="str">
        <x:v>Source kind</x:v>
      </x:c>
    </x:row>
    <x:row r="261" ht="52.5" customHeight="1">
      <x:c r="A261" s="3" t="str">
        <x:v>DYN-GUI-03</x:v>
      </x:c>
      <x:c r="B261" s="3" t="str">
        <x:v>home-gui</x:v>
      </x:c>
      <x:c r="C261" s="3" t="str">
        <x:v>Launcher browse and search</x:v>
      </x:c>
      <x:c r="D261" s="3" t="str">
        <x:v>Dynamic group</x:v>
      </x:c>
      <x:c r="E261" s="13" t="str">
        <x:v>Not run</x:v>
      </x:c>
      <x:c r="F261" s="3" t="str">
        <x:v>Conditional on Runtime data, selection, capabilities or prerequisites; visibility not yet observed.</x:v>
      </x:c>
      <x:c r="G261" s="3" t="str">
        <x:v>Apps; Search; Grid/List</x:v>
      </x:c>
      <x:c r="H261" s="3" t="str"/>
      <x:c r="I261" s="3" t="str">
        <x:v>S-010</x:v>
      </x:c>
      <x:c r="J261" s="3"/>
      <x:c r="K261" s="3" t="str">
        <x:v>Journey GUI-03; Signed-in Home; safe-read-only</x:v>
      </x:c>
      <x:c r="L261" s="3" t="str">
        <x:v>Generated menu/dialog/list group; not a single static control</x:v>
      </x:c>
    </x:row>
    <x:row r="262" ht="52.5" customHeight="1">
      <x:c r="A262" s="3" t="str">
        <x:v>DYN-GUI-04</x:v>
      </x:c>
      <x:c r="B262" s="3" t="str">
        <x:v>home-gui</x:v>
      </x:c>
      <x:c r="C262" s="3" t="str">
        <x:v>Spotlight sections</x:v>
      </x:c>
      <x:c r="D262" s="3" t="str">
        <x:v>Dynamic group</x:v>
      </x:c>
      <x:c r="E262" s="13" t="str">
        <x:v>Not run</x:v>
      </x:c>
      <x:c r="F262" s="3" t="str">
        <x:v>Conditional on Runtime data, selection, capabilities or prerequisites; visibility not yet observed.</x:v>
      </x:c>
      <x:c r="G262" s="3" t="str">
        <x:v>Search; Running; Recent; Apps; Library</x:v>
      </x:c>
      <x:c r="H262" s="3" t="str"/>
      <x:c r="I262" s="3" t="str">
        <x:v>S-011</x:v>
      </x:c>
      <x:c r="J262" s="3"/>
      <x:c r="K262" s="3" t="str">
        <x:v>Journey GUI-04; Signed-in Home; Optional disposable file; controlled-session</x:v>
      </x:c>
      <x:c r="L262" s="3" t="str">
        <x:v>Generated menu/dialog/list group; not a single static control</x:v>
      </x:c>
    </x:row>
    <x:row r="263" ht="52.5" customHeight="1">
      <x:c r="A263" s="3" t="str">
        <x:v>DYN-GUI-07</x:v>
      </x:c>
      <x:c r="B263" s="3" t="str">
        <x:v>home-gui</x:v>
      </x:c>
      <x:c r="C263" s="3" t="str">
        <x:v>Application menu handoff</x:v>
      </x:c>
      <x:c r="D263" s="3" t="str">
        <x:v>Dynamic group</x:v>
      </x:c>
      <x:c r="E263" s="13" t="str">
        <x:v>Not run</x:v>
      </x:c>
      <x:c r="F263" s="3" t="str">
        <x:v>Conditional on Runtime data, selection, capabilities or prerequisites; visibility not yet observed.</x:v>
      </x:c>
      <x:c r="G263" s="3" t="str">
        <x:v>File; View; Close Window</x:v>
      </x:c>
      <x:c r="H263" s="3" t="str"/>
      <x:c r="I263" s="3" t="str">
        <x:v>S-014</x:v>
      </x:c>
      <x:c r="J263" s="3"/>
      <x:c r="K263" s="3" t="str">
        <x:v>Journey GUI-07; Signed-in Home; safe-read-only</x:v>
      </x:c>
      <x:c r="L263" s="3" t="str">
        <x:v>Generated menu/dialog/list group; not a single static control</x:v>
      </x:c>
    </x:row>
    <x:row r="264" ht="52.5" customHeight="1">
      <x:c r="A264" s="3" t="str">
        <x:v>DYN-GUI-09</x:v>
      </x:c>
      <x:c r="B264" s="3" t="str">
        <x:v>home-gui</x:v>
      </x:c>
      <x:c r="C264" s="3" t="str">
        <x:v>Desktop shortcut menu</x:v>
      </x:c>
      <x:c r="D264" s="3" t="str">
        <x:v>Dynamic group</x:v>
      </x:c>
      <x:c r="E264" s="13" t="str">
        <x:v>Not run</x:v>
      </x:c>
      <x:c r="F264" s="3" t="str">
        <x:v>Conditional on Runtime data, selection, capabilities or prerequisites; visibility not yet observed.</x:v>
      </x:c>
      <x:c r="G264" s="3" t="str">
        <x:v>Open; Rename; Remove from Desktop; Add to Desktop</x:v>
      </x:c>
      <x:c r="H264" s="3" t="str"/>
      <x:c r="I264" s="3" t="str">
        <x:v>S-016</x:v>
      </x:c>
      <x:c r="J264" s="3"/>
      <x:c r="K264" s="3" t="str">
        <x:v>Journey GUI-09; Disposable shortcut; controlled-layout</x:v>
      </x:c>
      <x:c r="L264" s="3" t="str">
        <x:v>Generated menu/dialog/list group; not a single static control</x:v>
      </x:c>
    </x:row>
    <x:row r="265" ht="52.5" customHeight="1">
      <x:c r="A265" s="3" t="str">
        <x:v>DYN-GUI-10</x:v>
      </x:c>
      <x:c r="B265" s="3" t="str">
        <x:v>home-gui</x:v>
      </x:c>
      <x:c r="C265" s="3" t="str">
        <x:v>Desktop file menu</x:v>
      </x:c>
      <x:c r="D265" s="3" t="str">
        <x:v>Dynamic group</x:v>
      </x:c>
      <x:c r="E265" s="13" t="str">
        <x:v>Not run</x:v>
      </x:c>
      <x:c r="F265" s="3" t="str">
        <x:v>Conditional on Runtime data, selection, capabilities or prerequisites; visibility not yet observed.</x:v>
      </x:c>
      <x:c r="G265" s="3" t="str">
        <x:v>Open; Rename; Trash</x:v>
      </x:c>
      <x:c r="H265" s="3" t="str"/>
      <x:c r="I265" s="3" t="str">
        <x:v>S-017</x:v>
      </x:c>
      <x:c r="J265" s="3"/>
      <x:c r="K265" s="3" t="str">
        <x:v>Journey GUI-10; Disposable desktop file; controlled-files</x:v>
      </x:c>
      <x:c r="L265" s="3" t="str">
        <x:v>Generated menu/dialog/list group; not a single static control</x:v>
      </x:c>
    </x:row>
    <x:row r="266" ht="52.5" customHeight="1">
      <x:c r="A266" s="3" t="str">
        <x:v>DYN-GUI-12</x:v>
      </x:c>
      <x:c r="B266" s="3" t="str">
        <x:v>home-gui</x:v>
      </x:c>
      <x:c r="C266" s="3" t="str">
        <x:v>Dock controls</x:v>
      </x:c>
      <x:c r="D266" s="3" t="str">
        <x:v>Dynamic group</x:v>
      </x:c>
      <x:c r="E266" s="13" t="str">
        <x:v>Not run</x:v>
      </x:c>
      <x:c r="F266" s="3" t="str">
        <x:v>Conditional on Runtime data, selection, capabilities or prerequisites; visibility not yet observed.</x:v>
      </x:c>
      <x:c r="G266" s="3" t="str">
        <x:v>Pin/unpin; Drag reorder; Show/Hide/Close all windows</x:v>
      </x:c>
      <x:c r="H266" s="3" t="str"/>
      <x:c r="I266" s="3" t="str">
        <x:v>S-019, S-020</x:v>
      </x:c>
      <x:c r="J266" s="3"/>
      <x:c r="K266" s="3" t="str">
        <x:v>Journey GUI-12; Disposable windows/pins; controlled-layout</x:v>
      </x:c>
      <x:c r="L266" s="3" t="str">
        <x:v>Generated menu/dialog/list group; not a single static control</x:v>
      </x:c>
    </x:row>
    <x:row r="267" ht="52.5" customHeight="1">
      <x:c r="A267" s="3" t="str">
        <x:v>DYN-GUI-15</x:v>
      </x:c>
      <x:c r="B267" s="3" t="str">
        <x:v>home-gui</x:v>
      </x:c>
      <x:c r="C267" s="3" t="str">
        <x:v>Notifications</x:v>
      </x:c>
      <x:c r="D267" s="3" t="str">
        <x:v>Dynamic group</x:v>
      </x:c>
      <x:c r="E267" s="13" t="str">
        <x:v>Not run</x:v>
      </x:c>
      <x:c r="F267" s="3" t="str">
        <x:v>Conditional on Runtime data, selection, capabilities or prerequisites; visibility not yet observed.</x:v>
      </x:c>
      <x:c r="G267" s="3" t="str">
        <x:v>Clock; Review; Dismiss; Clear history</x:v>
      </x:c>
      <x:c r="H267" s="3" t="str"/>
      <x:c r="I267" s="3" t="str">
        <x:v>S-023</x:v>
      </x:c>
      <x:c r="J267" s="3"/>
      <x:c r="K267" s="3" t="str">
        <x:v>Journey GUI-15; Disposable notification; controlled-notification</x:v>
      </x:c>
      <x:c r="L267" s="3" t="str">
        <x:v>Generated menu/dialog/list group; not a single static control</x:v>
      </x:c>
    </x:row>
    <x:row r="268" ht="52.5" customHeight="1">
      <x:c r="A268" s="3" t="str">
        <x:v>DYN-SYS-03</x:v>
      </x:c>
      <x:c r="B268" s="3" t="str">
        <x:v>system</x:v>
      </x:c>
      <x:c r="C268" s="3" t="str">
        <x:v>Account list and roles</x:v>
      </x:c>
      <x:c r="D268" s="3" t="str">
        <x:v>Dynamic group</x:v>
      </x:c>
      <x:c r="E268" s="13" t="str">
        <x:v>Not run</x:v>
      </x:c>
      <x:c r="F268" s="3" t="str">
        <x:v>Conditional on Runtime data, selection, capabilities or prerequisites; visibility not yet observed.</x:v>
      </x:c>
      <x:c r="G268" s="3" t="str">
        <x:v>Make admin; Make guest; Remove</x:v>
      </x:c>
      <x:c r="H268" s="3" t="str"/>
      <x:c r="I268" s="3" t="str">
        <x:v>S-027</x:v>
      </x:c>
      <x:c r="J268" s="3"/>
      <x:c r="K268" s="3" t="str">
        <x:v>Journey SYS-03; Disposable accounts; Explicit owner approval; controlled-identity</x:v>
      </x:c>
      <x:c r="L268" s="3" t="str">
        <x:v>Generated menu/dialog/list group; not a single static control</x:v>
      </x:c>
    </x:row>
    <x:row r="269" ht="52.5" customHeight="1">
      <x:c r="A269" s="3" t="str">
        <x:v>DYN-SYS-10</x:v>
      </x:c>
      <x:c r="B269" s="3" t="str">
        <x:v>system</x:v>
      </x:c>
      <x:c r="C269" s="3" t="str">
        <x:v>Shell selection</x:v>
      </x:c>
      <x:c r="D269" s="3" t="str">
        <x:v>Dynamic group</x:v>
      </x:c>
      <x:c r="E269" s="13" t="str">
        <x:v>Not run</x:v>
      </x:c>
      <x:c r="F269" s="3" t="str">
        <x:v>Conditional on Runtime data, selection, capabilities or prerequisites; visibility not yet observed.</x:v>
      </x:c>
      <x:c r="G269" s="3" t="str">
        <x:v>Home GUI; Home CLI</x:v>
      </x:c>
      <x:c r="H269" s="3" t="str"/>
      <x:c r="I269" s="3" t="str">
        <x:v>S-034</x:v>
      </x:c>
      <x:c r="J269" s="3"/>
      <x:c r="K269" s="3" t="str">
        <x:v>Journey SYS-10; Save disposable work; controlled-session</x:v>
      </x:c>
      <x:c r="L269" s="3" t="str">
        <x:v>Generated menu/dialog/list group; not a single static control</x:v>
      </x:c>
    </x:row>
    <x:row r="270" ht="52.5" customHeight="1">
      <x:c r="A270" s="3" t="str">
        <x:v>DYN-SYS-11</x:v>
      </x:c>
      <x:c r="B270" s="3" t="str">
        <x:v>system</x:v>
      </x:c>
      <x:c r="C270" s="3" t="str">
        <x:v>Apps and services inventory</x:v>
      </x:c>
      <x:c r="D270" s="3" t="str">
        <x:v>Dynamic group</x:v>
      </x:c>
      <x:c r="E270" s="13" t="str">
        <x:v>Not run</x:v>
      </x:c>
      <x:c r="F270" s="3" t="str">
        <x:v>Conditional on Runtime data, selection, capabilities or prerequisites; visibility not yet observed.</x:v>
      </x:c>
      <x:c r="G270" s="3" t="str">
        <x:v>Refresh; Group disclosure; Open</x:v>
      </x:c>
      <x:c r="H270" s="3" t="str"/>
      <x:c r="I270" s="3" t="str">
        <x:v>S-035</x:v>
      </x:c>
      <x:c r="J270" s="3"/>
      <x:c r="K270" s="3" t="str">
        <x:v>Journey SYS-11; Signed-in Home; safe-read-only</x:v>
      </x:c>
      <x:c r="L270" s="3" t="str">
        <x:v>Generated menu/dialog/list group; not a single static control</x:v>
      </x:c>
    </x:row>
    <x:row r="271" ht="52.5" customHeight="1">
      <x:c r="A271" s="3" t="str">
        <x:v>DYN-SYS-12</x:v>
      </x:c>
      <x:c r="B271" s="3" t="str">
        <x:v>system</x:v>
      </x:c>
      <x:c r="C271" s="3" t="str">
        <x:v>Chain controls</x:v>
      </x:c>
      <x:c r="D271" s="3" t="str">
        <x:v>Dynamic group</x:v>
      </x:c>
      <x:c r="E271" s="13" t="str">
        <x:v>Not run</x:v>
      </x:c>
      <x:c r="F271" s="3" t="str">
        <x:v>Conditional on Runtime data, selection, capabilities or prerequisites; visibility not yet observed.</x:v>
      </x:c>
      <x:c r="G271" s="3" t="str">
        <x:v>Network row; Start; Stop; Restart</x:v>
      </x:c>
      <x:c r="H271" s="3" t="str"/>
      <x:c r="I271" s="3" t="str">
        <x:v>S-036</x:v>
      </x:c>
      <x:c r="J271" s="3"/>
      <x:c r="K271" s="3" t="str">
        <x:v>Journey SYS-12; Operator-only; preview now; privileged-operator</x:v>
      </x:c>
      <x:c r="L271" s="3" t="str">
        <x:v>Generated menu/dialog/list group; not a single static control</x:v>
      </x:c>
    </x:row>
    <x:row r="272" ht="52.5" customHeight="1">
      <x:c r="A272" s="3" t="str">
        <x:v>DYN-SYS-13</x:v>
      </x:c>
      <x:c r="B272" s="3" t="str">
        <x:v>system</x:v>
      </x:c>
      <x:c r="C272" s="3" t="str">
        <x:v>Technical inspection</x:v>
      </x:c>
      <x:c r="D272" s="3" t="str">
        <x:v>Dynamic group</x:v>
      </x:c>
      <x:c r="E272" s="13" t="str">
        <x:v>Not run</x:v>
      </x:c>
      <x:c r="F272" s="3" t="str">
        <x:v>Conditional on Runtime data, selection, capabilities or prerequisites; visibility not yet observed.</x:v>
      </x:c>
      <x:c r="G272" s="3" t="str">
        <x:v>Refresh; Inspect item; Operation; Preview; Request approval</x:v>
      </x:c>
      <x:c r="H272" s="3" t="str"/>
      <x:c r="I272" s="3" t="str">
        <x:v>S-037</x:v>
      </x:c>
      <x:c r="J272" s="3"/>
      <x:c r="K272" s="3" t="str">
        <x:v>Journey SYS-13; Admin inspection; No secret capture; privileged-operator</x:v>
      </x:c>
      <x:c r="L272" s="3" t="str">
        <x:v>Generated menu/dialog/list group; not a single static control</x:v>
      </x:c>
    </x:row>
    <x:row r="273" ht="52.5" customHeight="1">
      <x:c r="A273" s="3" t="str">
        <x:v>DYN-PEOPLE-03</x:v>
      </x:c>
      <x:c r="B273" s="3" t="str">
        <x:v>people</x:v>
      </x:c>
      <x:c r="C273" s="3" t="str">
        <x:v>Contacts empty/populated</x:v>
      </x:c>
      <x:c r="D273" s="3" t="str">
        <x:v>Dynamic group</x:v>
      </x:c>
      <x:c r="E273" s="13" t="str">
        <x:v>Not run</x:v>
      </x:c>
      <x:c r="F273" s="3" t="str">
        <x:v>Conditional on Runtime data, selection, capabilities or prerequisites; visibility not yet observed.</x:v>
      </x:c>
      <x:c r="G273" s="3" t="str">
        <x:v>People tab; Contact cards; Message</x:v>
      </x:c>
      <x:c r="H273" s="3" t="str"/>
      <x:c r="I273" s="3" t="str">
        <x:v>S-040</x:v>
      </x:c>
      <x:c r="J273" s="3"/>
      <x:c r="K273" s="3" t="str">
        <x:v>Journey PEOPLE-03; Optional approved test contact; controlled-session</x:v>
      </x:c>
      <x:c r="L273" s="3" t="str">
        <x:v>Generated menu/dialog/list group; not a single static control</x:v>
      </x:c>
    </x:row>
    <x:row r="274" ht="52.5" customHeight="1">
      <x:c r="A274" s="3" t="str">
        <x:v>DYN-PEOPLE-04</x:v>
      </x:c>
      <x:c r="B274" s="3" t="str">
        <x:v>people</x:v>
      </x:c>
      <x:c r="C274" s="3" t="str">
        <x:v>Discovery and requests</x:v>
      </x:c>
      <x:c r="D274" s="3" t="str">
        <x:v>Dynamic group</x:v>
      </x:c>
      <x:c r="E274" s="13" t="str">
        <x:v>Not run</x:v>
      </x:c>
      <x:c r="F274" s="3" t="str">
        <x:v>Conditional on Runtime data, selection, capabilities or prerequisites; visibility not yet observed.</x:v>
      </x:c>
      <x:c r="G274" s="3" t="str">
        <x:v>Discovery tab; Enable/disable; Refresh; Add contact</x:v>
      </x:c>
      <x:c r="H274" s="3" t="str"/>
      <x:c r="I274" s="3" t="str">
        <x:v>S-041</x:v>
      </x:c>
      <x:c r="J274" s="3"/>
      <x:c r="K274" s="3" t="str">
        <x:v>Journey PEOPLE-04; Two consenting test Profiles; multi-runtime-controlled</x:v>
      </x:c>
      <x:c r="L274" s="3" t="str">
        <x:v>Generated menu/dialog/list group; not a single static control</x:v>
      </x:c>
    </x:row>
    <x:row r="275" ht="52.5" customHeight="1">
      <x:c r="A275" s="3" t="str">
        <x:v>DYN-CHAT-01</x:v>
      </x:c>
      <x:c r="B275" s="3" t="str">
        <x:v>chat-room</x:v>
      </x:c>
      <x:c r="C275" s="3" t="str">
        <x:v>Conversation entry and selection</x:v>
      </x:c>
      <x:c r="D275" s="3" t="str">
        <x:v>Dynamic group</x:v>
      </x:c>
      <x:c r="E275" s="13" t="str">
        <x:v>Not run</x:v>
      </x:c>
      <x:c r="F275" s="3" t="str">
        <x:v>Conditional on Runtime data, selection, capabilities or prerequisites; visibility not yet observed.</x:v>
      </x:c>
      <x:c r="G275" s="3" t="str">
        <x:v>Conversation selector; Join code/link; Join</x:v>
      </x:c>
      <x:c r="H275" s="3" t="str"/>
      <x:c r="I275" s="3" t="str">
        <x:v>S-044</x:v>
      </x:c>
      <x:c r="J275" s="3"/>
      <x:c r="K275" s="3" t="str">
        <x:v>Journey CHAT-01; Optional existing test conversation; controlled-session</x:v>
      </x:c>
      <x:c r="L275" s="3" t="str">
        <x:v>Generated menu/dialog/list group; not a single static control</x:v>
      </x:c>
    </x:row>
    <x:row r="276" ht="52.5" customHeight="1">
      <x:c r="A276" s="3" t="str">
        <x:v>DYN-CHAT-07</x:v>
      </x:c>
      <x:c r="B276" s="3" t="str">
        <x:v>chat-room</x:v>
      </x:c>
      <x:c r="C276" s="3" t="str">
        <x:v>Participants and requests</x:v>
      </x:c>
      <x:c r="D276" s="3" t="str">
        <x:v>Dynamic group</x:v>
      </x:c>
      <x:c r="E276" s="13" t="str">
        <x:v>Not run</x:v>
      </x:c>
      <x:c r="F276" s="3" t="str">
        <x:v>Conditional on Runtime data, selection, capabilities or prerequisites; visibility not yet observed.</x:v>
      </x:c>
      <x:c r="G276" s="3" t="str">
        <x:v>People toggle; Close; Access settings; Join requests</x:v>
      </x:c>
      <x:c r="H276" s="3" t="str"/>
      <x:c r="I276" s="3" t="str">
        <x:v>S-050</x:v>
      </x:c>
      <x:c r="J276" s="3"/>
      <x:c r="K276" s="3" t="str">
        <x:v>Journey CHAT-07; Controlled room; multi-runtime-controlled</x:v>
      </x:c>
      <x:c r="L276" s="3" t="str">
        <x:v>Generated menu/dialog/list group; not a single static control</x:v>
      </x:c>
    </x:row>
    <x:row r="277" ht="52.5" customHeight="1">
      <x:c r="A277" s="3" t="str">
        <x:v>DYN-INBOX-02</x:v>
      </x:c>
      <x:c r="B277" s="3" t="str">
        <x:v>inbox</x:v>
      </x:c>
      <x:c r="C277" s="3" t="str">
        <x:v>Room and contact requests</x:v>
      </x:c>
      <x:c r="D277" s="3" t="str">
        <x:v>Dynamic group</x:v>
      </x:c>
      <x:c r="E277" s="13" t="str">
        <x:v>Not run</x:v>
      </x:c>
      <x:c r="F277" s="3" t="str">
        <x:v>Conditional on Runtime data, selection, capabilities or prerequisites; visibility not yet observed.</x:v>
      </x:c>
      <x:c r="G277" s="3" t="str">
        <x:v>Approve/Deny; Accept/Decline; Open</x:v>
      </x:c>
      <x:c r="H277" s="3" t="str"/>
      <x:c r="I277" s="3" t="str">
        <x:v>S-052</x:v>
      </x:c>
      <x:c r="J277" s="3"/>
      <x:c r="K277" s="3" t="str">
        <x:v>Journey INBOX-02; Controlled room/contact request; multi-runtime-controlled</x:v>
      </x:c>
      <x:c r="L277" s="3" t="str">
        <x:v>Generated menu/dialog/list group; not a single static control</x:v>
      </x:c>
    </x:row>
    <x:row r="278" ht="52.5" customHeight="1">
      <x:c r="A278" s="3" t="str">
        <x:v>DYN-INBOX-03</x:v>
      </x:c>
      <x:c r="B278" s="3" t="str">
        <x:v>inbox</x:v>
      </x:c>
      <x:c r="C278" s="3" t="str">
        <x:v>Wallet requests</x:v>
      </x:c>
      <x:c r="D278" s="3" t="str">
        <x:v>Dynamic group</x:v>
      </x:c>
      <x:c r="E278" s="13" t="str">
        <x:v>Not run</x:v>
      </x:c>
      <x:c r="F278" s="3" t="str">
        <x:v>Conditional on Runtime data, selection, capabilities or prerequisites; visibility not yet observed.</x:v>
      </x:c>
      <x:c r="G278" s="3" t="str">
        <x:v>Approve; Review in Wallet; Reject</x:v>
      </x:c>
      <x:c r="H278" s="3" t="str"/>
      <x:c r="I278" s="3" t="str">
        <x:v>S-053</x:v>
      </x:c>
      <x:c r="J278" s="3"/>
      <x:c r="K278" s="3" t="str">
        <x:v>Journey INBOX-03; Test Wallet request; Explicit financial approval; controlled-financial</x:v>
      </x:c>
      <x:c r="L278" s="3" t="str">
        <x:v>Generated menu/dialog/list group; not a single static control</x:v>
      </x:c>
    </x:row>
    <x:row r="279" ht="52.5" customHeight="1">
      <x:c r="A279" s="3" t="str">
        <x:v>DYN-INBOX-04</x:v>
      </x:c>
      <x:c r="B279" s="3" t="str">
        <x:v>inbox</x:v>
      </x:c>
      <x:c r="C279" s="3" t="str">
        <x:v>Capability requests</x:v>
      </x:c>
      <x:c r="D279" s="3" t="str">
        <x:v>Dynamic group</x:v>
      </x:c>
      <x:c r="E279" s="13" t="str">
        <x:v>Not run</x:v>
      </x:c>
      <x:c r="F279" s="3" t="str">
        <x:v>Conditional on Runtime data, selection, capabilities or prerequisites; visibility not yet observed.</x:v>
      </x:c>
      <x:c r="G279" s="3" t="str">
        <x:v>Approve; Deny</x:v>
      </x:c>
      <x:c r="H279" s="3" t="str"/>
      <x:c r="I279" s="3" t="str">
        <x:v>S-054</x:v>
      </x:c>
      <x:c r="J279" s="3"/>
      <x:c r="K279" s="3" t="str">
        <x:v>Journey INBOX-04; Controlled capsule request; controlled-permission</x:v>
      </x:c>
      <x:c r="L279" s="3" t="str">
        <x:v>Generated menu/dialog/list group; not a single static control</x:v>
      </x:c>
    </x:row>
    <x:row r="280" ht="52.5" customHeight="1">
      <x:c r="A280" s="3" t="str">
        <x:v>DYN-INBOX-05</x:v>
      </x:c>
      <x:c r="B280" s="3" t="str">
        <x:v>inbox</x:v>
      </x:c>
      <x:c r="C280" s="3" t="str">
        <x:v>System action requests</x:v>
      </x:c>
      <x:c r="D280" s="3" t="str">
        <x:v>Dynamic group</x:v>
      </x:c>
      <x:c r="E280" s="13" t="str">
        <x:v>Not run</x:v>
      </x:c>
      <x:c r="F280" s="3" t="str">
        <x:v>Conditional on Runtime data, selection, capabilities or prerequisites; visibility not yet observed.</x:v>
      </x:c>
      <x:c r="G280" s="3" t="str">
        <x:v>Approve; Deny; Open</x:v>
      </x:c>
      <x:c r="H280" s="3" t="str"/>
      <x:c r="I280" s="3" t="str">
        <x:v>S-055</x:v>
      </x:c>
      <x:c r="J280" s="3"/>
      <x:c r="K280" s="3" t="str">
        <x:v>Journey INBOX-05; Controlled technical request; privileged-operator</x:v>
      </x:c>
      <x:c r="L280" s="3" t="str">
        <x:v>Generated menu/dialog/list group; not a single static control</x:v>
      </x:c>
    </x:row>
    <x:row r="281" ht="52.5" customHeight="1">
      <x:c r="A281" s="3" t="str">
        <x:v>DYN-INBOX-06</x:v>
      </x:c>
      <x:c r="B281" s="3" t="str">
        <x:v>inbox</x:v>
      </x:c>
      <x:c r="C281" s="3" t="str">
        <x:v>Price-source approval</x:v>
      </x:c>
      <x:c r="D281" s="3" t="str">
        <x:v>Dynamic group</x:v>
      </x:c>
      <x:c r="E281" s="13" t="str">
        <x:v>Not run</x:v>
      </x:c>
      <x:c r="F281" s="3" t="str">
        <x:v>Conditional on Runtime data, selection, capabilities or prerequisites; visibility not yet observed.</x:v>
      </x:c>
      <x:c r="G281" s="3" t="str">
        <x:v>Approve; Reject</x:v>
      </x:c>
      <x:c r="H281" s="3" t="str"/>
      <x:c r="I281" s="3" t="str">
        <x:v>S-056</x:v>
      </x:c>
      <x:c r="J281" s="3"/>
      <x:c r="K281" s="3" t="str">
        <x:v>Journey INBOX-06; Test price request; No real funds action; controlled-network</x:v>
      </x:c>
      <x:c r="L281" s="3" t="str">
        <x:v>Generated menu/dialog/list group; not a single static control</x:v>
      </x:c>
    </x:row>
    <x:row r="282" ht="52.5" customHeight="1">
      <x:c r="A282" s="3" t="str">
        <x:v>DYN-LIB-07</x:v>
      </x:c>
      <x:c r="B282" s="3" t="str">
        <x:v>library</x:v>
      </x:c>
      <x:c r="C282" s="3" t="str">
        <x:v>Open and viewer choice</x:v>
      </x:c>
      <x:c r="D282" s="3" t="str">
        <x:v>Dynamic group</x:v>
      </x:c>
      <x:c r="E282" s="13" t="str">
        <x:v>Not run</x:v>
      </x:c>
      <x:c r="F282" s="3" t="str">
        <x:v>Conditional on Runtime data, selection, capabilities or prerequisites; visibility not yet observed.</x:v>
      </x:c>
      <x:c r="G282" s="3" t="str">
        <x:v>Open; Open With; New Window</x:v>
      </x:c>
      <x:c r="H282" s="3" t="str"/>
      <x:c r="I282" s="3" t="str">
        <x:v>S-065</x:v>
      </x:c>
      <x:c r="J282" s="3"/>
      <x:c r="K282" s="3" t="str">
        <x:v>Journey LIB-07; Harmless fixture types; controlled-session</x:v>
      </x:c>
      <x:c r="L282" s="3" t="str">
        <x:v>Generated menu/dialog/list group; not a single static control</x:v>
      </x:c>
    </x:row>
    <x:row r="283" ht="52.5" customHeight="1">
      <x:c r="A283" s="3" t="str">
        <x:v>DYN-LIB-09</x:v>
      </x:c>
      <x:c r="B283" s="3" t="str">
        <x:v>library</x:v>
      </x:c>
      <x:c r="C283" s="3" t="str">
        <x:v>Rename and transfer</x:v>
      </x:c>
      <x:c r="D283" s="3" t="str">
        <x:v>Dynamic group</x:v>
      </x:c>
      <x:c r="E283" s="13" t="str">
        <x:v>Not run</x:v>
      </x:c>
      <x:c r="F283" s="3" t="str">
        <x:v>Conditional on Runtime data, selection, capabilities or prerequisites; visibility not yet observed.</x:v>
      </x:c>
      <x:c r="G283" s="3" t="str">
        <x:v>Rename; Cut; Copy; Paste; Paste Into Folder; Drag copy/move</x:v>
      </x:c>
      <x:c r="H283" s="3" t="str"/>
      <x:c r="I283" s="3" t="str">
        <x:v>S-067</x:v>
      </x:c>
      <x:c r="J283" s="3"/>
      <x:c r="K283" s="3" t="str">
        <x:v>Journey LIB-09; Disposable audit folder; controlled-files</x:v>
      </x:c>
      <x:c r="L283" s="3" t="str">
        <x:v>Generated menu/dialog/list group; not a single static control</x:v>
      </x:c>
    </x:row>
    <x:row r="284" ht="52.5" customHeight="1">
      <x:c r="A284" s="3" t="str">
        <x:v>DYN-LIB-10</x:v>
      </x:c>
      <x:c r="B284" s="3" t="str">
        <x:v>library</x:v>
      </x:c>
      <x:c r="C284" s="3" t="str">
        <x:v>Download</x:v>
      </x:c>
      <x:c r="D284" s="3" t="str">
        <x:v>Dynamic group</x:v>
      </x:c>
      <x:c r="E284" s="13" t="str">
        <x:v>Not run</x:v>
      </x:c>
      <x:c r="F284" s="3" t="str">
        <x:v>Conditional on Runtime data, selection, capabilities or prerequisites; visibility not yet observed.</x:v>
      </x:c>
      <x:c r="G284" s="3" t="str">
        <x:v>Download; Download as ZIP; Download Selected; Download Selected as ZIP</x:v>
      </x:c>
      <x:c r="H284" s="3" t="str"/>
      <x:c r="I284" s="3" t="str">
        <x:v>S-068</x:v>
      </x:c>
      <x:c r="J284" s="3"/>
      <x:c r="K284" s="3" t="str">
        <x:v>Journey LIB-10; Explicit permission for fixture download; controlled-files</x:v>
      </x:c>
      <x:c r="L284" s="3" t="str">
        <x:v>Generated menu/dialog/list group; not a single static control</x:v>
      </x:c>
    </x:row>
    <x:row r="285" ht="52.5" customHeight="1">
      <x:c r="A285" s="3" t="str">
        <x:v>DYN-LIB-11</x:v>
      </x:c>
      <x:c r="B285" s="3" t="str">
        <x:v>library</x:v>
      </x:c>
      <x:c r="C285" s="3" t="str">
        <x:v>Compress</x:v>
      </x:c>
      <x:c r="D285" s="3" t="str">
        <x:v>Dynamic group</x:v>
      </x:c>
      <x:c r="E285" s="13" t="str">
        <x:v>Not run</x:v>
      </x:c>
      <x:c r="F285" s="3" t="str">
        <x:v>Conditional on Runtime data, selection, capabilities or prerequisites; visibility not yet observed.</x:v>
      </x:c>
      <x:c r="G285" s="3" t="str">
        <x:v>Compress to ZIP; Compress Selected to ZIP</x:v>
      </x:c>
      <x:c r="H285" s="3" t="str"/>
      <x:c r="I285" s="3" t="str">
        <x:v>S-069</x:v>
      </x:c>
      <x:c r="J285" s="3"/>
      <x:c r="K285" s="3" t="str">
        <x:v>Journey LIB-11; Disposable audit folder; controlled-files</x:v>
      </x:c>
      <x:c r="L285" s="3" t="str">
        <x:v>Generated menu/dialog/list group; not a single static control</x:v>
      </x:c>
    </x:row>
    <x:row r="286" ht="52.5" customHeight="1">
      <x:c r="A286" s="3" t="str">
        <x:v>DYN-LIB-12</x:v>
      </x:c>
      <x:c r="B286" s="3" t="str">
        <x:v>library</x:v>
      </x:c>
      <x:c r="C286" s="3" t="str">
        <x:v>Extract/support branch</x:v>
      </x:c>
      <x:c r="D286" s="3" t="str">
        <x:v>Dynamic group</x:v>
      </x:c>
      <x:c r="E286" s="13" t="str">
        <x:v>Not run</x:v>
      </x:c>
      <x:c r="F286" s="3" t="str">
        <x:v>Conditional on Runtime data, selection, capabilities or prerequisites; visibility not yet observed.</x:v>
      </x:c>
      <x:c r="G286" s="3" t="str">
        <x:v>Extract Here; Archive Support</x:v>
      </x:c>
      <x:c r="H286" s="3" t="str"/>
      <x:c r="I286" s="3" t="str">
        <x:v>S-070, S-071</x:v>
      </x:c>
      <x:c r="J286" s="3"/>
      <x:c r="K286" s="3" t="str">
        <x:v>Journey LIB-12; Bounded safe archive fixture; controlled-files</x:v>
      </x:c>
      <x:c r="L286" s="3" t="str">
        <x:v>Generated menu/dialog/list group; not a single static control</x:v>
      </x:c>
    </x:row>
    <x:row r="287" ht="52.5" customHeight="1">
      <x:c r="A287" s="3" t="str">
        <x:v>DYN-LIB-14</x:v>
      </x:c>
      <x:c r="B287" s="3" t="str">
        <x:v>library</x:v>
      </x:c>
      <x:c r="C287" s="3" t="str">
        <x:v>Published status and repair</x:v>
      </x:c>
      <x:c r="D287" s="3" t="str">
        <x:v>Dynamic group</x:v>
      </x:c>
      <x:c r="E287" s="13" t="str">
        <x:v>Not run</x:v>
      </x:c>
      <x:c r="F287" s="3" t="str">
        <x:v>Conditional on Runtime data, selection, capabilities or prerequisites; visibility not yet observed.</x:v>
      </x:c>
      <x:c r="G287" s="3" t="str">
        <x:v>Status; Repair; Copy Content CID; Copy Published Link</x:v>
      </x:c>
      <x:c r="H287" s="3" t="str"/>
      <x:c r="I287" s="3" t="str">
        <x:v>S-073</x:v>
      </x:c>
      <x:c r="J287" s="3"/>
      <x:c r="K287" s="3" t="str">
        <x:v>Journey LIB-14; Published test object; controlled-publication</x:v>
      </x:c>
      <x:c r="L287" s="3" t="str">
        <x:v>Generated menu/dialog/list group; not a single static control</x:v>
      </x:c>
    </x:row>
    <x:row r="288" ht="52.5" customHeight="1">
      <x:c r="A288" s="3" t="str">
        <x:v>DYN-LIB-15</x:v>
      </x:c>
      <x:c r="B288" s="3" t="str">
        <x:v>library</x:v>
      </x:c>
      <x:c r="C288" s="3" t="str">
        <x:v>Share/access</x:v>
      </x:c>
      <x:c r="D288" s="3" t="str">
        <x:v>Dynamic group</x:v>
      </x:c>
      <x:c r="E288" s="13" t="str">
        <x:v>Not run</x:v>
      </x:c>
      <x:c r="F288" s="3" t="str">
        <x:v>Conditional on Runtime data, selection, capabilities or prerequisites; visibility not yet observed.</x:v>
      </x:c>
      <x:c r="G288" s="3" t="str">
        <x:v>Share; Recipient selection; Check My Access</x:v>
      </x:c>
      <x:c r="H288" s="3" t="str"/>
      <x:c r="I288" s="3" t="str">
        <x:v>S-074, S-075</x:v>
      </x:c>
      <x:c r="J288" s="3"/>
      <x:c r="K288" s="3" t="str">
        <x:v>Journey LIB-15; Test recipients; Explicit sharing consent; controlled-permission</x:v>
      </x:c>
      <x:c r="L288" s="3" t="str">
        <x:v>Generated menu/dialog/list group; not a single static control</x:v>
      </x:c>
    </x:row>
    <x:row r="289" ht="70.5" customHeight="1">
      <x:c r="A289" s="3" t="str">
        <x:v>DYN-LIB-17</x:v>
      </x:c>
      <x:c r="B289" s="3" t="str">
        <x:v>library</x:v>
      </x:c>
      <x:c r="C289" s="3" t="str">
        <x:v>Protect and List visibility</x:v>
      </x:c>
      <x:c r="D289" s="3" t="str">
        <x:v>Dynamic group</x:v>
      </x:c>
      <x:c r="E289" s="13" t="str">
        <x:v>Not run</x:v>
      </x:c>
      <x:c r="F289" s="3" t="str">
        <x:v>Conditional on Runtime data, selection, capabilities or prerequisites; visibility not yet observed.</x:v>
      </x:c>
      <x:c r="G289" s="3" t="str">
        <x:v>Protect and List...</x:v>
      </x:c>
      <x:c r="H289" s="3" t="str"/>
      <x:c r="I289" s="3" t="str">
        <x:v>S-077, S-078, S-079</x:v>
      </x:c>
      <x:c r="J289" s="3"/>
      <x:c r="K289" s="3" t="str">
        <x:v>Journey LIB-17; Approved disposable unpublished video with video/ MIME and publish capability; Signed custody composition, private Chain config and custody node setup before mint execution; Inspect dialog only until controlled-effect approval; controlled-files</x:v>
      </x:c>
      <x:c r="L289" s="3" t="str">
        <x:v>Generated menu/dialog/list group; not a single static control</x:v>
      </x:c>
    </x:row>
    <x:row r="290" ht="52.5" customHeight="1">
      <x:c r="A290" s="3" t="str">
        <x:v>DYN-LIB-18</x:v>
      </x:c>
      <x:c r="B290" s="3" t="str">
        <x:v>library</x:v>
      </x:c>
      <x:c r="C290" s="3" t="str">
        <x:v>Creator dialog and submission</x:v>
      </x:c>
      <x:c r="D290" s="3" t="str">
        <x:v>Dynamic group</x:v>
      </x:c>
      <x:c r="E290" s="13" t="str">
        <x:v>Not run</x:v>
      </x:c>
      <x:c r="F290" s="3" t="str">
        <x:v>Conditional on Runtime data, selection, capabilities or prerequisites; visibility not yet observed.</x:v>
      </x:c>
      <x:c r="G290" s="3" t="str">
        <x:v>Object; Copies; Price; Cancel; Protect and List</x:v>
      </x:c>
      <x:c r="H290" s="3" t="str"/>
      <x:c r="I290" s="3" t="str">
        <x:v>S-080, S-081</x:v>
      </x:c>
      <x:c r="J290" s="3"/>
      <x:c r="K290" s="3" t="str">
        <x:v>Journey LIB-18; Signed custody; Private Chain config; Funded test Wallet; Three replicas; controlled-financial</x:v>
      </x:c>
      <x:c r="L290" s="3" t="str">
        <x:v>Generated menu/dialog/list group; not a single static control</x:v>
      </x:c>
    </x:row>
    <x:row r="291" ht="52.5" customHeight="1">
      <x:c r="A291" s="3" t="str">
        <x:v>DYN-LIB-22</x:v>
      </x:c>
      <x:c r="B291" s="3" t="str">
        <x:v>library</x:v>
      </x:c>
      <x:c r="C291" s="3" t="str">
        <x:v>Trash and restoration</x:v>
      </x:c>
      <x:c r="D291" s="3" t="str">
        <x:v>Dynamic group</x:v>
      </x:c>
      <x:c r="E291" s="13" t="str">
        <x:v>Not run</x:v>
      </x:c>
      <x:c r="F291" s="3" t="str">
        <x:v>Conditional on Runtime data, selection, capabilities or prerequisites; visibility not yet observed.</x:v>
      </x:c>
      <x:c r="G291" s="3" t="str">
        <x:v>Delete; Restore; Empty Trash; Delete Permanently</x:v>
      </x:c>
      <x:c r="H291" s="3" t="str"/>
      <x:c r="I291" s="3" t="str">
        <x:v>S-088, S-089</x:v>
      </x:c>
      <x:c r="J291" s="3"/>
      <x:c r="K291" s="3" t="str">
        <x:v>Journey LIB-22; Disposable audit files only; destructive-controlled</x:v>
      </x:c>
      <x:c r="L291" s="3" t="str">
        <x:v>Generated menu/dialog/list group; not a single static control</x:v>
      </x:c>
    </x:row>
    <x:row r="292" ht="52.5" customHeight="1">
      <x:c r="A292" s="3" t="str">
        <x:v>DYN-LIB-23</x:v>
      </x:c>
      <x:c r="B292" s="3" t="str">
        <x:v>library</x:v>
      </x:c>
      <x:c r="C292" s="3" t="str">
        <x:v>Properties and blocked objects</x:v>
      </x:c>
      <x:c r="D292" s="3" t="str">
        <x:v>Dynamic group</x:v>
      </x:c>
      <x:c r="E292" s="13" t="str">
        <x:v>Not run</x:v>
      </x:c>
      <x:c r="F292" s="3" t="str">
        <x:v>Conditional on Runtime data, selection, capabilities or prerequisites; visibility not yet observed.</x:v>
      </x:c>
      <x:c r="G292" s="3" t="str">
        <x:v>Properties; Blocked item; Read-only root</x:v>
      </x:c>
      <x:c r="H292" s="3" t="str"/>
      <x:c r="I292" s="3" t="str">
        <x:v>S-065</x:v>
      </x:c>
      <x:c r="J292" s="3"/>
      <x:c r="K292" s="3" t="str">
        <x:v>Journey LIB-23; Signed-in Home; safe-read-only</x:v>
      </x:c>
      <x:c r="L292" s="3" t="str">
        <x:v>Generated menu/dialog/list group; not a single static control</x:v>
      </x:c>
    </x:row>
    <x:row r="293" ht="52.5" customHeight="1">
      <x:c r="A293" s="3" t="str">
        <x:v>DYN-LIB-24</x:v>
      </x:c>
      <x:c r="B293" s="3" t="str">
        <x:v>library</x:v>
      </x:c>
      <x:c r="C293" s="3" t="str">
        <x:v>Picker subflows</x:v>
      </x:c>
      <x:c r="D293" s="3" t="str">
        <x:v>Dynamic group</x:v>
      </x:c>
      <x:c r="E293" s="13" t="str">
        <x:v>Not run</x:v>
      </x:c>
      <x:c r="F293" s="3" t="str">
        <x:v>Conditional on Runtime data, selection, capabilities or prerequisites; visibility not yet observed.</x:v>
      </x:c>
      <x:c r="G293" s="3" t="str">
        <x:v>Select for Browser; Attach to Chat; Archive Open/Create; Cancel</x:v>
      </x:c>
      <x:c r="H293" s="3" t="str"/>
      <x:c r="I293" s="3" t="str">
        <x:v>S-090</x:v>
      </x:c>
      <x:c r="J293" s="3"/>
      <x:c r="K293" s="3" t="str">
        <x:v>Journey LIB-24; Disposable fixture; Owning app request; controlled-session</x:v>
      </x:c>
      <x:c r="L293" s="3" t="str">
        <x:v>Generated menu/dialog/list group; not a single static control</x:v>
      </x:c>
    </x:row>
    <x:row r="294" ht="52.5" customHeight="1">
      <x:c r="A294" s="3" t="str">
        <x:v>DYN-DOC-09</x:v>
      </x:c>
      <x:c r="B294" s="3" t="str">
        <x:v>documents</x:v>
      </x:c>
      <x:c r="C294" s="3" t="str">
        <x:v>Context and delete</x:v>
      </x:c>
      <x:c r="D294" s="3" t="str">
        <x:v>Dynamic group</x:v>
      </x:c>
      <x:c r="E294" s="13" t="str">
        <x:v>Not run</x:v>
      </x:c>
      <x:c r="F294" s="3" t="str">
        <x:v>Conditional on Runtime data, selection, capabilities or prerequisites; visibility not yet observed.</x:v>
      </x:c>
      <x:c r="G294" s="3" t="str">
        <x:v>Duplicate; Delete; Confirmation</x:v>
      </x:c>
      <x:c r="H294" s="3" t="str"/>
      <x:c r="I294" s="3" t="str">
        <x:v>S-099</x:v>
      </x:c>
      <x:c r="J294" s="3"/>
      <x:c r="K294" s="3" t="str">
        <x:v>Journey DOC-09; Disposable document; destructive-controlled</x:v>
      </x:c>
      <x:c r="L294" s="3" t="str">
        <x:v>Generated menu/dialog/list group; not a single static control</x:v>
      </x:c>
    </x:row>
    <x:row r="295" ht="52.5" customHeight="1">
      <x:c r="A295" s="3" t="str">
        <x:v>DYN-ARCHIVE-03</x:v>
      </x:c>
      <x:c r="B295" s="3" t="str">
        <x:v>archive-manager</x:v>
      </x:c>
      <x:c r="C295" s="3" t="str">
        <x:v>Inspect and selection</x:v>
      </x:c>
      <x:c r="D295" s="3" t="str">
        <x:v>Dynamic group</x:v>
      </x:c>
      <x:c r="E295" s="13" t="str">
        <x:v>Not run</x:v>
      </x:c>
      <x:c r="F295" s="3" t="str">
        <x:v>Conditional on Runtime data, selection, capabilities or prerequisites; visibility not yet observed.</x:v>
      </x:c>
      <x:c r="G295" s="3" t="str">
        <x:v>Search; Select Visible; Clear; Entry list</x:v>
      </x:c>
      <x:c r="H295" s="3" t="str"/>
      <x:c r="I295" s="3" t="str">
        <x:v>S-104</x:v>
      </x:c>
      <x:c r="J295" s="3"/>
      <x:c r="K295" s="3" t="str">
        <x:v>Journey ARCHIVE-03; Safe archive fixture; safe-read-only</x:v>
      </x:c>
      <x:c r="L295" s="3" t="str">
        <x:v>Generated menu/dialog/list group; not a single static control</x:v>
      </x:c>
    </x:row>
    <x:row r="296" ht="52.5" customHeight="1">
      <x:c r="A296" s="3" t="str">
        <x:v>DYN-MARKET-01</x:v>
      </x:c>
      <x:c r="B296" s="3" t="str">
        <x:v>marketplace</x:v>
      </x:c>
      <x:c r="C296" s="3" t="str">
        <x:v>Discover and categories</x:v>
      </x:c>
      <x:c r="D296" s="3" t="str">
        <x:v>Dynamic group</x:v>
      </x:c>
      <x:c r="E296" s="13" t="str">
        <x:v>Not run</x:v>
      </x:c>
      <x:c r="F296" s="3" t="str">
        <x:v>Conditional on Runtime data, selection, capabilities or prerequisites; visibility not yet observed.</x:v>
      </x:c>
      <x:c r="G296" s="3" t="str">
        <x:v>Discover; Apps; Viewers; Content; Services; Home views; See All</x:v>
      </x:c>
      <x:c r="H296" s="3" t="str"/>
      <x:c r="I296" s="3" t="str">
        <x:v>S-108</x:v>
      </x:c>
      <x:c r="J296" s="3"/>
      <x:c r="K296" s="3" t="str">
        <x:v>Journey MARKET-01; Signed-in Home; safe-read-only</x:v>
      </x:c>
      <x:c r="L296" s="3" t="str">
        <x:v>Generated menu/dialog/list group; not a single static control</x:v>
      </x:c>
    </x:row>
    <x:row r="297" ht="52.5" customHeight="1">
      <x:c r="A297" s="3" t="str">
        <x:v>DYN-MARKET-03</x:v>
      </x:c>
      <x:c r="B297" s="3" t="str">
        <x:v>marketplace</x:v>
      </x:c>
      <x:c r="C297" s="3" t="str">
        <x:v>Item detail</x:v>
      </x:c>
      <x:c r="D297" s="3" t="str">
        <x:v>Dynamic group</x:v>
      </x:c>
      <x:c r="E297" s="13" t="str">
        <x:v>Not run</x:v>
      </x:c>
      <x:c r="F297" s="3" t="str">
        <x:v>Conditional on Runtime data, selection, capabilities or prerequisites; visibility not yet observed.</x:v>
      </x:c>
      <x:c r="G297" s="3" t="str">
        <x:v>Card; About; Status; Actions; Technical details; Close</x:v>
      </x:c>
      <x:c r="H297" s="3" t="str"/>
      <x:c r="I297" s="3" t="str">
        <x:v>S-110</x:v>
      </x:c>
      <x:c r="J297" s="3"/>
      <x:c r="K297" s="3" t="str">
        <x:v>Journey MARKET-03; Signed-in Home; safe-read-only</x:v>
      </x:c>
      <x:c r="L297" s="3" t="str">
        <x:v>Generated menu/dialog/list group; not a single static control</x:v>
      </x:c>
    </x:row>
    <x:row r="298" ht="52.5" customHeight="1">
      <x:c r="A298" s="3" t="str">
        <x:v>DYN-MARKET-07</x:v>
      </x:c>
      <x:c r="B298" s="3" t="str">
        <x:v>marketplace</x:v>
      </x:c>
      <x:c r="C298" s="3" t="str">
        <x:v>Media listing facts</x:v>
      </x:c>
      <x:c r="D298" s="3" t="str">
        <x:v>Dynamic group</x:v>
      </x:c>
      <x:c r="E298" s="13" t="str">
        <x:v>Not run</x:v>
      </x:c>
      <x:c r="F298" s="3" t="str">
        <x:v>Conditional on Runtime data, selection, capabilities or prerequisites; visibility not yet observed.</x:v>
      </x:c>
      <x:c r="G298" s="3" t="str">
        <x:v>Quantity; Price base units; Token; Replicas; Access state</x:v>
      </x:c>
      <x:c r="H298" s="3" t="str"/>
      <x:c r="I298" s="3" t="str">
        <x:v>S-113</x:v>
      </x:c>
      <x:c r="J298" s="3"/>
      <x:c r="K298" s="3" t="str">
        <x:v>Journey MARKET-07; Controlled immutable listing; safe-read-only</x:v>
      </x:c>
      <x:c r="L298" s="3" t="str">
        <x:v>Generated menu/dialog/list group; not a single static control</x:v>
      </x:c>
    </x:row>
    <x:row r="299" ht="52.5" customHeight="1">
      <x:c r="A299" s="3" t="str">
        <x:v>DYN-MARKET-08</x:v>
      </x:c>
      <x:c r="B299" s="3" t="str">
        <x:v>marketplace</x:v>
      </x:c>
      <x:c r="C299" s="3" t="str">
        <x:v>Buy and duplicate activation</x:v>
      </x:c>
      <x:c r="D299" s="3" t="str">
        <x:v>Dynamic group</x:v>
      </x:c>
      <x:c r="E299" s="13" t="str">
        <x:v>Not run</x:v>
      </x:c>
      <x:c r="F299" s="3" t="str">
        <x:v>Conditional on Runtime data, selection, capabilities or prerequisites; visibility not yet observed.</x:v>
      </x:c>
      <x:c r="G299" s="3" t="str">
        <x:v>Buy; Buying...; Trusted Wallet/Inbox approval</x:v>
      </x:c>
      <x:c r="H299" s="3" t="str"/>
      <x:c r="I299" s="3" t="str">
        <x:v>S-114</x:v>
      </x:c>
      <x:c r="J299" s="3"/>
      <x:c r="K299" s="3" t="str">
        <x:v>Journey MARKET-08; Funded approved test account; Signed availability; Chain proof; controlled-financial</x:v>
      </x:c>
      <x:c r="L299" s="3" t="str">
        <x:v>Generated menu/dialog/list group; not a single static control</x:v>
      </x:c>
    </x:row>
    <x:row r="300" ht="52.5" customHeight="1">
      <x:c r="A300" s="3" t="str">
        <x:v>DYN-MARKET-09</x:v>
      </x:c>
      <x:c r="B300" s="3" t="str">
        <x:v>marketplace</x:v>
      </x:c>
      <x:c r="C300" s="3" t="str">
        <x:v>Owned/creator open</x:v>
      </x:c>
      <x:c r="D300" s="3" t="str">
        <x:v>Dynamic group</x:v>
      </x:c>
      <x:c r="E300" s="13" t="str">
        <x:v>Not run</x:v>
      </x:c>
      <x:c r="F300" s="3" t="str">
        <x:v>Conditional on Runtime data, selection, capabilities or prerequisites; visibility not yet observed.</x:v>
      </x:c>
      <x:c r="G300" s="3" t="str">
        <x:v>Open</x:v>
      </x:c>
      <x:c r="H300" s="3" t="str"/>
      <x:c r="I300" s="3" t="str">
        <x:v>S-115</x:v>
      </x:c>
      <x:c r="J300" s="3"/>
      <x:c r="K300" s="3" t="str">
        <x:v>Journey MARKET-09; Controlled protected listing; controlled-protected-play</x:v>
      </x:c>
      <x:c r="L300" s="3" t="str">
        <x:v>Generated menu/dialog/list group; not a single static control</x:v>
      </x:c>
    </x:row>
    <x:row r="301" ht="52.5" customHeight="1">
      <x:c r="A301" s="3" t="str">
        <x:v>DYN-WALLET-03</x:v>
      </x:c>
      <x:c r="B301" s="3" t="str">
        <x:v>wallet</x:v>
      </x:c>
      <x:c r="C301" s="3" t="str">
        <x:v>Create EVM/Bitcoin account</x:v>
      </x:c>
      <x:c r="D301" s="3" t="str">
        <x:v>Dynamic group</x:v>
      </x:c>
      <x:c r="E301" s="13" t="str">
        <x:v>Not run</x:v>
      </x:c>
      <x:c r="F301" s="3" t="str">
        <x:v>Conditional on Runtime data, selection, capabilities or prerequisites; visibility not yet observed.</x:v>
      </x:c>
      <x:c r="G301" s="3" t="str">
        <x:v>Create account; Type; Label; Create; Cancel</x:v>
      </x:c>
      <x:c r="H301" s="3" t="str"/>
      <x:c r="I301" s="3" t="str">
        <x:v>S-121</x:v>
      </x:c>
      <x:c r="J301" s="3"/>
      <x:c r="K301" s="3" t="str">
        <x:v>Journey WALLET-03; Explicit identity/key creation approval; controlled-identity</x:v>
      </x:c>
      <x:c r="L301" s="3" t="str">
        <x:v>Generated menu/dialog/list group; not a single static control</x:v>
      </x:c>
    </x:row>
    <x:row r="302" ht="52.5" customHeight="1">
      <x:c r="A302" s="3" t="str">
        <x:v>DYN-WALLET-04</x:v>
      </x:c>
      <x:c r="B302" s="3" t="str">
        <x:v>wallet</x:v>
      </x:c>
      <x:c r="C302" s="3" t="str">
        <x:v>Import recovery key</x:v>
      </x:c>
      <x:c r="D302" s="3" t="str">
        <x:v>Dynamic group</x:v>
      </x:c>
      <x:c r="E302" s="13" t="str">
        <x:v>Not run</x:v>
      </x:c>
      <x:c r="F302" s="3" t="str">
        <x:v>Conditional on Runtime data, selection, capabilities or prerequisites; visibility not yet observed.</x:v>
      </x:c>
      <x:c r="G302" s="3" t="str">
        <x:v>Import key; Network/type; Label; Import; Cancel</x:v>
      </x:c>
      <x:c r="H302" s="3" t="str"/>
      <x:c r="I302" s="3" t="str">
        <x:v>S-122</x:v>
      </x:c>
      <x:c r="J302" s="3"/>
      <x:c r="K302" s="3" t="str">
        <x:v>Journey WALLET-04; Disposable test key handled by user; controlled-secret</x:v>
      </x:c>
      <x:c r="L302" s="3" t="str">
        <x:v>Generated menu/dialog/list group; not a single static control</x:v>
      </x:c>
    </x:row>
    <x:row r="303" ht="52.5" customHeight="1">
      <x:c r="A303" s="3" t="str">
        <x:v>DYN-WALLET-05</x:v>
      </x:c>
      <x:c r="B303" s="3" t="str">
        <x:v>wallet</x:v>
      </x:c>
      <x:c r="C303" s="3" t="str">
        <x:v>Account select/default</x:v>
      </x:c>
      <x:c r="D303" s="3" t="str">
        <x:v>Dynamic group</x:v>
      </x:c>
      <x:c r="E303" s="13" t="str">
        <x:v>Not run</x:v>
      </x:c>
      <x:c r="F303" s="3" t="str">
        <x:v>Conditional on Runtime data, selection, capabilities or prerequisites; visibility not yet observed.</x:v>
      </x:c>
      <x:c r="G303" s="3" t="str">
        <x:v>Show in hero; Show default wallet; Set default; Exact account choice</x:v>
      </x:c>
      <x:c r="H303" s="3" t="str"/>
      <x:c r="I303" s="3" t="str">
        <x:v>S-123, S-124</x:v>
      </x:c>
      <x:c r="J303" s="3"/>
      <x:c r="K303" s="3" t="str">
        <x:v>Journey WALLET-05; Test account; Restore choice; controlled-wallet</x:v>
      </x:c>
      <x:c r="L303" s="3" t="str">
        <x:v>Generated menu/dialog/list group; not a single static control</x:v>
      </x:c>
    </x:row>
    <x:row r="304" ht="52.5" customHeight="1">
      <x:c r="A304" s="3" t="str">
        <x:v>DYN-WALLET-06</x:v>
      </x:c>
      <x:c r="B304" s="3" t="str">
        <x:v>wallet</x:v>
      </x:c>
      <x:c r="C304" s="3" t="str">
        <x:v>Rename account</x:v>
      </x:c>
      <x:c r="D304" s="3" t="str">
        <x:v>Dynamic group</x:v>
      </x:c>
      <x:c r="E304" s="13" t="str">
        <x:v>Not run</x:v>
      </x:c>
      <x:c r="F304" s="3" t="str">
        <x:v>Conditional on Runtime data, selection, capabilities or prerequisites; visibility not yet observed.</x:v>
      </x:c>
      <x:c r="G304" s="3" t="str">
        <x:v>Rename; Save; Cancel</x:v>
      </x:c>
      <x:c r="H304" s="3" t="str"/>
      <x:c r="I304" s="3" t="str">
        <x:v>S-125</x:v>
      </x:c>
      <x:c r="J304" s="3"/>
      <x:c r="K304" s="3" t="str">
        <x:v>Journey WALLET-06; Disposable account label; controlled-wallet</x:v>
      </x:c>
      <x:c r="L304" s="3" t="str">
        <x:v>Generated menu/dialog/list group; not a single static control</x:v>
      </x:c>
    </x:row>
    <x:row r="305" ht="52.5" customHeight="1">
      <x:c r="A305" s="3" t="str">
        <x:v>DYN-WALLET-07</x:v>
      </x:c>
      <x:c r="B305" s="3" t="str">
        <x:v>wallet</x:v>
      </x:c>
      <x:c r="C305" s="3" t="str">
        <x:v>Receive</x:v>
      </x:c>
      <x:c r="D305" s="3" t="str">
        <x:v>Dynamic group</x:v>
      </x:c>
      <x:c r="E305" s="13" t="str">
        <x:v>Not run</x:v>
      </x:c>
      <x:c r="F305" s="3" t="str">
        <x:v>Conditional on Runtime data, selection, capabilities or prerequisites; visibility not yet observed.</x:v>
      </x:c>
      <x:c r="G305" s="3" t="str">
        <x:v>Receive; Account choice; QR; Copy address</x:v>
      </x:c>
      <x:c r="H305" s="3" t="str"/>
      <x:c r="I305" s="3" t="str">
        <x:v>S-126</x:v>
      </x:c>
      <x:c r="J305" s="3"/>
      <x:c r="K305" s="3" t="str">
        <x:v>Journey WALLET-07; Public test account; controlled-clipboard</x:v>
      </x:c>
      <x:c r="L305" s="3" t="str">
        <x:v>Generated menu/dialog/list group; not a single static control</x:v>
      </x:c>
    </x:row>
    <x:row r="306" ht="52.5" customHeight="1">
      <x:c r="A306" s="3" t="str">
        <x:v>DYN-WALLET-08</x:v>
      </x:c>
      <x:c r="B306" s="3" t="str">
        <x:v>wallet</x:v>
      </x:c>
      <x:c r="C306" s="3" t="str">
        <x:v>Send admission</x:v>
      </x:c>
      <x:c r="D306" s="3" t="str">
        <x:v>Dynamic group</x:v>
      </x:c>
      <x:c r="E306" s="13" t="str">
        <x:v>Not run</x:v>
      </x:c>
      <x:c r="F306" s="3" t="str">
        <x:v>Conditional on Runtime data, selection, capabilities or prerequisites; visibility not yet observed.</x:v>
      </x:c>
      <x:c r="G306" s="3" t="str">
        <x:v>Send; Choose account; Choose asset</x:v>
      </x:c>
      <x:c r="H306" s="3" t="str"/>
      <x:c r="I306" s="3" t="str">
        <x:v>S-127, S-128</x:v>
      </x:c>
      <x:c r="J306" s="3"/>
      <x:c r="K306" s="3" t="str">
        <x:v>Journey WALLET-08; Inspect only; no funds effect; safe-read-only</x:v>
      </x:c>
      <x:c r="L306" s="3" t="str">
        <x:v>Generated menu/dialog/list group; not a single static control</x:v>
      </x:c>
    </x:row>
    <x:row r="307" ht="52.5" customHeight="1">
      <x:c r="A307" s="3" t="str">
        <x:v>DYN-WALLET-09</x:v>
      </x:c>
      <x:c r="B307" s="3" t="str">
        <x:v>wallet</x:v>
      </x:c>
      <x:c r="C307" s="3" t="str">
        <x:v>Send form and review</x:v>
      </x:c>
      <x:c r="D307" s="3" t="str">
        <x:v>Dynamic group</x:v>
      </x:c>
      <x:c r="E307" s="13" t="str">
        <x:v>Not run</x:v>
      </x:c>
      <x:c r="F307" s="3" t="str">
        <x:v>Conditional on Runtime data, selection, capabilities or prerequisites; visibility not yet observed.</x:v>
      </x:c>
      <x:c r="G307" s="3" t="str">
        <x:v>Recipient; Amount; Review; Back; Cancel; Confirm</x:v>
      </x:c>
      <x:c r="H307" s="3" t="str"/>
      <x:c r="I307" s="3" t="str">
        <x:v>S-129</x:v>
      </x:c>
      <x:c r="J307" s="3"/>
      <x:c r="K307" s="3" t="str">
        <x:v>Journey WALLET-09; Explicit financial approval for dispatch; controlled-financial</x:v>
      </x:c>
      <x:c r="L307" s="3" t="str">
        <x:v>Generated menu/dialog/list group; not a single static control</x:v>
      </x:c>
    </x:row>
    <x:row r="308" ht="52.5" customHeight="1">
      <x:c r="A308" s="3" t="str">
        <x:v>DYN-WALLET-12</x:v>
      </x:c>
      <x:c r="B308" s="3" t="str">
        <x:v>wallet</x:v>
      </x:c>
      <x:c r="C308" s="3" t="str">
        <x:v>Approval review</x:v>
      </x:c>
      <x:c r="D308" s="3" t="str">
        <x:v>Dynamic group</x:v>
      </x:c>
      <x:c r="E308" s="13" t="str">
        <x:v>Not run</x:v>
      </x:c>
      <x:c r="F308" s="3" t="str">
        <x:v>Conditional on Runtime data, selection, capabilities or prerequisites; visibility not yet observed.</x:v>
      </x:c>
      <x:c r="G308" s="3" t="str">
        <x:v>Allow/Approve; Exact account access; Reject</x:v>
      </x:c>
      <x:c r="H308" s="3" t="str"/>
      <x:c r="I308" s="3" t="str">
        <x:v>S-132</x:v>
      </x:c>
      <x:c r="J308" s="3"/>
      <x:c r="K308" s="3" t="str">
        <x:v>Journey WALLET-12; Controlled request; controlled-permission</x:v>
      </x:c>
      <x:c r="L308" s="3" t="str">
        <x:v>Generated menu/dialog/list group; not a single static control</x:v>
      </x:c>
    </x:row>
    <x:row r="309" ht="52.5" customHeight="1">
      <x:c r="A309" s="3" t="str">
        <x:v>DYN-WALLET-14</x:v>
      </x:c>
      <x:c r="B309" s="3" t="str">
        <x:v>wallet</x:v>
      </x:c>
      <x:c r="C309" s="3" t="str">
        <x:v>Show/copy recovery key</x:v>
      </x:c>
      <x:c r="D309" s="3" t="str">
        <x:v>Dynamic group</x:v>
      </x:c>
      <x:c r="E309" s="13" t="str">
        <x:v>Not run</x:v>
      </x:c>
      <x:c r="F309" s="3" t="str">
        <x:v>Conditional on Runtime data, selection, capabilities or prerequisites; visibility not yet observed.</x:v>
      </x:c>
      <x:c r="G309" s="3" t="str">
        <x:v>Show recovery key; Passkey; Copy key</x:v>
      </x:c>
      <x:c r="H309" s="3" t="str"/>
      <x:c r="I309" s="3" t="str">
        <x:v>S-133</x:v>
      </x:c>
      <x:c r="J309" s="3"/>
      <x:c r="K309" s="3" t="str">
        <x:v>Journey WALLET-14; Explicit secret-disclosure approval; controlled-secret</x:v>
      </x:c>
      <x:c r="L309" s="3" t="str">
        <x:v>Generated menu/dialog/list group; not a single static control</x:v>
      </x:c>
    </x:row>
    <x:row r="310" ht="52.5" customHeight="1">
      <x:c r="A310" s="3" t="str">
        <x:v>DYN-WALLET-15</x:v>
      </x:c>
      <x:c r="B310" s="3" t="str">
        <x:v>wallet</x:v>
      </x:c>
      <x:c r="C310" s="3" t="str">
        <x:v>Delete account</x:v>
      </x:c>
      <x:c r="D310" s="3" t="str">
        <x:v>Dynamic group</x:v>
      </x:c>
      <x:c r="E310" s="13" t="str">
        <x:v>Not run</x:v>
      </x:c>
      <x:c r="F310" s="3" t="str">
        <x:v>Conditional on Runtime data, selection, capabilities or prerequisites; visibility not yet observed.</x:v>
      </x:c>
      <x:c r="G310" s="3" t="str">
        <x:v>Delete account; Cancel; Delete</x:v>
      </x:c>
      <x:c r="H310" s="3" t="str"/>
      <x:c r="I310" s="3" t="str">
        <x:v>S-134</x:v>
      </x:c>
      <x:c r="J310" s="3"/>
      <x:c r="K310" s="3" t="str">
        <x:v>Journey WALLET-15; Disposable recoverable account; destructive-controlled</x:v>
      </x:c>
      <x:c r="L310" s="3" t="str">
        <x:v>Generated menu/dialog/list group; not a single static control</x:v>
      </x:c>
    </x:row>
    <x:row r="311" ht="52.5" customHeight="1">
      <x:c r="A311" s="3" t="str">
        <x:v>DYN-SERVICE-02</x:v>
      </x:c>
      <x:c r="B311" s="3" t="str">
        <x:v>services</x:v>
      </x:c>
      <x:c r="C311" s="3" t="str">
        <x:v>Select local service</x:v>
      </x:c>
      <x:c r="D311" s="3" t="str">
        <x:v>Dynamic group</x:v>
      </x:c>
      <x:c r="E311" s="13" t="str">
        <x:v>Not run</x:v>
      </x:c>
      <x:c r="F311" s="3" t="str">
        <x:v>Conditional on Runtime data, selection, capabilities or prerequisites; visibility not yet observed.</x:v>
      </x:c>
      <x:c r="G311" s="3" t="str">
        <x:v>Enable/Disable or offered action; Confirm; Cancel</x:v>
      </x:c>
      <x:c r="H311" s="3" t="str"/>
      <x:c r="I311" s="3" t="str">
        <x:v>S-139</x:v>
      </x:c>
      <x:c r="J311" s="3"/>
      <x:c r="K311" s="3" t="str">
        <x:v>Journey SERVICE-02; Operator-approved test service; controlled-service</x:v>
      </x:c>
      <x:c r="L311" s="3" t="str">
        <x:v>Generated menu/dialog/list group; not a single static control</x:v>
      </x:c>
    </x:row>
    <x:row r="312" ht="52.5" customHeight="1">
      <x:c r="A312" s="3" t="str">
        <x:v>DYN-SERVICE-03</x:v>
      </x:c>
      <x:c r="B312" s="3" t="str">
        <x:v>services</x:v>
      </x:c>
      <x:c r="C312" s="3" t="str">
        <x:v>Remote service request</x:v>
      </x:c>
      <x:c r="D312" s="3" t="str">
        <x:v>Dynamic group</x:v>
      </x:c>
      <x:c r="E312" s="13" t="str">
        <x:v>Not run</x:v>
      </x:c>
      <x:c r="F312" s="3" t="str">
        <x:v>Conditional on Runtime data, selection, capabilities or prerequisites; visibility not yet observed.</x:v>
      </x:c>
      <x:c r="G312" s="3" t="str">
        <x:v>Request/selected action; Confirm; Cancel</x:v>
      </x:c>
      <x:c r="H312" s="3" t="str"/>
      <x:c r="I312" s="3" t="str">
        <x:v>S-140</x:v>
      </x:c>
      <x:c r="J312" s="3"/>
      <x:c r="K312" s="3" t="str">
        <x:v>Journey SERVICE-03; Consenting remote Runtime/offer; multi-runtime-controlled</x:v>
      </x:c>
      <x:c r="L312" s="3" t="str">
        <x:v>Generated menu/dialog/list group; not a single static control</x:v>
      </x:c>
    </x:row>
    <x:row r="313" ht="52.5" customHeight="1">
      <x:c r="A313" s="3" t="str">
        <x:v>DYN-AI-02</x:v>
      </x:c>
      <x:c r="B313" s="3" t="str">
        <x:v>assistant</x:v>
      </x:c>
      <x:c r="C313" s="3" t="str">
        <x:v>Session management</x:v>
      </x:c>
      <x:c r="D313" s="3" t="str">
        <x:v>Dynamic group</x:v>
      </x:c>
      <x:c r="E313" s="13" t="str">
        <x:v>Not run</x:v>
      </x:c>
      <x:c r="F313" s="3" t="str">
        <x:v>Conditional on Runtime data, selection, capabilities or prerequisites; visibility not yet observed.</x:v>
      </x:c>
      <x:c r="G313" s="3" t="str">
        <x:v>Select; Pin/unpin; Rename; Save/Cancel; Delete/Keep</x:v>
      </x:c>
      <x:c r="H313" s="3" t="str"/>
      <x:c r="I313" s="3" t="str">
        <x:v>S-145</x:v>
      </x:c>
      <x:c r="J313" s="3"/>
      <x:c r="K313" s="3" t="str">
        <x:v>Journey AI-02; Disposable Assistant session; controlled-files</x:v>
      </x:c>
      <x:c r="L313" s="3" t="str">
        <x:v>Generated menu/dialog/list group; not a single static control</x:v>
      </x:c>
    </x:row>
    <x:row r="314" ht="52.5" customHeight="1">
      <x:c r="A314" s="3" t="str">
        <x:v>DYN-AI-03</x:v>
      </x:c>
      <x:c r="B314" s="3" t="str">
        <x:v>assistant</x:v>
      </x:c>
      <x:c r="C314" s="3" t="str">
        <x:v>Modes</x:v>
      </x:c>
      <x:c r="D314" s="3" t="str">
        <x:v>Dynamic group</x:v>
      </x:c>
      <x:c r="E314" s="13" t="str">
        <x:v>Not run</x:v>
      </x:c>
      <x:c r="F314" s="3" t="str">
        <x:v>Conditional on Runtime data, selection, capabilities or prerequisites; visibility not yet observed.</x:v>
      </x:c>
      <x:c r="G314" s="3" t="str">
        <x:v>Chat; Build; Studio</x:v>
      </x:c>
      <x:c r="H314" s="3" t="str"/>
      <x:c r="I314" s="3" t="str">
        <x:v>S-146</x:v>
      </x:c>
      <x:c r="J314" s="3"/>
      <x:c r="K314" s="3" t="str">
        <x:v>Journey AI-03; Signed-in Home; safe-read-only</x:v>
      </x:c>
      <x:c r="L314" s="3" t="str">
        <x:v>Generated menu/dialog/list group; not a single static control</x:v>
      </x:c>
    </x:row>
    <x:row r="315" ht="52.5" customHeight="1">
      <x:c r="A315" s="3" t="str">
        <x:v>DYN-AI-10</x:v>
      </x:c>
      <x:c r="B315" s="3" t="str">
        <x:v>assistant</x:v>
      </x:c>
      <x:c r="C315" s="3" t="str">
        <x:v>Typed content output</x:v>
      </x:c>
      <x:c r="D315" s="3" t="str">
        <x:v>Dynamic group</x:v>
      </x:c>
      <x:c r="E315" s="13" t="str">
        <x:v>Not run</x:v>
      </x:c>
      <x:c r="F315" s="3" t="str">
        <x:v>Conditional on Runtime data, selection, capabilities or prerequisites; visibility not yet observed.</x:v>
      </x:c>
      <x:c r="G315" s="3" t="str">
        <x:v>Studio result; Content link</x:v>
      </x:c>
      <x:c r="H315" s="3" t="str"/>
      <x:c r="I315" s="3" t="str">
        <x:v>S-151</x:v>
      </x:c>
      <x:c r="J315" s="3"/>
      <x:c r="K315" s="3" t="str">
        <x:v>Journey AI-10; Approved generated artifact; controlled-session</x:v>
      </x:c>
      <x:c r="L315" s="3" t="str">
        <x:v>Generated menu/dialog/list group; not a single static control</x:v>
      </x:c>
    </x:row>
    <x:row r="316" ht="52.5" customHeight="1">
      <x:c r="A316" s="3" t="str">
        <x:v>DYN-BROWSER-03</x:v>
      </x:c>
      <x:c r="B316" s="3" t="str">
        <x:v>browser</x:v>
      </x:c>
      <x:c r="C316" s="3" t="str">
        <x:v>Engine/Exit settings</x:v>
      </x:c>
      <x:c r="D316" s="3" t="str">
        <x:v>Dynamic group</x:v>
      </x:c>
      <x:c r="E316" s="13" t="str">
        <x:v>Not run</x:v>
      </x:c>
      <x:c r="F316" s="3" t="str">
        <x:v>Conditional on Runtime data, selection, capabilities or prerequisites; visibility not yet observed.</x:v>
      </x:c>
      <x:c r="G316" s="3" t="str">
        <x:v>Settings; Browser Engine; Exit</x:v>
      </x:c>
      <x:c r="H316" s="3" t="str"/>
      <x:c r="I316" s="3" t="str">
        <x:v>S-165</x:v>
      </x:c>
      <x:c r="J316" s="3"/>
      <x:c r="K316" s="3" t="str">
        <x:v>Journey BROWSER-03; Operator-approved service selection; controlled-service</x:v>
      </x:c>
      <x:c r="L316" s="3" t="str">
        <x:v>Generated menu/dialog/list group; not a single static control</x:v>
      </x:c>
    </x:row>
    <x:row r="317">
      <x:c r="A317" s="3"/>
      <x:c r="B317" s="3"/>
      <x:c r="C317" s="3"/>
      <x:c r="D317" s="3"/>
      <x:c r="E317" s="3"/>
      <x:c r="F317" s="3"/>
      <x:c r="G317" s="3"/>
      <x:c r="H317" s="3"/>
      <x:c r="I317" s="3"/>
      <x:c r="J317" s="3"/>
      <x:c r="K317" s="3"/>
      <x:c r="L317" s="3"/>
    </x:row>
    <x:row r="318">
      <x:c r="A318" s="3"/>
      <x:c r="B318" s="3"/>
      <x:c r="C318" s="3"/>
      <x:c r="D318" s="3"/>
      <x:c r="E318" s="3"/>
      <x:c r="F318" s="3"/>
      <x:c r="G318" s="3"/>
      <x:c r="H318" s="3"/>
      <x:c r="I318" s="3"/>
      <x:c r="J318" s="3"/>
      <x:c r="K318" s="3"/>
      <x:c r="L318" s="3"/>
    </x:row>
    <x:row r="319">
      <x:c r="A319" s="3"/>
      <x:c r="B319" s="3"/>
      <x:c r="C319" s="3"/>
      <x:c r="D319" s="3"/>
      <x:c r="E319" s="3"/>
      <x:c r="F319" s="3"/>
      <x:c r="G319" s="3"/>
      <x:c r="H319" s="3"/>
      <x:c r="I319" s="3"/>
      <x:c r="J319" s="3"/>
      <x:c r="K319" s="3"/>
      <x:c r="L319" s="3"/>
    </x:row>
  </x:sheetData>
  <x:mergeCells>
    <x:mergeCell ref="A1:F1"/>
    <x:mergeCell ref="A2:F3"/>
    <x:mergeCell ref="A258:F258"/>
  </x:mergeCells>
  <x:conditionalFormatting sqref="E7:E255">
    <x:cfRule type="cellIs" dxfId="6" priority="1" operator="equal">
      <x:formula>"Pass"</x:formula>
    </x:cfRule>
    <x:cfRule type="cellIs" dxfId="7" priority="2" operator="equal">
      <x:formula>"Fail"</x:formula>
    </x:cfRule>
    <x:cfRule type="cellIs" dxfId="8" priority="3" operator="equal">
      <x:formula>"Partially observed"</x:formula>
    </x:cfRule>
    <x:cfRule type="cellIs" dxfId="9" priority="4" operator="equal">
      <x:formula>"Blocked prerequisite"</x:formula>
    </x:cfRule>
    <x:cfRule type="cellIs" dxfId="10" priority="5" operator="equal">
      <x:formula>"Blocked tool"</x:formula>
    </x:cfRule>
    <x:cfRule type="cellIs" dxfId="11" priority="6" operator="equal">
      <x:formula>"Not run"</x:formula>
    </x:cfRule>
  </x:conditionalFormatting>
  <x:conditionalFormatting sqref="E261:E316">
    <x:cfRule type="cellIs" dxfId="12" priority="7" operator="equal">
      <x:formula>"Pass"</x:formula>
    </x:cfRule>
    <x:cfRule type="cellIs" dxfId="13" priority="8" operator="equal">
      <x:formula>"Fail"</x:formula>
    </x:cfRule>
    <x:cfRule type="cellIs" dxfId="14" priority="9" operator="equal">
      <x:formula>"Partially observed"</x:formula>
    </x:cfRule>
    <x:cfRule type="cellIs" dxfId="15" priority="10" operator="equal">
      <x:formula>"Blocked prerequisite"</x:formula>
    </x:cfRule>
    <x:cfRule type="cellIs" dxfId="16" priority="11" operator="equal">
      <x:formula>"Blocked tool"</x:formula>
    </x:cfRule>
    <x:cfRule type="cellIs" dxfId="17" priority="12" operator="equal">
      <x:formula>"Not run"</x:formula>
    </x:cfRule>
  </x:conditionalFormatting>
  <x:dataValidations count="2">
    <x:dataValidation type="list" sqref="E7:E255">
      <x:formula1>"Not run,Pass,Fail,Partially observed,Blocked prerequisite,Blocked tool,Not applicable"</x:formula1>
    </x:dataValidation>
    <x:dataValidation type="list" sqref="E261:E316">
      <x:formula1>"Not run,Pass,Fail,Partially observed,Blocked prerequisite,Blocked tool,Not applicable"</x:formula1>
    </x:dataValidation>
  </x:dataValidations>
  <x:pageMargins left="0.7" right="0.7" top="0.75" bottom="0.75" header="0.3" footer="0.3"/>
  <x:tableParts count="2">
    <x:tablePart xmlns:r="http://schemas.openxmlformats.org/officeDocument/2006/relationships" r:id="R9b679907aa1449cf"/>
    <x:tablePart xmlns:r="http://schemas.openxmlformats.org/officeDocument/2006/relationships" r:id="R3cd76a6c559e4ca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9.329999923706055" hidden="0" customWidth="1"/>
    <x:col min="2" max="2" width="8.4399995803833" hidden="0" customWidth="1"/>
    <x:col min="3" max="3" width="29.440000534057617" hidden="0" customWidth="1"/>
    <x:col min="4" max="4" width="18.889999389648438" hidden="0" customWidth="1"/>
    <x:col min="5" max="5" width="13.670000076293945" hidden="0" customWidth="1"/>
    <x:col min="6" max="6" width="32.779998779296875" hidden="0" customWidth="1"/>
    <x:col min="7" max="7" width="37.779998779296875" hidden="0" customWidth="1"/>
    <x:col min="8" max="8" width="41.11000061035156" hidden="0" customWidth="1"/>
    <x:col min="9" max="9" width="41.11000061035156" hidden="0" customWidth="1"/>
    <x:col min="10" max="10" width="40.560001373291016" hidden="0" customWidth="1"/>
    <x:col min="11" max="11" width="19.440000534057617" hidden="0" customWidth="1"/>
    <x:col min="12" max="12" width="16.670000076293945" hidden="0" customWidth="1"/>
  </x:cols>
  <x:sheetData>
    <x:row r="1" ht="31.5" customHeight="1">
      <x:c r="A1" s="6" t="str">
        <x:v>Findings</x:v>
      </x:c>
      <x:c r="B1" s="6" t="str">
        <x:v>Findings</x:v>
      </x:c>
      <x:c r="C1" s="6" t="str">
        <x:v>Findings</x:v>
      </x:c>
      <x:c r="D1" s="6" t="str">
        <x:v>Findings</x:v>
      </x:c>
      <x:c r="E1" s="6" t="str">
        <x:v>Findings</x:v>
      </x:c>
      <x:c r="F1" s="6" t="str">
        <x:v>Findings</x:v>
      </x:c>
      <x:c r="G1" s="3"/>
      <x:c r="H1" s="3"/>
      <x:c r="I1" s="3"/>
      <x:c r="J1" s="3"/>
      <x:c r="K1" s="3"/>
      <x:c r="L1" s="3"/>
    </x:row>
    <x:row r="2" ht="16.5" customHeight="1">
      <x:c r="A2" s="9" t="str">
        <x:v>Source defects, operator prerequisites and planned capabilities are distinct. Audit-tool problems are recorded as blockers, not product defects.</x:v>
      </x:c>
      <x:c r="B2" s="9" t="str">
        <x:v>Source defects, operator prerequisites and planned capabilities are distinct. Audit-tool problems are recorded as blockers, not product defects.</x:v>
      </x:c>
      <x:c r="C2" s="9" t="str">
        <x:v>Source defects, operator prerequisites and planned capabilities are distinct. Audit-tool problems are recorded as blockers, not product defects.</x:v>
      </x:c>
      <x:c r="D2" s="9" t="str">
        <x:v>Source defects, operator prerequisites and planned capabilities are distinct. Audit-tool problems are recorded as blockers, not product defects.</x:v>
      </x:c>
      <x:c r="E2" s="9" t="str">
        <x:v>Source defects, operator prerequisites and planned capabilities are distinct. Audit-tool problems are recorded as blockers, not product defects.</x:v>
      </x:c>
      <x:c r="F2" s="9" t="str">
        <x:v>Source defects, operator prerequisites and planned capabilities are distinct. Audit-tool problems are recorded as blockers, not product defects.</x:v>
      </x:c>
      <x:c r="G2" s="3"/>
      <x:c r="H2" s="3"/>
      <x:c r="I2" s="3"/>
      <x:c r="J2" s="3"/>
      <x:c r="K2" s="3"/>
      <x:c r="L2" s="3"/>
    </x:row>
    <x:row r="3" ht="16.5" customHeight="1">
      <x:c r="A3" s="9" t="str">
        <x:v>Source defects, operator prerequisites and planned capabilities are distinct. Audit-tool problems are recorded as blockers, not product defects.</x:v>
      </x:c>
      <x:c r="B3" s="9" t="str">
        <x:v>Source defects, operator prerequisites and planned capabilities are distinct. Audit-tool problems are recorded as blockers, not product defects.</x:v>
      </x:c>
      <x:c r="C3" s="9" t="str">
        <x:v>Source defects, operator prerequisites and planned capabilities are distinct. Audit-tool problems are recorded as blockers, not product defects.</x:v>
      </x:c>
      <x:c r="D3" s="9" t="str">
        <x:v>Source defects, operator prerequisites and planned capabilities are distinct. Audit-tool problems are recorded as blockers, not product defects.</x:v>
      </x:c>
      <x:c r="E3" s="9" t="str">
        <x:v>Source defects, operator prerequisites and planned capabilities are distinct. Audit-tool problems are recorded as blockers, not product defects.</x:v>
      </x:c>
      <x:c r="F3" s="9" t="str">
        <x:v>Source defects, operator prerequisites and planned capabilities are distinct. Audit-tool problems are recorded as blockers, not product defects.</x:v>
      </x:c>
      <x:c r="G3" s="3"/>
      <x:c r="H3" s="3"/>
      <x:c r="I3" s="3"/>
      <x:c r="J3" s="3"/>
      <x:c r="K3" s="3"/>
      <x:c r="L3" s="3"/>
    </x:row>
    <x:row r="4" ht="9" customHeight="1">
      <x:c r="A4" s="3"/>
      <x:c r="B4" s="3"/>
      <x:c r="C4" s="3"/>
      <x:c r="D4" s="3"/>
      <x:c r="E4" s="3"/>
      <x:c r="F4" s="3"/>
      <x:c r="G4" s="3"/>
      <x:c r="H4" s="3"/>
      <x:c r="I4" s="3"/>
      <x:c r="J4" s="3"/>
      <x:c r="K4" s="3"/>
      <x:c r="L4" s="3"/>
    </x:row>
    <x:row r="5">
      <x:c r="A5" s="3"/>
      <x:c r="B5" s="3"/>
      <x:c r="C5" s="3"/>
      <x:c r="D5" s="3"/>
      <x:c r="E5" s="3"/>
      <x:c r="F5" s="3"/>
      <x:c r="G5" s="3"/>
      <x:c r="H5" s="3"/>
      <x:c r="I5" s="3"/>
      <x:c r="J5" s="3"/>
      <x:c r="K5" s="3"/>
      <x:c r="L5" s="3"/>
    </x:row>
    <x:row r="6" ht="28.5" customHeight="1">
      <x:c r="A6" s="11" t="str">
        <x:v>ID</x:v>
      </x:c>
      <x:c r="B6" s="11" t="str">
        <x:v>Priority</x:v>
      </x:c>
      <x:c r="C6" s="11" t="str">
        <x:v>Finding</x:v>
      </x:c>
      <x:c r="D6" s="11" t="str">
        <x:v>Classification</x:v>
      </x:c>
      <x:c r="E6" s="11" t="str">
        <x:v>Disposition</x:v>
      </x:c>
      <x:c r="F6" s="11" t="str">
        <x:v>Evidence basis</x:v>
      </x:c>
      <x:c r="G6" s="11" t="str">
        <x:v>User impact</x:v>
      </x:c>
      <x:c r="H6" s="11" t="str">
        <x:v>Root cause</x:v>
      </x:c>
      <x:c r="I6" s="11" t="str">
        <x:v>Smallest next change</x:v>
      </x:c>
      <x:c r="J6" s="11" t="str">
        <x:v>Proof to close</x:v>
      </x:c>
      <x:c r="K6" s="11" t="str">
        <x:v>Journey IDs</x:v>
      </x:c>
      <x:c r="L6" s="11" t="str">
        <x:v>Source refs</x:v>
      </x:c>
    </x:row>
    <x:row r="7" ht="87" customHeight="1">
      <x:c r="A7" s="3" t="str">
        <x:v>F-01</x:v>
      </x:c>
      <x:c r="B7" s="3" t="str">
        <x:v>P1</x:v>
      </x:c>
      <x:c r="C7" s="3" t="str">
        <x:v>First recovery kit does not cover the later Profile</x:v>
      </x:c>
      <x:c r="D7" s="3" t="str">
        <x:v>source-bug</x:v>
      </x:c>
      <x:c r="E7" s="3" t="str">
        <x:v>Open</x:v>
      </x:c>
      <x:c r="F7" s="3" t="str">
        <x:v>Source-derived risk; restore test pending</x:v>
      </x:c>
      <x:c r="G7" s="3" t="str">
        <x:v>Source implies that a pre-Profile kit alone cannot restore the later random Profile on an empty machine. Surviving encrypted-root unlock is different. No measured user data loss or empty-machine restore test is claimed.</x:v>
      </x:c>
      <x:c r="H7" s="3" t="str">
        <x:v>The export omits people_identity before a Profile exists. Profile creation uses a fresh random signing key. Onboarding downloads the kit first, then creates Profile and treats setup as finished; a downloaded Blob is a snapshot.</x:v>
      </x:c>
      <x:c r="I7" s="3" t="str">
        <x:v>Keep root protection and current exported-kit coverage distinct. Require a current post-Profile export before claiming full Profile recovery coverage; make success copy match actual bundle contents.</x:v>
      </x:c>
      <x:c r="J7" s="3" t="str">
        <x:v>Export before Profile, create Profile, prove old kit lacks it; export again and restore exact Profile on empty disposable root. Test setup completion and content-aware success copy.</x:v>
      </x:c>
      <x:c r="K7" s="3" t="str">
        <x:v>GUI-01; SYS-05; SYS-06</x:v>
      </x:c>
      <x:c r="L7" s="3" t="str">
        <x:v>S-186, S-187, S-188, S-029, S-189, S-190</x:v>
      </x:c>
    </x:row>
    <x:row r="8" ht="87" customHeight="1">
      <x:c r="A8" s="3" t="str">
        <x:v>F-02</x:v>
      </x:c>
      <x:c r="B8" s="3" t="str">
        <x:v>P1</x:v>
      </x:c>
      <x:c r="C8" s="3" t="str">
        <x:v>Model provider rejects the Runtime Init envelope</x:v>
      </x:c>
      <x:c r="D8" s="3" t="str">
        <x:v>source-contract-bug</x:v>
      </x:c>
      <x:c r="E8" s="3" t="str">
        <x:v>Fixed and installed-verified</x:v>
      </x:c>
      <x:c r="F8" s="3" t="str">
        <x:v>Focused source tests plus isolated installed candidate proof</x:v>
      </x:c>
      <x:c r="G8" s="3" t="str">
        <x:v>Assistant reaches the valid zero-offer state. Model execution begins after an approved compatible offer is configured.</x:v>
      </x:c>
      <x:c r="H8" s="3" t="str">
        <x:v>The old model parser accepted fewer fields than Runtime's shared Init envelope.</x:v>
      </x:c>
      <x:c r="I8" s="3" t="str">
        <x:v>Keep the shared Init contract and strict offer validation in regression coverage.</x:v>
      </x:c>
      <x:c r="J8" s="3" t="str">
        <x:v>Runtime Init, readiness, and Assistant zero-offer behavior pass with matching installed artifacts.</x:v>
      </x:c>
      <x:c r="K8" s="3" t="str">
        <x:v>MODEL-01; AI-04</x:v>
      </x:c>
      <x:c r="L8" s="3" t="str">
        <x:v>S-191, S-154, S-155, S-156</x:v>
      </x:c>
    </x:row>
    <x:row r="9" ht="87" customHeight="1">
      <x:c r="A9" s="3" t="str">
        <x:v>F-03</x:v>
      </x:c>
      <x:c r="B9" s="3" t="str">
        <x:v>P2</x:v>
      </x:c>
      <x:c r="C9" s="3" t="str">
        <x:v>Save Recovery Kit lands on Accounts</x:v>
      </x:c>
      <x:c r="D9" s="3" t="str">
        <x:v>source-ui-bug</x:v>
      </x:c>
      <x:c r="E9" s="3" t="str">
        <x:v>Fixed, unverified</x:v>
      </x:c>
      <x:c r="F9" s="3" t="str">
        <x:v>user-reported and source-confirmed</x:v>
      </x:c>
      <x:c r="G9" s="3" t="str">
        <x:v>User must find Security and may think the requested recovery action failed.</x:v>
      </x:c>
      <x:c r="H9" s="3" t="str">
        <x:v>Setup sends settings=security. System configures tab clicks but does not consume that initial query; Accounts is the active default.</x:v>
      </x:c>
      <x:c r="I9" s="3" t="str">
        <x:v>Consume the bounded existing section deep link for initial and already-open System navigation.</x:v>
      </x:c>
      <x:c r="J9" s="3" t="str">
        <x:v>Save kit opens Security for a new and existing System window; unknown section leaves a safe default without weakening Home token/origin checks.</x:v>
      </x:c>
      <x:c r="K9" s="3" t="str">
        <x:v>SYS-02; GUI-01</x:v>
      </x:c>
      <x:c r="L9" s="3" t="str">
        <x:v>S-026, S-025, S-192</x:v>
      </x:c>
    </x:row>
    <x:row r="10" ht="87" customHeight="1">
      <x:c r="A10" s="3" t="str">
        <x:v>F-04</x:v>
      </x:c>
      <x:c r="B10" s="3" t="str">
        <x:v>P2</x:v>
      </x:c>
      <x:c r="C10" s="3" t="str">
        <x:v>Recovery readiness lacks an explicit refresh</x:v>
      </x:c>
      <x:c r="D10" s="3" t="str">
        <x:v>source-ui-state-bug</x:v>
      </x:c>
      <x:c r="E10" s="3" t="str">
        <x:v>Fixed, unverified</x:v>
      </x:c>
      <x:c r="F10" s="3" t="str">
        <x:v>Source gap plus user-reported latency; no measured latency</x:v>
      </x:c>
      <x:c r="G10" s="3" t="str">
        <x:v>User waits for Create Profile or performs unrelated navigation to see completion.</x:v>
      </x:c>
      <x:c r="H10" s="3" t="str">
        <x:v>System onRecoveryDownload sends no Home refresh-summary. Home realtime home-part cursor hashes principal_id but excludes recovery state; setup disables Profile until its stale summary changes.</x:v>
      </x:c>
      <x:c r="I10" s="3" t="str">
        <x:v>Use the existing Home refresh/read-model path after the successful export and include relevant readiness changes in the cursor.</x:v>
      </x:c>
      <x:c r="J10" s="3" t="str">
        <x:v>Successful export enables the next intended step from refreshed authoritative state; cancellation/failure does not. Use event/state proof, not added sleeps.</x:v>
      </x:c>
      <x:c r="K10" s="3" t="str">
        <x:v>SYS-07; GUI-01</x:v>
      </x:c>
      <x:c r="L10" s="3" t="str">
        <x:v>S-029, S-031, S-193</x:v>
      </x:c>
    </x:row>
    <x:row r="11" ht="87" customHeight="1">
      <x:c r="A11" s="3" t="str">
        <x:v>F-05</x:v>
      </x:c>
      <x:c r="B11" s="3" t="str">
        <x:v>P2</x:v>
      </x:c>
      <x:c r="C11" s="3" t="str">
        <x:v>Profile name suggestion looks like a supplied value</x:v>
      </x:c>
      <x:c r="D11" s="3" t="str">
        <x:v>source-ux-bug</x:v>
      </x:c>
      <x:c r="E11" s="3" t="str">
        <x:v>Fixed, unverified</x:v>
      </x:c>
      <x:c r="F11" s="3" t="str">
        <x:v>user-reported and source-confirmed</x:v>
      </x:c>
      <x:c r="G11" s="3" t="str">
        <x:v>Visible passkey-label suggestion can be mistaken for a public name, followed by an empty-submit error.</x:v>
      </x:c>
      <x:c r="H11" s="3" t="str">
        <x:v>Before Profile exists, input.value is empty and the suggested name is only a placeholder. Submit uses trimmed actual value; HTML lacks required validation.</x:v>
      </x:c>
      <x:c r="I11" s="3" t="str">
        <x:v>Make acceptance of a suggested name explicit or clearly separate suggestion from entered value; validate nonblank input before submission and preserve user edits.</x:v>
      </x:c>
      <x:c r="J11" s="3" t="str">
        <x:v>Blank/whitespace submit is local and clear; accepted suggestion or typed name creates the intended Profile; refresh does not erase edits.</x:v>
      </x:c>
      <x:c r="K11" s="3" t="str">
        <x:v>PEOPLE-01</x:v>
      </x:c>
      <x:c r="L11" s="3" t="str">
        <x:v>S-038, S-039, S-194</x:v>
      </x:c>
    </x:row>
    <x:row r="12" ht="87" customHeight="1">
      <x:c r="A12" s="3" t="str">
        <x:v>F-06</x:v>
      </x:c>
      <x:c r="B12" s="3" t="str">
        <x:v>P2</x:v>
      </x:c>
      <x:c r="C12" s="3" t="str">
        <x:v>Included game icons resolve to 404</x:v>
      </x:c>
      <x:c r="D12" s="3" t="str">
        <x:v>source-static-asset-bug</x:v>
      </x:c>
      <x:c r="E12" s="3" t="str">
        <x:v>Verified</x:v>
      </x:c>
      <x:c r="F12" s="3" t="str">
        <x:v>prior public static HTTP 404 and source-confirmed</x:v>
      </x:c>
      <x:c r="G12" s="3" t="str">
        <x:v>Nonogram and uCity have broken desktop/launcher imagery despite installed assets.</x:v>
      </x:c>
      <x:c r="H12" s="3" t="str">
        <x:v>Catalog emits /apps/&lt;content&gt;/icons routes, but the shared asset resolver admits HTML/browser-index entrypoints and rejects content capsules whose entrypoint is a .gba file. Both capsules own the PNG icon assets.</x:v>
      </x:c>
      <x:c r="I12" s="3" t="str">
        <x:v>Let the existing admitted-asset path serve only declared icon variants for admitted content capsules. Keep assets capsule-owned.</x:v>
      </x:c>
      <x:c r="J12" s="3" t="str">
        <x:v>Both exact declared icon routes return correct image bytes; undeclared asset/ROM/traversal/symlink requests remain denied.</x:v>
      </x:c>
      <x:c r="K12" s="3" t="str">
        <x:v>GUI-02; NONOGRAM-01; UCITY-01</x:v>
      </x:c>
      <x:c r="L12" s="3" t="str">
        <x:v>S-195, S-196, S-197, S-198, S-176, S-177</x:v>
      </x:c>
    </x:row>
    <x:row r="13" ht="87" customHeight="1">
      <x:c r="A13" s="3" t="str">
        <x:v>F-07</x:v>
      </x:c>
      <x:c r="B13" s="3" t="str">
        <x:v>P2</x:v>
      </x:c>
      <x:c r="C13" s="3" t="str">
        <x:v>Initial desktop spacing may reflect hidden target slots</x:v>
      </x:c>
      <x:c r="D13" s="3" t="str">
        <x:v>source-layout-bug</x:v>
      </x:c>
      <x:c r="E13" s="3" t="str">
        <x:v>Fixed, unverified</x:v>
      </x:c>
      <x:c r="F13" s="3" t="str">
        <x:v>Source hypothesis matching screenshot; saved-layout test pending</x:v>
      </x:c>
      <x:c r="G13" s="3" t="str">
        <x:v>Two visible game shortcuts appear scattered with unexplained gaps.</x:v>
      </x:c>
      <x:c r="H13" s="3" t="str">
        <x:v>Default position allocation includes targets later hidden by rendering. This matches the sparse screenshot, but the live saved-layout state and a controlled layout test have not been measured.</x:v>
      </x:c>
      <x:c r="I13" s="3" t="str">
        <x:v>Allocate default positions from visible initial entries; preserve deliberate saved layouts and separate dock membership.</x:v>
      </x:c>
      <x:c r="J13" s="3" t="str">
        <x:v>Fresh sparse catalog is compact; narrow viewport has no overlap; saved manual positions survive reload/addition.</x:v>
      </x:c>
      <x:c r="K13" s="3" t="str">
        <x:v>GUI-02; GUI-11</x:v>
      </x:c>
      <x:c r="L13" s="3" t="str">
        <x:v>S-199, S-200, S-008, S-201, S-009</x:v>
      </x:c>
    </x:row>
    <x:row r="14" ht="87" customHeight="1">
      <x:c r="A14" s="3" t="str">
        <x:v>F-08</x:v>
      </x:c>
      <x:c r="B14" s="3" t="str">
        <x:v>P2</x:v>
      </x:c>
      <x:c r="C14" s="3" t="str">
        <x:v>Model runtime installed, but no initial model/offer is selected</x:v>
      </x:c>
      <x:c r="D14" s="3" t="str">
        <x:v>configuration-prerequisite</x:v>
      </x:c>
      <x:c r="E14" s="3" t="str">
        <x:v>Open</x:v>
      </x:c>
      <x:c r="F14" s="3" t="str">
        <x:v>installed profile and source policy</x:v>
      </x:c>
      <x:c r="G14" s="3" t="str">
        <x:v>Even after Init is repaired, Assistant needs a real approved compatible backend/offer before Chat/Build/Studio can run.</x:v>
      </x:c>
      <x:c r="H14" s="3" t="str">
        <x:v>source-home selects model-provider but not llama-server or model weights. Missing operator config is deliberately zero offers. This is separate from F-02.</x:v>
      </x:c>
      <x:c r="I14" s="3" t="str">
        <x:v>First repair Init. Then make one explicit operator model/offer decision and present truthful zero-offer guidance; do not invent a default backend or hide a download.</x:v>
      </x:c>
      <x:c r="J14" s="3" t="str">
        <x:v>Zero offers renders clearly; one approved offer enables only supported modes and preserves typed lifecycle/cancel/output checks.</x:v>
      </x:c>
      <x:c r="K14" s="3" t="str">
        <x:v>MODEL-02; MODEL-03; AI-04</x:v>
      </x:c>
      <x:c r="L14" s="3" t="str">
        <x:v>S-157, S-160, S-162, S-159</x:v>
      </x:c>
    </x:row>
    <x:row r="15" ht="87" customHeight="1">
      <x:c r="A15" s="3" t="str">
        <x:v>F-09</x:v>
      </x:c>
      <x:c r="B15" s="3" t="str">
        <x:v>P2</x:v>
      </x:c>
      <x:c r="C15" s="3" t="str">
        <x:v>Remote model discovery and model-byte retrieval are different gaps</x:v>
      </x:c>
      <x:c r="D15" s="3" t="str">
        <x:v>planned-capability</x:v>
      </x:c>
      <x:c r="E15" s="3" t="str">
        <x:v>Open</x:v>
      </x:c>
      <x:c r="F15" s="3" t="str">
        <x:v>current TASKS and source adapter model</x:v>
      </x:c>
      <x:c r="G15" s="3" t="str">
        <x:v>A user cannot currently enter a DID/CID and assume it installs or grants a usable model. The audit must not label these as existing controls.</x:v>
      </x:c>
      <x:c r="H15" s="3" t="str">
        <x:v>Remote Profile/service offers and principal grants through People/Carrier remain planned. CID-addressed weight retrieval is content handling, not a discovered or authorized model service.</x:v>
      </x:c>
      <x:c r="I15" s="3" t="str">
        <x:v>Keep zero-offer onboarding bounded to current supported offers. Plan remote discovery/grants separately from approved artifact retrieval/loading, with explicit ownership at each step.</x:v>
      </x:c>
      <x:c r="J15" s="3" t="str">
        <x:v>Future tests must independently prove publisher identity, artifact integrity/availability, compatible loader, offer admission/grant and selected invocation; no single DID/CID substitutes for all.</x:v>
      </x:c>
      <x:c r="K15" s="3" t="str">
        <x:v>MODEL-04; MODEL-05; MODEL-06; SERVICE-06</x:v>
      </x:c>
      <x:c r="L15" s="3" t="str">
        <x:v>S-143, S-161, S-162</x:v>
      </x:c>
    </x:row>
    <x:row r="16" ht="87" customHeight="1">
      <x:c r="A16" s="3" t="str">
        <x:v>F-10</x:v>
      </x:c>
      <x:c r="B16" s="3" t="str">
        <x:v>P2</x:v>
      </x:c>
      <x:c r="C16" s="3" t="str">
        <x:v>Mint is blocked in this installation; video action is conditional</x:v>
      </x:c>
      <x:c r="D16" s="3" t="str">
        <x:v>verified-install-prerequisite-and-source-ui</x:v>
      </x:c>
      <x:c r="E16" s="3" t="str">
        <x:v>Open</x:v>
      </x:c>
      <x:c r="F16" s="3" t="str">
        <x:v>Verified installed absence and recorded startup log; source/installed JS parity; mint menu/dialog not demonstrated</x:v>
      </x:c>
      <x:c r="G16" s="3" t="str">
        <x:v>Mint is currently blocked; funds alone cannot resolve it. Source/installed parity confirms the conditional action code, not a successful GUI menu or dialog. Broad unavailable errors obscure missing readiness prerequisites.</x:v>
      </x:c>
      <x:c r="H16" s="3" t="str">
        <x:v>The inspected install lacks custody-composition.json, chain-provider.json and custody-provider/inactive. The recorded gateway log reports custody root unavailable, although protect/decrypt binaries registered. Library code exposes Protect and List only for eligible unpublished video; Documents currently shows only New File.txt.</x:v>
      </x:c>
      <x:c r="I16" s="3" t="str">
        <x:v>Expose Runtime-owned readiness and a discoverable path to the eligible-video action. Resolve signed custody and private Chain prerequisites before controlled mint proof; keep the missing menu interaction as a separate tool-blocked check.</x:v>
      </x:c>
      <x:c r="J16" s="3" t="str">
        <x:v>After approved prerequisite setup, inspect eligible/ineligible video visibility and exact terms; then separately authorize mint/list/deny/buy/play with receipts and cleanup. Current evidence: mint-readiness-evidence.md, B-03.</x:v>
      </x:c>
      <x:c r="K16" s="3" t="str">
        <x:v>LIB-17; LIB-18; LIB-19; MARKET-08; PLAYER-02; DEP-05</x:v>
      </x:c>
      <x:c r="L16" s="3" t="str">
        <x:v>S-077, S-078, S-079</x:v>
      </x:c>
    </x:row>
    <x:row r="17" ht="87" customHeight="1">
      <x:c r="A17" s="3" t="str">
        <x:v>F-11</x:v>
      </x:c>
      <x:c r="B17" s="3" t="str">
        <x:v>P2</x:v>
      </x:c>
      <x:c r="C17" s="3" t="str">
        <x:v>Portable listing import exists without a dedicated visible entry control</x:v>
      </x:c>
      <x:c r="D17" s="3" t="str">
        <x:v>source-ui-entry-gap</x:v>
      </x:c>
      <x:c r="E17" s="3" t="str">
        <x:v>Open</x:v>
      </x:c>
      <x:c r="F17" s="3" t="str">
        <x:v>Runtime operation and inspected current UI menus</x:v>
      </x:c>
      <x:c r="G17" s="3" t="str">
        <x:v>A shared portable listing may lack an obvious buyer entry point in this UI. Live audit should confirm actual launch/deep-link behavior before selecting a fix.</x:v>
      </x:c>
      <x:c r="H17" s="3" t="str">
        <x:v>Library/Marketplace are admitted callers of import_runtime_custody, but inspected UI menus do not expose a listing-link import form. Runtime functionality is ahead of the visible journey.</x:v>
      </x:c>
      <x:c r="I17" s="3" t="str">
        <x:v>After live confirmation, consider one bounded existing-app entry for the canonical listing URI through the existing import operation; no market index or new route.</x:v>
      </x:c>
      <x:c r="J17" s="3" t="str">
        <x:v>Valid URI imports then lists; malformed URI/denied package stay clear; no caller account/chain/provider fields.</x:v>
      </x:c>
      <x:c r="K17" s="3" t="str">
        <x:v>LIB-20; MARKET-10</x:v>
      </x:c>
      <x:c r="L17" s="3" t="str">
        <x:v>S-085, S-084, S-065, S-108</x:v>
      </x:c>
    </x:row>
    <x:row r="18" ht="87" customHeight="1">
      <x:c r="A18" s="3" t="str">
        <x:v>F-12</x:v>
      </x:c>
      <x:c r="B18" s="3" t="str">
        <x:v>P3</x:v>
      </x:c>
      <x:c r="C18" s="3" t="str">
        <x:v>Catalog install affordance is not a current Marketplace install UI</x:v>
      </x:c>
      <x:c r="D18" s="3" t="str">
        <x:v>declared-versus-visible-gap</x:v>
      </x:c>
      <x:c r="E18" s="3" t="str">
        <x:v>Open</x:v>
      </x:c>
      <x:c r="F18" s="3" t="str">
        <x:v>manifest declaration versus rendered actions</x:v>
      </x:c>
      <x:c r="G18" s="3" t="str">
        <x:v>Audit should report installed browsing/open correctly, not assume an install button or run hidden APIs.</x:v>
      </x:c>
      <x:c r="H18" s="3" t="str">
        <x:v>Marketplace manifest declares capsule.install, while current card/detail actions render Open only for launchable entries.</x:v>
      </x:c>
      <x:c r="I18" s="3" t="str">
        <x:v>Clarify the current surfaced scope after live review. A new installer journey requires its own reviewed admission/integrity design.</x:v>
      </x:c>
      <x:c r="J18" s="3" t="str">
        <x:v>Catalog-only item has truthful state; current Open behavior remains correct.</x:v>
      </x:c>
      <x:c r="K18" s="3" t="str">
        <x:v>MARKET-04; MARKET-05</x:v>
      </x:c>
      <x:c r="L18" s="3" t="str">
        <x:v>S-202, S-111, S-110</x:v>
      </x:c>
    </x:row>
    <x:row r="19" ht="87" customHeight="1">
      <x:c r="A19" s="3" t="str">
        <x:v>F-13</x:v>
      </x:c>
      <x:c r="B19" s="3" t="str">
        <x:v>P2</x:v>
      </x:c>
      <x:c r="C19" s="3" t="str">
        <x:v>Media tools and Browser VM assets are explicit setup prerequisites</x:v>
      </x:c>
      <x:c r="D19" s="3" t="str">
        <x:v>source-setup-observation</x:v>
      </x:c>
      <x:c r="E19" s="3" t="str">
        <x:v>Open</x:v>
      </x:c>
      <x:c r="F19" s="3" t="str">
        <x:v>Source/setup observation; manual product proof pending</x:v>
      </x:c>
      <x:c r="G19" s="3" t="str">
        <x:v>These prerequisites must be verified before controlled protect/transcode and Browser media journeys; they are not app controls or proof of end-to-end readiness.</x:v>
      </x:c>
      <x:c r="H19" s="3" t="str">
        <x:v>Canonical media setup requires trusted ffmpeg/ffprobe imports. Browser setup requires matching kernel, initrd, rootfs and helper artifacts. Installed artifacts alone do not prove media preparation or Browser playback.</x:v>
      </x:c>
      <x:c r="I19" s="3" t="str">
        <x:v>Verify existing canonical tool/config and VM artifact receipts, then schedule bounded manual proof. No product source change is proposed by this observation.</x:v>
      </x:c>
      <x:c r="J19" s="3" t="str">
        <x:v>Approved disposable media preparation and Browser audio/video/input/close proof against the installed receipt, with no account or user-content changes.</x:v>
      </x:c>
      <x:c r="K19" s="3" t="str">
        <x:v>DEP-05; BROWSER-01; BROWSER-05; LIB-18</x:v>
      </x:c>
      <x:c r="L19" s="3" t="str">
        <x:v>S-203, S-204, S-205</x:v>
      </x:c>
    </x:row>
    <x:row r="20" ht="87" customHeight="1">
      <x:c r="A20" s="3" t="str">
        <x:v>F-14</x:v>
      </x:c>
      <x:c r="B20" s="3" t="str">
        <x:v>P2</x:v>
      </x:c>
      <x:c r="C20" s="3" t="str">
        <x:v>Creator price entry exposes raw base units</x:v>
      </x:c>
      <x:c r="D20" s="3" t="str">
        <x:v>source-money-ux-risk</x:v>
      </x:c>
      <x:c r="E20" s="3" t="str">
        <x:v>Open</x:v>
      </x:c>
      <x:c r="F20" s="3" t="str">
        <x:v>Source dialog inspection; no live mint dialog, transaction or measured financial error</x:v>
      </x:c>
      <x:c r="G20" s="3" t="str">
        <x:v>Users must infer human price from raw units. The placeholder does not establish token decimals; no wrong payment or loss was measured.</x:v>
      </x:c>
      <x:c r="H20" s="3" t="str">
        <x:v>The dialog asks for copies and raw base-unit price with placeholder 1000000000000000000. Operator-projected token symbol/decimals are not shown in this dialog.</x:v>
      </x:c>
      <x:c r="I20" s="3" t="str">
        <x:v>Present human price using exact operator-projected pay-token symbol/decimals and bind its exact integer base-unit value. Keep Runtime/Wallet/Chain authority; do not assume 18 decimals or invent a symbol.</x:v>
      </x:c>
      <x:c r="J20" s="3" t="str">
        <x:v>Approved dialog proof with known token metadata, zero and non-18 decimals, exact conversion/round-trip and unchanged typed terms. Missing metadata gives useful guidance; cancel before any effect.</x:v>
      </x:c>
      <x:c r="K20" s="3" t="str">
        <x:v>LIB-18</x:v>
      </x:c>
      <x:c r="L20" s="3" t="str">
        <x:v>S-206, S-081</x:v>
      </x:c>
    </x:row>
    <x:row r="21" ht="165" customHeight="1">
      <x:c r="A21" s="36" t="str">
        <x:v>F-15</x:v>
      </x:c>
      <x:c r="B21" s="36" t="str">
        <x:v>P2</x:v>
      </x:c>
      <x:c r="C21" s="36" t="str">
        <x:v>Home Search has no panel markup</x:v>
      </x:c>
      <x:c r="D21" s="36" t="str">
        <x:v>Confirmed installed GUI defect</x:v>
      </x:c>
      <x:c r="E21" s="36" t="str">
        <x:v>Verified</x:v>
      </x:c>
      <x:c r="F21" s="36" t="str">
        <x:v>Brave click, Enter, DOM and screenshot; source inspection</x:v>
      </x:c>
      <x:c r="G21" s="36" t="str">
        <x:v>The visible Search button cannot open app or file search.</x:v>
      </x:c>
      <x:c r="H21" s="36" t="str">
        <x:v>home-gui.js calls showSpotlight; bindSpotlight queries #spotlight, #spotlight-input and #spotlight-results. The Home template lacks these elements, so showSpotlight returns.</x:v>
      </x:c>
      <x:c r="I21" s="36" t="str">
        <x:v>Restore the accessible Spotlight template behind the existing Runtime-projected search and launch path.</x:v>
      </x:c>
      <x:c r="J21" s="36" t="str">
        <x:v>Click and keyboard open/focus; matching and absent queries; launch known app; Escape closes and returns focus. Verify installed artifact parity and Brave.</x:v>
      </x:c>
      <x:c r="K21" s="36" t="str">
        <x:v>GUI-04</x:v>
      </x:c>
      <x:c r="L21" s="36" t="str">
        <x:v>E-033; E-036; E-037</x:v>
      </x:c>
    </x:row>
    <x:row r="22" ht="165" customHeight="1">
      <x:c r="A22" s="36" t="str">
        <x:v>F-16</x:v>
      </x:c>
      <x:c r="B22" s="36" t="str">
        <x:v>P1</x:v>
      </x:c>
      <x:c r="C22" s="36" t="str">
        <x:v>Assistant stops during Clipboard initialization</x:v>
      </x:c>
      <x:c r="D22" s="36" t="str">
        <x:v>Confirmed installed GUI defect</x:v>
      </x:c>
      <x:c r="E22" s="36" t="str">
        <x:v>Verified</x:v>
      </x:c>
      <x:c r="F22" s="36" t="str">
        <x:v>Brave DOM and console stack; launch-source inspection</x:v>
      </x:c>
      <x:c r="G22" s="36" t="str">
        <x:v>Assistant stays at Loading model offers because Clipboard startup stops offer/workspace reads. Mode-click evidence is excluded due to a separate targeting-tool limitation.</x:v>
      </x:c>
      <x:c r="H22" s="36" t="str">
        <x:v>homeClipboard.start calls postMessage with target origin null. Its exception stops Assistant initialize before loadOffers/loadWorkspace.</x:v>
      </x:c>
      <x:c r="I22" s="36" t="str">
        <x:v>Repair trusted Home origin initialization and retain source-window, token, generation and origin validation.</x:v>
      </x:c>
      <x:c r="J22" s="36" t="str">
        <x:v>Valid zero-offer startup; Chat/Build/Studio switch; Send disabled without offers; wrong-origin and opaque-frame Clipboard tests.</x:v>
      </x:c>
      <x:c r="K22" s="36" t="str">
        <x:v>AI-03; AI-04</x:v>
      </x:c>
      <x:c r="L22" s="36" t="str">
        <x:v>E-034; E-036; E-037</x:v>
      </x:c>
    </x:row>
    <x:row r="23" ht="165" customHeight="1">
      <x:c r="A23" s="36" t="str">
        <x:v>F-17</x:v>
      </x:c>
      <x:c r="B23" s="36" t="str">
        <x:v>P1</x:v>
      </x:c>
      <x:c r="C23" s="36" t="str">
        <x:v>Assistant workspace writes use the wrong HTTP method</x:v>
      </x:c>
      <x:c r="D23" s="36" t="str">
        <x:v>Confirmed installed GUI defect</x:v>
      </x:c>
      <x:c r="E23" s="36" t="str">
        <x:v>Verified</x:v>
      </x:c>
      <x:c r="F23" s="36" t="str">
        <x:v>Brave mode click, DOM and screenshot; frontend/Runtime route comparison</x:v>
      </x:c>
      <x:c r="G23" s="36" t="str">
        <x:v>Assistant mode changes show Workspace save failed; workspace writes cannot persist.</x:v>
      </x:c>
      <x:c r="H23" s="36" t="str">
        <x:v>requestJson defaults to POST; saveWorkspace omits an explicit method. JSON headers/body are also restricted to POST. Runtime mounts workspace GET/PUT.</x:v>
      </x:c>
      <x:c r="I23" s="36" t="str">
        <x:v>Send workspace writes as PUT with JSON headers/body; retain Home token, revision and conflict behavior.</x:v>
      </x:c>
      <x:c r="J23" s="36" t="str">
        <x:v>Enforce PUT+JSON contract in smoke tests; independently verify installed mode save and reload using only the empty workspace.</x:v>
      </x:c>
      <x:c r="K23" s="36" t="str">
        <x:v>AI-02; AI-03</x:v>
      </x:c>
      <x:c r="L23" s="36" t="str">
        <x:v>E-037; E-038; E-039</x:v>
      </x:c>
    </x:row>
    <x:row r="24" ht="165" customHeight="1">
      <x:c r="A24" s="36" t="str">
        <x:v>F-18</x:v>
      </x:c>
      <x:c r="B24" s="36" t="str">
        <x:v>P2</x:v>
      </x:c>
      <x:c r="C24" s="36" t="str">
        <x:v>About and Shortcuts menu entries have no panels</x:v>
      </x:c>
      <x:c r="D24" s="36" t="str">
        <x:v>Confirmed installed GUI defect</x:v>
      </x:c>
      <x:c r="E24" s="36" t="str">
        <x:v>Verified</x:v>
      </x:c>
      <x:c r="F24" s="36" t="str">
        <x:v>Brave menu clicks, settled DOM/screenshot and source inspection</x:v>
      </x:c>
      <x:c r="G24" s="36" t="str">
        <x:v>Two visible Home menu commands dismiss the menu without showing their named destination.</x:v>
      </x:c>
      <x:c r="H24" s="36" t="str">
        <x:v>Home menu handlers exist, but home-gui-template.html lacks #about-overlay and #shortcuts-overlay. About returns early when its element is absent; Shortcuts also leaves Home unchanged.</x:v>
      </x:c>
      <x:c r="I24" s="36" t="str">
        <x:v>Restore accessible About and Shortcuts panels behind existing handlers, or route the entries to their canonical existing destinations. Keep runtime facts authoritative.</x:v>
      </x:c>
      <x:c r="J24" s="36" t="str">
        <x:v>Pointer/keyboard open, visible content, Escape/close focus return, About-to-System deep link, and installed Brave parity.</x:v>
      </x:c>
      <x:c r="K24" s="36" t="str">
        <x:v>GUI-08</x:v>
      </x:c>
      <x:c r="L24" s="36" t="str">
        <x:v>E-042</x:v>
      </x:c>
    </x:row>
    <x:row r="25" ht="165" customHeight="1">
      <x:c r="A25" s="36" t="str">
        <x:v>F-19</x:v>
      </x:c>
      <x:c r="B25" s="36" t="str">
        <x:v>P1</x:v>
      </x:c>
      <x:c r="C25" s="36" t="str">
        <x:v>Incoming Carrier diagnostics expose dial addresses</x:v>
      </x:c>
      <x:c r="D25" s="36" t="str">
        <x:v>Incoming source privacy defect</x:v>
      </x:c>
      <x:c r="E25" s="36" t="str">
        <x:v>Verified source and installed artifact</x:v>
      </x:c>
      <x:c r="F25" s="36" t="str">
        <x:v>Independent incoming-patch review and public error-path tracing</x:v>
      </x:c>
      <x:c r="G25" s="36" t="str">
        <x:v>Private transport addresses can reach app-visible errors if the commit is installed unchanged.</x:v>
      </x:c>
      <x:c r="H25" s="36" t="str">
        <x:v>Incoming9b82e5f0 formats endpoint.addrs and full anyhow causes into invoke_carrier_provider errors. Content/Library gateway paths can return these messages to capsules.</x:v>
      </x:c>
      <x:c r="I25" s="36" t="str">
        <x:v>Keep detailed transport diagnostics Runtime-private and return bounded safe provider errors; retain Irzhy's deterministic tests and portability fixes.</x:v>
      </x:c>
      <x:c r="J25" s="36" t="str">
        <x:v>Regression with private endpoint sentinel; verify capsule-facing errors exclude routes/causes and operator logging remains useful. Run focused touched tests and independent source review before install.</x:v>
      </x:c>
      <x:c r="K25" s="36" t="str">
        <x:v>LIB-07</x:v>
      </x:c>
      <x:c r="L25" s="36" t="str">
        <x:v>E-041</x:v>
      </x:c>
    </x:row>
    <x:row r="26" ht="165" customHeight="1">
      <x:c r="A26" s="36" t="str">
        <x:v>F-20</x:v>
      </x:c>
      <x:c r="B26" s="36" t="str">
        <x:v>P1</x:v>
      </x:c>
      <x:c r="C26" s="36" t="str">
        <x:v>Browser socket directories lack owner validation</x:v>
      </x:c>
      <x:c r="D26" s="36" t="str">
        <x:v>Applicable historical source fix omitted</x:v>
      </x:c>
      <x:c r="E26" s="36" t="str">
        <x:v>Verified source and installed root safety</x:v>
      </x:c>
      <x:c r="F26" s="36" t="str">
        <x:v>Current source compared to Irzhy67989421</x:v>
      </x:c>
      <x:c r="G26" s="36" t="str">
        <x:v>A local actor can pre-create the predictable directory and affect Runtime socket placement. Irzhy's historical private-directory fix is absent from this path.</x:v>
      </x:c>
      <x:c r="H26" s="36" t="str">
        <x:v>browser_stream_socket_path joins fixed subdirectories under shared /tmp and create_dir_all accepts pre-existing directories without checking owner, permissions or symlinks.</x:v>
      </x:c>
      <x:c r="I26" s="36" t="str">
        <x:v>Adapt private owner-only Browser socket root to current lifecycle and macOS path-length constraints; fail closed on unsafe pre-existing targets.</x:v>
      </x:c>
      <x:c r="J26" s="36" t="str">
        <x:v>Owner/mode/symlink/foreign-path tests plus stable socket identity, path-length and cleanup regression; installed parity after reviewed repair.</x:v>
      </x:c>
      <x:c r="K26" s="36" t="str">
        <x:v>BROWSER-10</x:v>
      </x:c>
      <x:c r="L26" s="36" t="str">
        <x:v>E-041</x:v>
      </x:c>
    </x:row>
    <x:row r="27" ht="165" customHeight="1">
      <x:c r="A27" s="36" t="str">
        <x:v>F-21</x:v>
      </x:c>
      <x:c r="B27" s="36" t="str">
        <x:v>P2</x:v>
      </x:c>
      <x:c r="C27" s="36" t="str">
        <x:v>Wallet timeout tests retain real-clock races</x:v>
      </x:c>
      <x:c r="D27" s="36" t="str">
        <x:v>Applicable historical test fix omitted</x:v>
      </x:c>
      <x:c r="E27" s="36" t="str">
        <x:v>Verified test-only adaptation</x:v>
      </x:c>
      <x:c r="F27" s="36" t="str">
        <x:v>Current source compared to353fa15b ande148218b</x:v>
      </x:c>
      <x:c r="G27" s="36" t="str">
        <x:v>CI under load can fail on timing rather than the intended Wallet boundary; no live Wallet failure was demonstrated.</x:v>
      </x:c>
      <x:c r="H27" s="36" t="str">
        <x:v>Two wallet-read timeout tests still use real-clock tokio tests and std::time::Instant around100ms/250ms completion ordering. Irzhy's paused-clock correction is absent.</x:v>
      </x:c>
      <x:c r="I27" s="36" t="str">
        <x:v>Adapt paused-clock ordering and virtual elapsed measurement from the historical patches; retain strict timeout, second-read and late-result assertions.</x:v>
      </x:c>
      <x:c r="J27" s="36" t="str">
        <x:v>Focused repeated wallet_read_timeout_does_not_poison tests under load; verify deterministic virtual-time completion.</x:v>
      </x:c>
      <x:c r="K27" s="36" t="str">
        <x:v>BROWSER-08</x:v>
      </x:c>
      <x:c r="L27" s="36" t="str">
        <x:v>E-041</x:v>
      </x:c>
    </x:row>
    <x:row r="28" ht="165" customHeight="1">
      <x:c r="A28" s="36" t="str">
        <x:v>F-22</x:v>
      </x:c>
      <x:c r="B28" s="36" t="str">
        <x:v>P2</x:v>
      </x:c>
      <x:c r="C28" s="36" t="str">
        <x:v>Library properties text is unreadable in Dark theme</x:v>
      </x:c>
      <x:c r="D28" s="36" t="str">
        <x:v>Confirmed installed visual defect</x:v>
      </x:c>
      <x:c r="E28" s="36" t="str">
        <x:v>Verified</x:v>
      </x:c>
      <x:c r="F28" s="36" t="str">
        <x:v>Brave screenshots of General and Technical tabs; DOM confirms hidden-looking text exists</x:v>
      </x:c>
      <x:c r="G28" s="36" t="str">
        <x:v>Most property labels and values are visually unreadable; only explicit dark code and badges remain clear. The Dark status footer also becomes a blank light band because its #fafafa surface conflicts with themed muted ink.</x:v>
      </x:c>
      <x:c r="H28" s="36" t="str">
        <x:v>Properties uses hard-coded white/light surfaces while table text uses the dark theme ink token. Both tabs show near-white text on white.</x:v>
      </x:c>
      <x:c r="I28" s="36" t="str">
        <x:v>Use consistent shared theme surface/ink tokens for Properties and related table content. Preserve public facts and existing layout.</x:v>
      </x:c>
      <x:c r="J28" s="36" t="str">
        <x:v>Dark and Light General/Technical screenshots with readable text, keyboard close/focus, and source/installed/served stylesheet parity.</x:v>
      </x:c>
      <x:c r="K28" s="36" t="str">
        <x:v>LIB-23; UX-02</x:v>
      </x:c>
      <x:c r="L28" s="36" t="str">
        <x:v>E-044; E-051</x:v>
      </x:c>
    </x:row>
    <x:row r="29" ht="165" customHeight="1">
      <x:c r="A29" s="36" t="str">
        <x:v>F-23</x:v>
      </x:c>
      <x:c r="B29" s="36" t="str">
        <x:v>P1</x:v>
      </x:c>
      <x:c r="C29" s="36" t="str">
        <x:v>Incomplete Markdown heading hangs Documents rendering</x:v>
      </x:c>
      <x:c r="D29" s="36" t="str">
        <x:v>Confirmed installed editor failure</x:v>
      </x:c>
      <x:c r="E29" s="36" t="str">
        <x:v>Verified</x:v>
      </x:c>
      <x:c r="F29" s="36" t="str">
        <x:v>Brave typed draft screenshot; exact parser extracted into bounded100ms node:vm proof (normal inputs return, '# '/'## ' time out)</x:v>
      </x:c>
      <x:c r="G29" s="36" t="str">
        <x:v>Ordinary incremental heading entry blocks the app thread and interrupts input/autosave, displaying Invalid array length.</x:v>
      </x:c>
      <x:c r="H29" s="36" t="str">
        <x:v>For an incomplete heading such as '# ', heading parser requires content but paragraph parser excludes heading-prefix lines. Neither branch advances index, so blocks grows until Invalid array length.</x:v>
      </x:c>
      <x:c r="I29" s="36" t="str">
        <x:v>Ensure Markdown parsing advances for every input line; render incomplete headings as safe text or empty heading. Keep safe rendering and normal headings intact.</x:v>
      </x:c>
      <x:c r="J29" s="36" t="str">
        <x:v>Bounded regression for '# ', heading levels1-6, incomplete list/task/fence/table constructs; incremental editor typing in installed Brave, no stall, correct autosave.</x:v>
      </x:c>
      <x:c r="K29" s="36" t="str">
        <x:v>DOC-02; DOC-03; DOC-06</x:v>
      </x:c>
      <x:c r="L29" s="36" t="str">
        <x:v>E-045</x:v>
      </x:c>
    </x:row>
    <x:row r="30" ht="165" customHeight="1">
      <x:c r="A30" s="36" t="str">
        <x:v>F-24</x:v>
      </x:c>
      <x:c r="B30" s="36" t="str">
        <x:v>P2</x:v>
      </x:c>
      <x:c r="C30" s="36" t="str">
        <x:v>Library file shortcuts override focused toolbar controls</x:v>
      </x:c>
      <x:c r="D30" s="36" t="str">
        <x:v>Confirmed installed keyboard defect</x:v>
      </x:c>
      <x:c r="E30" s="36" t="str">
        <x:v>Verified</x:v>
      </x:c>
      <x:c r="F30" s="36" t="str">
        <x:v>Brave selected fixture opens in Documents after Enter on Back; pointer Back works; source handler confirms interception</x:v>
      </x:c>
      <x:c r="G30" s="36" t="str">
        <x:v>Keyboard users can activate a different operation from the focused control. Adjacent global file shortcuts need the same focus-scope review.</x:v>
      </x:c>
      <x:c r="H30" s="36" t="str">
        <x:v>The global keydown Enter handler excludes text inputs and menus but includes toolbar buttons. With a selected object it prevents native activation and opens the selection.</x:v>
      </x:c>
      <x:c r="I30" s="36" t="str">
        <x:v>Preserve native interactive-control keyboard behavior and scope file shortcuts to the file selection surface.</x:v>
      </x:c>
      <x:c r="J30" s="36" t="str">
        <x:v>With an audit file selected, Enter on Back navigates and Enter on New folder opens its dialog. File Enter still opens the selection; menus and dialogs retain keyboard ownership.</x:v>
      </x:c>
      <x:c r="K30" s="36" t="str">
        <x:v>LIB-06; LIB-01</x:v>
      </x:c>
      <x:c r="L30" s="36" t="str">
        <x:v>E-044</x:v>
      </x:c>
    </x:row>
    <x:row r="31" ht="165" customHeight="1">
      <x:c r="A31" s="36" t="str">
        <x:v>F-25</x:v>
      </x:c>
      <x:c r="B31" s="36" t="str">
        <x:v>P2</x:v>
      </x:c>
      <x:c r="C31" s="36" t="str">
        <x:v>Library cannot retry a corrected name after a failed create</x:v>
      </x:c>
      <x:c r="D31" s="36" t="str">
        <x:v>Confirmed installed validation failure</x:v>
      </x:c>
      <x:c r="E31" s="36" t="str">
        <x:v>Partially repaired; validation feedback remains</x:v>
      </x:c>
      <x:c r="F31" s="36" t="str">
        <x:v>Brave rejects '/', then valid audit-retry remains an unsaved editor after Enter; source commit guard confirms cause</x:v>
      </x:c>
      <x:c r="G31" s="36" t="str">
        <x:v>Users cannot correct and resubmit an invalid name. The generic error also omits the failed validation rule.</x:v>
      </x:c>
      <x:c r="H31" s="36" t="str">
        <x:v>startNameEdit sets committed before awaiting the operation and leaves it set when the request fails.</x:v>
      </x:c>
      <x:c r="I31" s="36" t="str">
        <x:v>Release the submit guard on failure and show a bounded name-validation message while keeping the editor active.</x:v>
      </x:c>
      <x:c r="J31" s="36" t="str">
        <x:v>Invalid folder name fails, then a valid audit name succeeds on retry; double-submit remains single-effect and Escape removes the draft.</x:v>
      </x:c>
      <x:c r="K31" s="36" t="str">
        <x:v>LIB-04; LIB-09</x:v>
      </x:c>
      <x:c r="L31" s="36" t="str">
        <x:v>E-044</x:v>
      </x:c>
    </x:row>
    <x:row r="32" ht="165" customHeight="1">
      <x:c r="A32" s="36" t="str">
        <x:v>F-26</x:v>
      </x:c>
      <x:c r="B32" s="36" t="str">
        <x:v>P1</x:v>
      </x:c>
      <x:c r="C32" s="36" t="str">
        <x:v>Library New Text Document can replace an existing file</x:v>
      </x:c>
      <x:c r="D32" s="36" t="str">
        <x:v>Source-confirmed data-loss risk; fixture proof pending</x:v>
      </x:c>
      <x:c r="E32" s="36" t="str">
        <x:v>Verified on installed provider</x:v>
      </x:c>
      <x:c r="F32" s="36" t="str">
        <x:v>Source path: create sends empty write with no revision/create-only guard; Runtime accepts unconditioned writes</x:v>
      </x:c>
      <x:c r="G32" s="36" t="str">
        <x:v>Creating a document with an existing name can replace content with empty bytes. No user file was used to exercise this risk.</x:v>
      </x:c>
      <x:c r="H32" s="36" t="str">
        <x:v>The UI's New command uses generic write rather than an atomic create-only operation. A manually entered existing filename bypasses the suggested unique default name.</x:v>
      </x:c>
      <x:c r="I32" s="36" t="str">
        <x:v>Use a Runtime-enforced atomic create-only condition for New, with clear collision feedback and preservation of existing bytes; handle stale listing races.</x:v>
      </x:c>
      <x:c r="J32" s="36" t="str">
        <x:v>A disposable existing file retains bytes/revision on duplicate New; racing creates yield one success and one clear conflict. Ordinary intentional saves still work.</x:v>
      </x:c>
      <x:c r="K32" s="36" t="str">
        <x:v>LIB-04</x:v>
      </x:c>
      <x:c r="L32" s="36" t="str">
        <x:v>E-044; E-059; E-064; E-066; E-067</x:v>
      </x:c>
    </x:row>
    <x:row r="33" ht="165" customHeight="1">
      <x:c r="A33" s="36" t="str">
        <x:v>F-27</x:v>
      </x:c>
      <x:c r="B33" s="36" t="str">
        <x:v>P2</x:v>
      </x:c>
      <x:c r="C33" s="36" t="str">
        <x:v>Chat heading overlaps Home window controls</x:v>
      </x:c>
      <x:c r="D33" s="36" t="str">
        <x:v>Confirmed installed layout defect</x:v>
      </x:c>
      <x:c r="E33" s="36" t="str">
        <x:v>Open</x:v>
      </x:c>
      <x:c r="F33" s="36" t="str">
        <x:v>Brave screenshot at 989x786 shows Chats beneath the three Home controls</x:v>
      </x:c>
      <x:c r="G33" s="36" t="str">
        <x:v>The heading is partly covered by the close/minimize/fullscreen controls in normal embedded layout.</x:v>
      </x:c>
      <x:c r="H33" s="36" t="str">
        <x:v>The Chat sidebar starts at 12px top padding without reserving the Home-owned window chrome inset.</x:v>
      </x:c>
      <x:c r="I33" s="36" t="str">
        <x:v>Apply the shared Home chrome inset to the Chat sidebar header while preserving compact and standalone layouts.</x:v>
      </x:c>
      <x:c r="J33" s="36" t="str">
        <x:v>Installed normal, fullscreen and narrow Chat show a readable heading and reachable Home controls with one chrome layer.</x:v>
      </x:c>
      <x:c r="K33" s="36" t="str">
        <x:v>CHAT-01; GUI-05</x:v>
      </x:c>
      <x:c r="L33" s="36" t="str">
        <x:v>E-046</x:v>
      </x:c>
    </x:row>
    <x:row r="34" ht="165" customHeight="1">
      <x:c r="A34" s="36" t="str">
        <x:v>F-28</x:v>
      </x:c>
      <x:c r="B34" s="36" t="str">
        <x:v>P2</x:v>
      </x:c>
      <x:c r="C34" s="36" t="str">
        <x:v>Chat attachment button loses its name and gives no picker feedback</x:v>
      </x:c>
      <x:c r="D34" s="36" t="str">
        <x:v>Confirmed installed attachment control defect</x:v>
      </x:c>
      <x:c r="E34" s="36" t="str">
        <x:v>Open</x:v>
      </x:c>
      <x:c r="F34" s="36" t="str">
        <x:v>Running DOM has unnamed enabled plus; pointer click gives no picker. Rust render removes aria-label outside direct mode.</x:v>
      </x:c>
      <x:c r="G34" s="36" t="str">
        <x:v>Assistive technology cannot identify the action; the visible control produces no useful result in this installation.</x:v>
      </x:c>
      <x:c r="H34" s="36" t="str">
        <x:v>Room rendering clears title/aria-label at chat-room-ui/lib.rs:2824. The picker handoff at2478 targets child window.location().origin() rather than the admitted Home parent origin.</x:v>
      </x:c>
      <x:c r="I34" s="36" t="str">
        <x:v>Keep an accessible Attach name and repair or explain the exact Home-owned picker handoff without sending or attaching automatically.</x:v>
      </x:c>
      <x:c r="J34" s="36" t="str">
        <x:v>Room Attach is named and opens the scoped Library picker; cancel returns focus. Direct mode remains explicitly unavailable.</x:v>
      </x:c>
      <x:c r="K34" s="36" t="str">
        <x:v>CHAT-06; LIB-24</x:v>
      </x:c>
      <x:c r="L34" s="36" t="str">
        <x:v>E-046</x:v>
      </x:c>
    </x:row>
    <x:row r="35" ht="165" customHeight="1">
      <x:c r="A35" s="36" t="str">
        <x:v>F-29</x:v>
      </x:c>
      <x:c r="B35" s="36" t="str">
        <x:v>P2</x:v>
      </x:c>
      <x:c r="C35" s="36" t="str">
        <x:v>Wallet and Inbox rails are missing from Home markup</x:v>
      </x:c>
      <x:c r="D35" s="36" t="str">
        <x:v>Confirmed installed Home navigation defect</x:v>
      </x:c>
      <x:c r="E35" s="36" t="str">
        <x:v>Independently verified on installed Home</x:v>
      </x:c>
      <x:c r="F35" s="36" t="str">
        <x:v>Both top-bar buttons do nothing in Brave; template omits rail IDs while modules return early on missing elements</x:v>
      </x:c>
      <x:c r="G35" s="36" t="str">
        <x:v>Top-bar account/request review and notification-to-rail routing cannot open their destinations. Full Inbox and Wallet still open through the launcher.</x:v>
      </x:c>
      <x:c r="H35" s="36" t="str">
        <x:v>home-gui-template.html declares bar aria-controls but includes neither wallet-rail nor inbox-rail structure required by the existing modules.</x:v>
      </x:c>
      <x:c r="I35" s="36" t="str">
        <x:v>Restore the existing Wallet and Inbox rail structures and bindings with exact session/parent ownership; keep close/focus and full-window handoff behavior.</x:v>
      </x:c>
      <x:c r="J35" s="36" t="str">
        <x:v>Both rails open, close, refresh and hand off to full apps. Pending request counts agree; notification review opens the named destination without approval.</x:v>
      </x:c>
      <x:c r="K35" s="36" t="str">
        <x:v>GUI-14; GUI-15</x:v>
      </x:c>
      <x:c r="L35" s="36" t="str">
        <x:v>E-046; E-088; E-098; E-099; E-100</x:v>
      </x:c>
    </x:row>
    <x:row r="36" ht="165" customHeight="1">
      <x:c r="A36" s="36" t="str">
        <x:v>F-30</x:v>
      </x:c>
      <x:c r="B36" s="36" t="str">
        <x:v>P2</x:v>
      </x:c>
      <x:c r="C36" s="36" t="str">
        <x:v>Home light-theme logo references a missing SVG</x:v>
      </x:c>
      <x:c r="D36" s="36" t="str">
        <x:v>Confirmed installed missing asset</x:v>
      </x:c>
      <x:c r="E36" s="36" t="str">
        <x:v>Open</x:v>
      </x:c>
      <x:c r="F36" s="36" t="str">
        <x:v>Brave broken image after theme toggle; source file absent; exact localhost asset returns404</x:v>
      </x:c>
      <x:c r="G36" s="36" t="str">
        <x:v>The primary Home menu branding becomes a broken image when Light is used, and remained broken after the observed Dark restoration.</x:v>
      </x:c>
      <x:c r="H36" s="36" t="str">
        <x:v>Home CSS uses elastos-logo-ink.svg for light theme but the capsule includes only elastos-logo.svg.</x:v>
      </x:c>
      <x:c r="I36" s="36" t="str">
        <x:v>Ship the intended readable ink logo or use a valid existing theme-specific asset; keep default branding intact.</x:v>
      </x:c>
      <x:c r="J36" s="36" t="str">
        <x:v>Installed Light/Dark/Light switches preserve a loaded readable logo. Both logo assets return200 with source/installed parity.</x:v>
      </x:c>
      <x:c r="K36" s="36" t="str">
        <x:v>GUI-13; SYS-08</x:v>
      </x:c>
      <x:c r="L36" s="36" t="str">
        <x:v>E-046</x:v>
      </x:c>
    </x:row>
    <x:row r="37" ht="165" customHeight="1">
      <x:c r="A37" s="36" t="str">
        <x:v>F-31</x:v>
      </x:c>
      <x:c r="B37" s="36" t="str">
        <x:v>P2</x:v>
      </x:c>
      <x:c r="C37" s="36" t="str">
        <x:v>Marketplace search has no accessible name</x:v>
      </x:c>
      <x:c r="D37" s="36" t="str">
        <x:v>Confirmed installed accessibility defect</x:v>
      </x:c>
      <x:c r="E37" s="36" t="str">
        <x:v>Open</x:v>
      </x:c>
      <x:c r="F37" s="36" t="str">
        <x:v>Brave snapshot exposes an unnamed searchbox; template label contains only an aria-hidden icon</x:v>
      </x:c>
      <x:c r="G37" s="36" t="str">
        <x:v>Screen-reader users cannot reliably identify what the search control searches.</x:v>
      </x:c>
      <x:c r="H37" s="36" t="str">
        <x:v>The input has a placeholder but its wrapping label has no accessible text and no explicit accessible name.</x:v>
      </x:c>
      <x:c r="I37" s="36" t="str">
        <x:v>Give the Marketplace searchbox a stable accessible name that describes app/media search.</x:v>
      </x:c>
      <x:c r="J37" s="36" t="str">
        <x:v>Rendered DOM exposes the searchbox by name; present/absent search behavior remains correct.</x:v>
      </x:c>
      <x:c r="K37" s="36" t="str">
        <x:v>MARKET-02</x:v>
      </x:c>
      <x:c r="L37" s="36" t="str">
        <x:v>E-049</x:v>
      </x:c>
    </x:row>
    <x:row r="38" ht="165" customHeight="1">
      <x:c r="A38" s="36" t="str">
        <x:v>F-32</x:v>
      </x:c>
      <x:c r="B38" s="36" t="str">
        <x:v>P2</x:v>
      </x:c>
      <x:c r="C38" s="36" t="str">
        <x:v>Marketplace labels undeclared payment and protected-content support as present</x:v>
      </x:c>
      <x:c r="D38" s="36" t="str">
        <x:v>Confirmed installed incorrect capability claim</x:v>
      </x:c>
      <x:c r="E38" s="36" t="str">
        <x:v>Open</x:v>
      </x:c>
      <x:c r="F38" s="36" t="str">
        <x:v>Nonogram detail in Brave shows both claims; server emits not-declared and UI treats it as positive</x:v>
      </x:c>
      <x:c r="G38" s="36" t="str">
        <x:v>Ordinary apps/content appear to support payments and protected content without a declaration, confusing catalog facts with real capability.</x:v>
      </x:c>
      <x:c r="H38" s="36" t="str">
        <x:v>statusItems excludes only empty and none, while Runtime's absence state is not-declared.</x:v>
      </x:c>
      <x:c r="I38" s="36" t="str">
        <x:v>Map recognized Runtime states explicitly; undeclared or unknown states must not imply support.</x:v>
      </x:c>
      <x:c r="J38" s="36" t="str">
        <x:v>A game and service with not-declared show no support claim. Known provider states retain accurate wording; unknown values fail closed.</x:v>
      </x:c>
      <x:c r="K38" s="36" t="str">
        <x:v>MARKET-03; MARKET-05</x:v>
      </x:c>
      <x:c r="L38" s="36" t="str">
        <x:v>E-049</x:v>
      </x:c>
    </x:row>
    <x:row r="39" ht="165" customHeight="1">
      <x:c r="A39" s="36" t="str">
        <x:v>F-33</x:v>
      </x:c>
      <x:c r="B39" s="36" t="str">
        <x:v>P2</x:v>
      </x:c>
      <x:c r="C39" s="36" t="str">
        <x:v>Marketplace Open button opens details when activated by keyboard</x:v>
      </x:c>
      <x:c r="D39" s="36" t="str">
        <x:v>Confirmed installed keyboard defect</x:v>
      </x:c>
      <x:c r="E39" s="36" t="str">
        <x:v>Open</x:v>
      </x:c>
      <x:c r="F39" s="36" t="str">
        <x:v>Brave Enter on Elacity Player Open yields App details with no player window; source bubbles card keydown</x:v>
      </x:c>
      <x:c r="G39" s="36" t="str">
        <x:v>Keyboard launch differs from the focused button's stated action.</x:v>
      </x:c>
      <x:c r="H39" s="36" t="str">
        <x:v>Detail article keydown handles Enter/Space from descendants and prevents native Open button activation.</x:v>
      </x:c>
      <x:c r="I39" s="36" t="str">
        <x:v>Handle card-level activation only for the card itself; preserve native keyboard activation of child controls.</x:v>
      </x:c>
      <x:c r="J39" s="36" t="str">
        <x:v>Card Enter/Space opens details. Open Enter/Space launches once without showing details. Pointer behavior remains correct.</x:v>
      </x:c>
      <x:c r="K39" s="36" t="str">
        <x:v>MARKET-04</x:v>
      </x:c>
      <x:c r="L39" s="36" t="str">
        <x:v>E-049</x:v>
      </x:c>
    </x:row>
    <x:row r="40" ht="165" customHeight="1">
      <x:c r="A40" s="36" t="str">
        <x:v>F-34</x:v>
      </x:c>
      <x:c r="B40" s="36" t="str">
        <x:v>P3</x:v>
      </x:c>
      <x:c r="C40" s="36" t="str">
        <x:v>Player treats no selection as an unavailable video</x:v>
      </x:c>
      <x:c r="D40" s="36" t="str">
        <x:v>Observed empty-state UX gap</x:v>
      </x:c>
      <x:c r="E40" s="36" t="str">
        <x:v>Open</x:v>
      </x:c>
      <x:c r="F40" s="36" t="str">
        <x:v>Direct Marketplace launch shows duplicated unavailable text; source rejects empty mint_id with generic error</x:v>
      </x:c>
      <x:c r="G40" s="36" t="str">
        <x:v>Users cannot tell that they need to choose an item first; the message repeats without a next step.</x:v>
      </x:c>
      <x:c r="H40" s="36" t="str">
        <x:v>Missing selection uses the same error overlay/status path as invalid or unavailable protected content.</x:v>
      </x:c>
      <x:c r="I40" s="36" t="str">
        <x:v>Keep empty launch fail-closed and show one neutral instruction to open protected content from Library/Marketplace. Preserve sanitized real error states.</x:v>
      </x:c>
      <x:c r="J40" s="36" t="str">
        <x:v>Empty launch issues no viewer-open request and shows clear next-step guidance once; invalid IDs and rights failures remain bounded.</x:v>
      </x:c>
      <x:c r="K40" s="36" t="str">
        <x:v>PLAYER-01</x:v>
      </x:c>
      <x:c r="L40" s="36" t="str">
        <x:v>E-050</x:v>
      </x:c>
    </x:row>
    <x:row r="41" ht="165" customHeight="1">
      <x:c r="A41" s="36" t="str">
        <x:v>F-35</x:v>
      </x:c>
      <x:c r="B41" s="36" t="str">
        <x:v>P2</x:v>
      </x:c>
      <x:c r="C41" s="36" t="str">
        <x:v>Created ZIP is not delivered to Archive</x:v>
      </x:c>
      <x:c r="D41" s="36" t="str">
        <x:v>Confirmed installed viewer handoff defect</x:v>
      </x:c>
      <x:c r="E41" s="36" t="str">
        <x:v>Open</x:v>
      </x:c>
      <x:c r="F41" s="36" t="str">
        <x:v>Brave creates fixture.md.zip118B and closes picker while Archive stays empty; source rejects actual top-Home sender</x:v>
      </x:c>
      <x:c r="G41" s="36" t="str">
        <x:v>Archive creation succeeds but the owning viewer never receives the selected object; the workflow ends at an empty screen.</x:v>
      </x:c>
      <x:c r="H41" s="36" t="str">
        <x:v>Archive accepts only opaque parent messages, but Home's deliver-to-target posts directly from the admitted top-level host to the registered app source.</x:v>
      </x:c>
      <x:c r="I41" s="36" t="str">
        <x:v>Validate and accept the exact admitted Home top source/origin for Archive object delivery, preserving distinct parent-menu trust and rejecting sibling/forged messages.</x:v>
      </x:c>
      <x:c r="J41" s="36" t="str">
        <x:v>Real nested Home→Library→Archive create/open returns the exact ZIP and entries. Wrong origin/source is rejected; picker cancellation preserves focus.</x:v>
      </x:c>
      <x:c r="K41" s="36" t="str">
        <x:v>ARCHIVE-01; ARCHIVE-02; LIB-11; LIB-24</x:v>
      </x:c>
      <x:c r="L41" s="36" t="str">
        <x:v>E-050</x:v>
      </x:c>
    </x:row>
    <x:row r="42" ht="165" customHeight="1">
      <x:c r="A42" s="36" t="str">
        <x:v>F-36</x:v>
      </x:c>
      <x:c r="B42" s="36" t="str">
        <x:v>P3</x:v>
      </x:c>
      <x:c r="C42" s="36" t="str">
        <x:v>Archive labels an empty text file as binary</x:v>
      </x:c>
      <x:c r="D42" s="36" t="str">
        <x:v>Confirmed installed preview-label defect</x:v>
      </x:c>
      <x:c r="E42" s="36" t="str">
        <x:v>Open</x:v>
      </x:c>
      <x:c r="F42" s="36" t="str">
        <x:v>Archive preview shows text/plain0B with Binary preview is not shown; source branches on text truthiness</x:v>
      </x:c>
      <x:c r="G42" s="36" t="str">
        <x:v>A valid empty text entry is incorrectly described as binary.</x:v>
      </x:c>
      <x:c r="H42" s="36" t="str">
        <x:v>renderEntryPreview treats an empty string as absence of text instead of checking whether the text field is present.</x:v>
      </x:c>
      <x:c r="I42" s="36" t="str">
        <x:v>Distinguish empty text from absent text and render an accurate empty-text preview.</x:v>
      </x:c>
      <x:c r="J42" s="36" t="str">
        <x:v>Empty text, nonempty text and binary fixtures each have correct bounded preview copy.</x:v>
      </x:c>
      <x:c r="K42" s="36" t="str">
        <x:v>ARCHIVE-03</x:v>
      </x:c>
      <x:c r="L42" s="36" t="str">
        <x:v>E-050</x:v>
      </x:c>
    </x:row>
    <x:row r="43" ht="165" customHeight="1">
      <x:c r="A43" s="36" t="str">
        <x:v>F-37</x:v>
      </x:c>
      <x:c r="B43" s="36" t="str">
        <x:v>P2</x:v>
      </x:c>
      <x:c r="C43" s="36" t="str">
        <x:v>Archive contents pane uses a white surface in Dark theme</x:v>
      </x:c>
      <x:c r="D43" s="36" t="str">
        <x:v>Confirmed installed theme defect</x:v>
      </x:c>
      <x:c r="E43" s="36" t="str">
        <x:v>Open</x:v>
      </x:c>
      <x:c r="F43" s="36" t="str">
        <x:v>Brave screenshot shows white content pane against dark UI; source hardcodes #fff</x:v>
      </x:c>
      <x:c r="G43" s="36" t="str">
        <x:v>Archive entries become unreadable or appear absent in the dark layout.</x:v>
      </x:c>
      <x:c r="H43" s="36" t="str">
        <x:v>.content-pane background is fixed white while entry text follows dark-theme ink.</x:v>
      </x:c>
      <x:c r="I43" s="36" t="str">
        <x:v>Use the shared theme surface and retain readable rows, separators and selection contrast.</x:v>
      </x:c>
      <x:c r="J43" s="36" t="str">
        <x:v>Loaded archive contents are readable in Dark and Light at normal and narrow sizes; selection/preview stay visible.</x:v>
      </x:c>
      <x:c r="K43" s="36" t="str">
        <x:v>ARCHIVE-03</x:v>
      </x:c>
      <x:c r="L43" s="36" t="str">
        <x:v>E-050</x:v>
      </x:c>
    </x:row>
    <x:row r="44" ht="165" customHeight="1">
      <x:c r="A44" s="36" t="str">
        <x:v>F-38</x:v>
      </x:c>
      <x:c r="B44" s="36" t="str">
        <x:v>P3</x:v>
      </x:c>
      <x:c r="C44" s="36" t="str">
        <x:v>Empty Trash asks users to upload or create a folder</x:v>
      </x:c>
      <x:c r="D44" s="36" t="str">
        <x:v>Confirmed installed empty-state guidance defect</x:v>
      </x:c>
      <x:c r="E44" s="36" t="str">
        <x:v>Open</x:v>
      </x:c>
      <x:c r="F44" s="36" t="str">
        <x:v>Brave after audit-file restore; source has no Trash branch</x:v>
      </x:c>
      <x:c r="G44" s="36" t="str">
        <x:v>The empty-state instruction points to controls that are correctly unavailable in Trash.</x:v>
      </x:c>
      <x:c r="H44" s="36" t="str">
        <x:v>Library emptyStateCopy falls through to writable-folder guidance for Trash.</x:v>
      </x:c>
      <x:c r="I44" s="36" t="str">
        <x:v>Use Trash-specific empty copy and capability-aware read-only guidance for Spaces.</x:v>
      </x:c>
      <x:c r="J44" s="36" t="str">
        <x:v>Empty Trash offers accurate guidance without creation actions; writable folder and read-only Space copy match available capabilities.</x:v>
      </x:c>
      <x:c r="K44" s="36" t="str">
        <x:v>LIB-22</x:v>
      </x:c>
      <x:c r="L44" s="36" t="str">
        <x:v>E-051</x:v>
      </x:c>
    </x:row>
    <x:row r="45" ht="165" customHeight="1">
      <x:c r="A45" s="36" t="str">
        <x:v>F-39</x:v>
      </x:c>
      <x:c r="B45" s="36" t="str">
        <x:v>P2</x:v>
      </x:c>
      <x:c r="C45" s="36" t="str">
        <x:v>Emulator game keys intercept utility controls</x:v>
      </x:c>
      <x:c r="D45" s="36" t="str">
        <x:v>Confirmed installed keyboard focus defect</x:v>
      </x:c>
      <x:c r="E45" s="36" t="str">
        <x:v>Open</x:v>
      </x:c>
      <x:c r="F45" s="36" t="str">
        <x:v>Brave Pause Enter fails/Space works and Volume ArrowRight stays50; source window key handler</x:v>
      </x:c>
      <x:c r="G45" s="36" t="str">
        <x:v>Keyboard users cannot activate Pause/Save/Load with Enter or adjust Volume with arrow keys; utility input can leak into the game.</x:v>
      </x:c>
      <x:c r="H45" s="36" t="str">
        <x:v>Global game-key handlers prevent default on utility button/range events instead of respecting focused control ownership.</x:v>
      </x:c>
      <x:c r="I45" s="36" t="str">
        <x:v>Scope game key input and save shortcuts to intended game focus. Preserve native utility keyboard actions and release held game inputs on focus loss.</x:v>
      </x:c>
      <x:c r="J45" s="36" t="str">
        <x:v>Pause/Save/Load Enter and Space work; slider arrows change volume without moving game; canvas and mapped on-screen controls still work; blur releases input.</x:v>
      </x:c>
      <x:c r="K45" s="36" t="str">
        <x:v>GBA-02; GBA-03; GBA-04</x:v>
      </x:c>
      <x:c r="L45" s="36" t="str">
        <x:v>E-052</x:v>
      </x:c>
    </x:row>
    <x:row r="46" ht="165" customHeight="1">
      <x:c r="A46" s="36" t="str">
        <x:v>F-40</x:v>
      </x:c>
      <x:c r="B46" s="36" t="str">
        <x:v>P3</x:v>
      </x:c>
      <x:c r="C46" s="36" t="str">
        <x:v>Emulator Fast Forward does not expose its active state</x:v>
      </x:c>
      <x:c r="D46" s="36" t="str">
        <x:v>Confirmed accessible state gap</x:v>
      </x:c>
      <x:c r="E46" s="36" t="str">
        <x:v>Open</x:v>
      </x:c>
      <x:c r="F46" s="36" t="str">
        <x:v>Brave toggle snapshots keep same accessible state; source updates CSS class only</x:v>
      </x:c>
      <x:c r="G46" s="36" t="str">
        <x:v>Assistive users cannot tell whether normal speed or4x speed is active.</x:v>
      </x:c>
      <x:c r="H46" s="36" t="str">
        <x:v>Fast Forward changes speed and visual class without aria-pressed or equivalent active-speed semantics.</x:v>
      </x:c>
      <x:c r="I46" s="36" t="str">
        <x:v>Expose the current toggle state and clear speed meaning, matching the visual state.</x:v>
      </x:c>
      <x:c r="J46" s="36" t="str">
        <x:v>Fast Forward toggles aria-pressed false/true/false or equivalent accessible speed label; normal speed restored on fresh load.</x:v>
      </x:c>
      <x:c r="K46" s="36" t="str">
        <x:v>GBA-03</x:v>
      </x:c>
      <x:c r="L46" s="36" t="str">
        <x:v>E-052</x:v>
      </x:c>
    </x:row>
    <x:row r="47" ht="165" customHeight="1">
      <x:c r="A47" s="36" t="str">
        <x:v>F-41</x:v>
      </x:c>
      <x:c r="B47" s="36" t="str">
        <x:v>P2</x:v>
      </x:c>
      <x:c r="C47" s="36" t="str">
        <x:v>Bundled uCity lacks creator attribution and ROM provenance</x:v>
      </x:c>
      <x:c r="D47" s="36" t="str">
        <x:v>Source packaging/provenance gap</x:v>
      </x:c>
      <x:c r="E47" s="36" t="str">
        <x:v>Open</x:v>
      </x:c>
      <x:c r="F47" s="36" t="str">
        <x:v>Full capsule file inventory, ROM hash and primary upstream credits/license sections</x:v>
      </x:c>
      <x:c r="G47" s="36" t="str">
        <x:v>Users see an inaccurate creator identity, and release review cannot trace the bundled ROM to its matching source and terms.</x:v>
      </x:c>
      <x:c r="H47" s="36" t="str">
        <x:v>Bundled ROM arrived without a source/release receipt or attribution/notices; capsule author field identifies elastos.</x:v>
      </x:c>
      <x:c r="I47" s="36" t="str">
        <x:v>Verify exact ROM source/release, correct public creator facts and include matching attribution and required notices; keep licensing decisions explicit.</x:v>
      </x:c>
      <x:c r="J47" s="36" t="str">
        <x:v>Package inventory includes hash-bound provenance and accurate creator attribution; source and installed content metadata agree. Separate release/legal review remains explicit.</x:v>
      </x:c>
      <x:c r="K47" s="36" t="str">
        <x:v>UCITY-01</x:v>
      </x:c>
      <x:c r="L47" s="36" t="str">
        <x:v>E-052</x:v>
      </x:c>
    </x:row>
    <x:row r="48" ht="165" customHeight="1">
      <x:c r="A48" s="36" t="str">
        <x:v>F-42</x:v>
      </x:c>
      <x:c r="B48" s="36" t="str">
        <x:v>P2</x:v>
      </x:c>
      <x:c r="C48" s="36" t="str">
        <x:v>Emulator installed-ROM keyboard selection opens Library instead</x:v>
      </x:c>
      <x:c r="D48" s="36" t="str">
        <x:v>Confirmed installed keyboard navigation defect</x:v>
      </x:c>
      <x:c r="E48" s="36" t="str">
        <x:v>Open</x:v>
      </x:c>
      <x:c r="F48" s="36" t="str">
        <x:v>Space on Nonogram Advance in empty emulator opens Library; source parent key handler catches descendants</x:v>
      </x:c>
      <x:c r="G48" s="36" t="str">
        <x:v>Keyboard users cannot activate the stated installed-game choice, and nested interactive semantics obscure the controls.</x:v>
      </x:c>
      <x:c r="H48" s="36" t="str">
        <x:v>The empty-state role=button wraps installed-game buttons and handles bubbled Enter/Space by opening Library.</x:v>
      </x:c>
      <x:c r="I48" s="36" t="str">
        <x:v>Separate the Library action from installed-ROM buttons or handle only self-targeted activation; retain exact chosen ROM and valid semantics.</x:v>
      </x:c>
      <x:c r="J48" s="36" t="str">
        <x:v>Installed ROM choices activate the selected game once with Enter/Space/pointer; only the dedicated Library action opens Library.</x:v>
      </x:c>
      <x:c r="K48" s="36" t="str">
        <x:v>GBA-01</x:v>
      </x:c>
      <x:c r="L48" s="36" t="str">
        <x:v>E-052</x:v>
      </x:c>
    </x:row>
    <x:row r="49" ht="165" customHeight="1">
      <x:c r="A49" s="36" t="str">
        <x:v>F-43</x:v>
      </x:c>
      <x:c r="B49" s="36" t="str">
        <x:v>P1</x:v>
      </x:c>
      <x:c r="C49" s="36" t="str">
        <x:v>Browser navigation and recovery can stall in a visible foreground session</x:v>
      </x:c>
      <x:c r="D49" s="36" t="str">
        <x:v>Observed intermittent Browser navigation/recovery failure</x:v>
      </x:c>
      <x:c r="E49" s="36" t="str">
        <x:v>Open; intermittent foreground and background stall</x:v>
      </x:c>
      <x:c r="F49" s="36" t="str">
        <x:v>First live MicroVM page ready; two subsequent GUI launches fail; host logs</x:v>
      </x:c>
      <x:c r="G49" s="36" t="str">
        <x:v>An intermittent stall can leave the requested page unavailable even while Browser is visible. Prior positive runs remain valid but do not establish reliable recovery.</x:v>
      </x:c>
      <x:c r="H49" s="36" t="str">
        <x:v>Unconfirmed. Background recovery failed in E060; foreground launch/navigation/history/reopen passed in E064. In E084, a visible foreground tab cold-launched to a real ela.city page, but the next navigation retained that old frame and Opening for more than 60 seconds. The scope therefore includes foreground navigation as well as background recovery.</x:v>
      </x:c>
      <x:c r="I49" s="36" t="str">
        <x:v>Diagnose the lifecycle/managed-runtime handoff from bounded logs and repair the failing ownership path. Preserve Browser profile and original user tabs.</x:v>
      </x:c>
      <x:c r="J49" s="36" t="str">
        <x:v>Repeat harmless foreground navigation and cold close/reopen; verify the displayed page matches its requested address, status settles, and audit-owned sessions close normally. Separately test background recovery without profile reset.</x:v>
      </x:c>
      <x:c r="K49" s="36" t="str">
        <x:v>BROWSER-01; BROWSER-10; BROWSER-11; BROWSER-02; BROWSER-12</x:v>
      </x:c>
      <x:c r="L49" s="36" t="str">
        <x:v>E-053; E-060; E-064; E-084</x:v>
      </x:c>
    </x:row>
    <x:row r="50" ht="165" customHeight="1">
      <x:c r="A50" s="36" t="str">
        <x:v>F-44</x:v>
      </x:c>
      <x:c r="B50" s="36" t="str">
        <x:v>P1</x:v>
      </x:c>
      <x:c r="C50" s="36" t="str">
        <x:v>Direct Desktop–Terminal switching stalls</x:v>
      </x:c>
      <x:c r="D50" s="36" t="str">
        <x:v>Confirmed installed shell-start failure</x:v>
      </x:c>
      <x:c r="E50" s="36" t="str">
        <x:v>Partial repair; Desktop recovery passes, direct transition remains open</x:v>
      </x:c>
      <x:c r="F50" s="36" t="str">
        <x:v>Independent source smokes, eighteen installed asset comparisons, foreground Brave and read-only visible-frame inspection</x:v>
      </x:c>
      <x:c r="G50" s="36" t="str">
        <x:v>Normal shell switching fails and requires recovery or reload.</x:v>
      </x:c>
      <x:c r="H50" s="36" t="str">
        <x:v>Earlier bootstrap and Home-host authority defects are repaired. E089 shows direct navigation stalled before HTML or JavaScript transfer for over 144 seconds. E096 verifies working Desktop recovery on 0018ef0d, while direct switching still stalls with the debugger attached. A safe debugger-independent test is unavailable through current controls; the exact navigation cause remains unconfirmed.</x:v>
      </x:c>
      <x:c r="I50" s="36" t="str">
        <x:v>Keep the terminal bound to the existing intended Runtime and provide visible bounded startup failure with a usable Desktop recovery action.</x:v>
      </x:c>
      <x:c r="J50" s="36" t="str">
        <x:v>Switch Desktop to Terminal, see prompt and read-only facts, use q/Escape to return, then force a scoped terminal-start failure and prove Desktop recovery without identity changes.</x:v>
      </x:c>
      <x:c r="K50" s="36" t="str">
        <x:v>CLI-01; CLI-02; CLI-05; SYS-10</x:v>
      </x:c>
      <x:c r="L50" s="36" t="str">
        <x:v>E-054; E-057; E-058; E-064; E-074; E-075; E-076; E-087; E-089; E-090; E-091; E-092; E-093; E-094; E-095; E-096; E-106</x:v>
      </x:c>
    </x:row>
    <x:row r="51" ht="165" customHeight="1">
      <x:c r="A51" s="36" t="str">
        <x:v>F-45</x:v>
      </x:c>
      <x:c r="B51" s="36" t="str">
        <x:v>P2</x:v>
      </x:c>
      <x:c r="C51" s="36" t="str">
        <x:v>Markdown links lose closing parentheses from their destination</x:v>
      </x:c>
      <x:c r="D51" s="36" t="str">
        <x:v>Confirmed installed Markdown defect</x:v>
      </x:c>
      <x:c r="E51" s="36" t="str">
        <x:v>Open</x:v>
      </x:c>
      <x:c r="F51" s="36" t="str">
        <x:v>Brave rendered link target and source expression</x:v>
      </x:c>
      <x:c r="G51" s="36" t="str">
        <x:v>Valid links such as https://example.com/a_(b) are changed to another URL and leave a stray ')' in the preview.</x:v>
      </x:c>
      <x:c r="H51" s="36" t="str">
        <x:v>renderInlineMarkdown matches href with [^)]+, which stops at the first closing parenthesis instead of the balanced destination boundary.</x:v>
      </x:c>
      <x:c r="I51" s="36" t="str">
        <x:v>Handle balanced and escaped parentheses in supported inline links while preserving safe URL schemes and HTML escaping.</x:v>
      </x:c>
      <x:c r="J51" s="36" t="str">
        <x:v>Render balanced/escaped link destinations intact; incomplete input terminates; unsafe schemes remain inert. Source test plus installed Brave DOM proof.</x:v>
      </x:c>
      <x:c r="K51" s="36" t="str">
        <x:v>DOC-06</x:v>
      </x:c>
      <x:c r="L51" s="36" t="str">
        <x:v>E-056</x:v>
      </x:c>
    </x:row>
    <x:row r="52" ht="165" customHeight="1">
      <x:c r="A52" s="36" t="str">
        <x:v>F-46</x:v>
      </x:c>
      <x:c r="B52" s="36" t="str">
        <x:v>P2</x:v>
      </x:c>
      <x:c r="C52" s="36" t="str">
        <x:v>Library Properties tabs cannot be reached by keyboard</x:v>
      </x:c>
      <x:c r="D52" s="36" t="str">
        <x:v>Confirmed installed keyboard accessibility defect</x:v>
      </x:c>
      <x:c r="E52" s="36" t="str">
        <x:v>Open</x:v>
      </x:c>
      <x:c r="F52" s="36" t="str">
        <x:v>Brave Tab sequence, DOM roles and source click handlers</x:v>
      </x:c>
      <x:c r="G52" s="36" t="str">
        <x:v>Keyboard users skip General/Technical/Archive and focus can leave the modal. Escape works, but keyboard access to alternate panels is missing.</x:v>
      </x:c>
      <x:c r="H52" s="36" t="str">
        <x:v>Properties tabs are plain div elements with click delegation. The overlay lacks named modal/tab semantics and focused entry.</x:v>
      </x:c>
      <x:c r="I52" s="36" t="str">
        <x:v>Use semantic keyboard-operable tabs and scoped dialog focus entry, containment and return; preserve current panels and Clipboard ownership.</x:v>
      </x:c>
      <x:c r="J52" s="36" t="str">
        <x:v>Keyboard opens Properties, reaches/switches tabs, cycles within modal, closes with Escape and returns focus to invoker. Pointer and both themes remain functional.</x:v>
      </x:c>
      <x:c r="K52" s="36" t="str">
        <x:v>LIB-23; UX-01</x:v>
      </x:c>
      <x:c r="L52" s="36" t="str">
        <x:v>E-056</x:v>
      </x:c>
    </x:row>
    <x:row r="53" ht="165" customHeight="1">
      <x:c r="A53" s="36" t="str">
        <x:v>F-47</x:v>
      </x:c>
      <x:c r="B53" s="36" t="str">
        <x:v>P1</x:v>
      </x:c>
      <x:c r="C53" s="36" t="str">
        <x:v>Terminal shows device facts as the signed-in Home profile</x:v>
      </x:c>
      <x:c r="D53" s="36" t="str">
        <x:v>Confirmed installed shell-context mismatch</x:v>
      </x:c>
      <x:c r="E53" s="36" t="str">
        <x:v>Verified</x:v>
      </x:c>
      <x:c r="F53" s="36" t="str">
        <x:v>Independent source tests, exact installed artifact parity, and Brave comparison of Desktop and Terminal</x:v>
      </x:c>
      <x:c r="G53" s="36" t="str">
        <x:v>Terminal labels the device identity as My Profile, reports a different display name and Inbox count, and says Home offline/Desktop already active while Terminal is open. This misstates the user's current Home context.</x:v>
      </x:c>
      <x:c r="H53" s="36" t="str">
        <x:v>Native summary access first failed Browser-origin admission. The repaired InternalShell path then exposed a direct-token mismatch: its authority actor was home-cli while the browser grant belongs to Home. Commit 961bc323 uses the production Home projection issuer and preserves exact principal matching.</x:v>
      </x:c>
      <x:c r="I53" s="36" t="str">
        <x:v>Use scoped InternalShell grant admission for native Home CLI summary, enforce carried principal agreement, and project admitted identity/Inbox/System facts without browser-path device fallback. Preserve strict browser-origin checks.</x:v>
      </x:c>
      <x:c r="J53" s="36" t="str">
        <x:v>GUI/CLI account name, Inbox, active shell and Runtime status agree for the same session. Tests reject cross-principal context and retain signed host-intent ownership; verify in Brave without account mutations.</x:v>
      </x:c>
      <x:c r="K53" s="36" t="str">
        <x:v>CLI-02; SYS-10</x:v>
      </x:c>
      <x:c r="L53" s="36" t="str">
        <x:v>E-058; E-065; E-066; E-067; E-069; E-070; E-071</x:v>
      </x:c>
    </x:row>
    <x:row r="54" ht="165" customHeight="1">
      <x:c r="A54" s="36" t="str">
        <x:v>F-48</x:v>
      </x:c>
      <x:c r="B54" s="36" t="str">
        <x:v>P2</x:v>
      </x:c>
      <x:c r="C54" s="36" t="str">
        <x:v>Library Search and name editor lack accessible names</x:v>
      </x:c>
      <x:c r="D54" s="36" t="str">
        <x:v>Confirmed installed input accessibility defect</x:v>
      </x:c>
      <x:c r="E54" s="36" t="str">
        <x:v>Open</x:v>
      </x:c>
      <x:c r="F54" s="36" t="str">
        <x:v>Brave unnamed input roles and source markup</x:v>
      </x:c>
      <x:c r="G54" s="36" t="str">
        <x:v>Assistive technology cannot identify the Search/create/rename fields or connect validation feedback to the name editor.</x:v>
      </x:c>
      <x:c r="H54" s="36" t="str">
        <x:v>Library Search has only a placeholder, and dynamically created name inputs set value/class but no associated label or accessible name.</x:v>
      </x:c>
      <x:c r="I54" s="36" t="str">
        <x:v>Add concise stable accessible labels and associate name guidance/errors with the active editor, preserving keyboard and validation behavior.</x:v>
      </x:c>
      <x:c r="J54" s="36" t="str">
        <x:v>Rendered Search, create and rename inputs expose their intended accessible names; error guidance is associated and retry/Escape behavior remains correct.</x:v>
      </x:c>
      <x:c r="K54" s="36" t="str">
        <x:v>LIB-02; LIB-04; LIB-09; UX-01</x:v>
      </x:c>
      <x:c r="L54" s="36" t="str">
        <x:v>E-059</x:v>
      </x:c>
    </x:row>
    <x:row r="55" ht="165" customHeight="1">
      <x:c r="A55" s="36" t="str">
        <x:v>F-49</x:v>
      </x:c>
      <x:c r="B55" s="36" t="str">
        <x:v>P2</x:v>
      </x:c>
      <x:c r="C55" s="36" t="str">
        <x:v>Saved Documents are absent from Home Search</x:v>
      </x:c>
      <x:c r="D55" s="36" t="str">
        <x:v>Confirmed Home Search integration gap</x:v>
      </x:c>
      <x:c r="E55" s="36" t="str">
        <x:v>Open</x:v>
      </x:c>
      <x:c r="F55" s="36" t="str">
        <x:v>Brave saved audit title/name queries and producer-consumer source comparison</x:v>
      </x:c>
      <x:c r="G55" s="36" t="str">
        <x:v>Home Search returns no results for a saved document visible in Documents and Library. Current coverage is narrower than its document-search path suggests.</x:v>
      </x:c>
      <x:c r="H55" s="36" t="str">
        <x:v>shell-spotlight.js reads summary.documents, but HomeSummaryResponse has no documents field. The document result branch therefore has no current producer; file results are limited to desktop_objects.</x:v>
      </x:c>
      <x:c r="I55" s="36" t="str">
        <x:v>Either project bounded authenticated document facts through the Runtime-owned Home summary, or explicitly define and communicate the supported search scope. Keep provider access and principal ownership in Runtime.</x:v>
      </x:c>
      <x:c r="J55" s="36" t="str">
        <x:v>Saved disposable document can be found and opened by its supported title/name under the same principal; another principal's documents remain absent. Apps, Desktop files and Escape behavior remain intact.</x:v>
      </x:c>
      <x:c r="K55" s="36" t="str">
        <x:v>GUI-04</x:v>
      </x:c>
      <x:c r="L55" s="36" t="str">
        <x:v>E-061</x:v>
      </x:c>
    </x:row>
    <x:row r="56" ht="165" customHeight="1">
      <x:c r="A56" s="36" t="str">
        <x:v>F-50</x:v>
      </x:c>
      <x:c r="B56" s="36" t="str">
        <x:v>P2</x:v>
      </x:c>
      <x:c r="C56" s="36" t="str">
        <x:v>Documents context actions lose their selected document</x:v>
      </x:c>
      <x:c r="D56" s="36" t="str">
        <x:v>Confirmed installed Documents context-action defect</x:v>
      </x:c>
      <x:c r="E56" s="36" t="str">
        <x:v>Open</x:v>
      </x:c>
      <x:c r="F56" s="36" t="str">
        <x:v>Brave ContextMenu→Duplicate no-op and direct source ordering</x:v>
      </x:c>
      <x:c r="G56" s="36" t="str">
        <x:v>Duplicate, Publish, Unpublish, copy published link and Delete in the document context menu silently do nothing. The tested Duplicate created no new file.</x:v>
      </x:c>
      <x:c r="H56" s="36" t="str">
        <x:v>runContextMenuAction calls closeContextMenu first; closeContextMenu clears contextMenuDocDid, so ensureContextDocumentSelected immediately returns null and every document action exits.</x:v>
      </x:c>
      <x:c r="I56" s="36" t="str">
        <x:v>Capture the intended document identity before closing the menu, then resolve that exact document for the requested action. Preserve cancellation and explicit destructive confirmations.</x:v>
      </x:c>
      <x:c r="J56" s="36" t="str">
        <x:v>ContextMenu→Duplicate on an unselected audit document creates a separate copy of that document; original stays unchanged. Context Delete opens a named confirmation and Cancel preserves both. Test stale/missing identities fail safely.</x:v>
      </x:c>
      <x:c r="K56" s="36" t="str">
        <x:v>DOC-09</x:v>
      </x:c>
      <x:c r="L56" s="36" t="str">
        <x:v>E-062</x:v>
      </x:c>
    </x:row>
    <x:row r="57" ht="165" customHeight="1">
      <x:c r="A57" s="36" t="str">
        <x:v>F-51</x:v>
      </x:c>
      <x:c r="B57" s="36" t="str">
        <x:v>P1</x:v>
      </x:c>
      <x:c r="C57" s="36" t="str">
        <x:v>Home Close discards Documents edits before autosave</x:v>
      </x:c>
      <x:c r="D57" s="36" t="str">
        <x:v>Confirmed installed unsaved-edit data loss</x:v>
      </x:c>
      <x:c r="E57" s="36" t="str">
        <x:v>Verified</x:v>
      </x:c>
      <x:c r="F57" s="36" t="str">
        <x:v>Foreground Brave dirty marker→375ms normal Home Close→fresh reopen loses audit X; source lifecycle path</x:v>
      </x:c>
      <x:c r="G57" s="36" t="str">
        <x:v>A user can lose the last edit by closing the Documents window immediately after typing. The tested audit copy lost only the intentionally disposable trailing X; saved original and copy stayed intact.</x:v>
      </x:c>
      <x:c r="H57" s="36" t="str">
        <x:v>Documents waits900ms before autosave and relies on beforeunload for dirty protection. Home closeWindow directly removes non-Browser app frames, so the embedded document can disappear before saving or consent.</x:v>
      </x:c>
      <x:c r="I57" s="36" t="str">
        <x:v>Give Documents a Home-owned close handshake that preserves or explicitly resolves dirty state before frame removal. Close after successful save or explicit discard; cancellation or save failure keeps the window open. Keep message ownership bound to the trusted app/token/origin.</x:v>
      </x:c>
      <x:c r="J57" s="36" t="str">
        <x:v>Edit audit copy and close within900ms: save-or-cancel/discard behavior is explicit and reopen matches accepted outcome. Save failure and duplicate close preserve edits; clean close and other app lifecycle paths stay working.</x:v>
      </x:c>
      <x:c r="K57" s="36" t="str">
        <x:v>DOC-11; GUI-06</x:v>
      </x:c>
      <x:c r="L57" s="36" t="str">
        <x:v>E-063; E-064</x:v>
      </x:c>
    </x:row>
    <x:row r="58" ht="165" customHeight="1">
      <x:c r="A58" s="36" t="str">
        <x:v>F-52</x:v>
      </x:c>
      <x:c r="B58" s="36" t="str">
        <x:v>P2</x:v>
      </x:c>
      <x:c r="C58" s="36" t="str">
        <x:v>Browser keeps Opening status after navigation completes</x:v>
      </x:c>
      <x:c r="D58" s="36" t="str">
        <x:v>Confirmed installed Browser status defect</x:v>
      </x:c>
      <x:c r="E58" s="36" t="str">
        <x:v>Open; confirmed in foreground</x:v>
      </x:c>
      <x:c r="F58" s="36" t="str">
        <x:v>Foreground Brave DOM and actual WebRTC page across Back/Forward; source status lifecycle</x:v>
      </x:c>
      <x:c r="G58" s="36" t="str">
        <x:v>The page and history controls work while Browser continues to claim it is opening an earlier address. Users cannot tell successful navigation from a pending request.</x:v>
      </x:c>
      <x:c r="H58" s="36" t="str">
        <x:v>navigateAddress shows a sticky Opening message. Its successful input and finally paths update navigation/loading controls but leave that sticky message in place.</x:v>
      </x:c>
      <x:c r="I58" s="36" t="str">
        <x:v>Settle the navigation status for the exact current page/navigation owner after success. Clear or replace only its own pending message so a later error or new request stays visible.</x:v>
      </x:c>
      <x:c r="J58" s="36" t="str">
        <x:v>Navigate between harmless pages, then Back/Forward/Refresh. URL, current page and status agree after each accepted result; delayed old responses cannot clear a newer loading/error status.</x:v>
      </x:c>
      <x:c r="K58" s="36" t="str">
        <x:v>BROWSER-01; BROWSER-02</x:v>
      </x:c>
      <x:c r="L58" s="36" t="str">
        <x:v>E-064</x:v>
      </x:c>
    </x:row>
    <x:row r="59" ht="165" customHeight="1">
      <x:c r="A59" s="36" t="str">
        <x:v>F-53</x:v>
      </x:c>
      <x:c r="B59" s="36" t="str">
        <x:v>P2</x:v>
      </x:c>
      <x:c r="C59" s="36" t="str">
        <x:v>Terminal can hide startup errors before its viewer attaches</x:v>
      </x:c>
      <x:c r="D59" s="36" t="str">
        <x:v>Source-confirmed Terminal startup-output gap</x:v>
      </x:c>
      <x:c r="E59" s="36" t="str">
        <x:v>Verified; source-negative and installed-positive proof</x:v>
      </x:c>
      <x:c r="F59" s="36" t="str">
        <x:v>Independent negative source fixtures, installed hash parity and positive Brave retest</x:v>
      </x:c>
      <x:c r="G59" s="36" t="str">
        <x:v>A failed Terminal may discard the precise startup error, leaving users with repeated Refresh or Desktop recovery but no useful cause.</x:v>
      </x:c>
      <x:c r="H59" s="36" t="str">
        <x:v>Original broadcast-only startup lost early output and generic fallback replaced it. Verified 56ae1aed adds ordered session-owned replay, a bounded read-only late archive and bounded visible fallback output. E085-E087 separate isolated failure proof from live positive behavior.</x:v>
      </x:c>
      <x:c r="I59" s="36" t="str">
        <x:v>Keep bounded session-owned startup output/status for the first authorized attachment and retain the relevant failure cause alongside recovery controls. Preserve exact session ownership, ordering and bounded retention.</x:v>
      </x:c>
      <x:c r="J59" s="36" t="str">
        <x:v>Fast stdout/error/exit remains readable after delayed authorized attach; reconnect avoids duplicates and other sessions cannot read it. Recovery controls work and retained output remains bounded.</x:v>
      </x:c>
      <x:c r="K59" s="36" t="str">
        <x:v>CLI-01; CLI-05</x:v>
      </x:c>
      <x:c r="L59" s="36" t="str">
        <x:v>E-067; E-068; E-085; E-086; E-087</x:v>
      </x:c>
    </x:row>
    <x:row r="60" ht="165" customHeight="1">
      <x:c r="A60" s="36" t="str">
        <x:v>F-54</x:v>
      </x:c>
      <x:c r="B60" s="36" t="str">
        <x:v>P1</x:v>
      </x:c>
      <x:c r="C60" s="36" t="str">
        <x:v>Browser can reorder text around line breaks</x:v>
      </x:c>
      <x:c r="D60" s="36" t="str">
        <x:v>Confirmed Browser input ordering defect</x:v>
      </x:c>
      <x:c r="E60" s="36" t="str">
        <x:v>Open; sent to Builder</x:v>
      </x:c>
      <x:c r="F60" s="36" t="str">
        <x:v>Foreground Brave test form, visible text comparison, source/installed/served parity</x:v>
      </x:c>
      <x:c r="G60" s="36" t="str">
        <x:v>Fast multiline typing can change the user's text, even when the single-line case passes.</x:v>
      </x:c>
      <x:c r="H60" s="36" t="str">
        <x:v>Printable keys use unsequenced Runtime HTTP paste_text requests; Enter/navigation can use the separate RTC datachannel. The paths share no input-order barrier.</x:v>
      </x:c>
      <x:c r="I60" s="36" t="str">
        <x:v>Keep one ordered input sequence owned by the exact Browser page. Preserve Runtime mediation for text transfer and cancel retired-page input; do not bypass Clipboard policy.</x:v>
      </x:c>
      <x:c r="J60" s="36" t="str">
        <x:v>Interleave delayed printable text, Enter, Backspace, Tab and page retirement. Exact multiline text and focus must match the issued sequence in source tests and live Brave.</x:v>
      </x:c>
      <x:c r="K60" s="36" t="str">
        <x:v>BROWSER-04</x:v>
      </x:c>
      <x:c r="L60" s="36" t="str">
        <x:v>E-073</x:v>
      </x:c>
    </x:row>
    <x:row r="61" ht="165" customHeight="1">
      <x:c r="A61" s="36" t="str">
        <x:v>F-55</x:v>
      </x:c>
      <x:c r="B61" s="36" t="str">
        <x:v>P2</x:v>
      </x:c>
      <x:c r="C61" s="36" t="str">
        <x:v>Browser drops common editing shortcuts</x:v>
      </x:c>
      <x:c r="D61" s="36" t="str">
        <x:v>Confirmed Browser keyboard modifier gap</x:v>
      </x:c>
      <x:c r="E61" s="36" t="str">
        <x:v>Open; sent to Builder</x:v>
      </x:c>
      <x:c r="F61" s="36" t="str">
        <x:v>Foreground Control+A/Control+Home tests and matching installed input source</x:v>
      </x:c>
      <x:c r="G61" s="36" t="str">
        <x:v>Select All and document-start editing shortcuts do not act on the remote field, so replacement text can be appended unexpectedly.</x:v>
      </x:c>
      <x:c r="H61" s="36" t="str">
        <x:v>The input surface returns for Ctrl/Meta/Alt before forwarding ordinary key events. Only dedicated copy/paste handlers run.</x:v>
      </x:c>
      <x:c r="I61" s="36" t="str">
        <x:v>Forward supported normalized editing modifiers to the exact remote page while Home retains its shortcuts and Clipboard transfer retains native consent.</x:v>
      </x:c>
      <x:c r="J61" s="36" t="str">
        <x:v>Control/Command+A, modified Home/End, selection and deletion work on a harmless remote field. Home shortcuts and Clipboard approval remain isolated.</x:v>
      </x:c>
      <x:c r="K61" s="36" t="str">
        <x:v>BROWSER-04</x:v>
      </x:c>
      <x:c r="L61" s="36" t="str">
        <x:v>E-073</x:v>
      </x:c>
    </x:row>
    <x:row r="62" ht="165" customHeight="1">
      <x:c r="A62" s="36" t="str">
        <x:v>F-56</x:v>
      </x:c>
      <x:c r="B62" s="36" t="str">
        <x:v>P2</x:v>
      </x:c>
      <x:c r="C62" s="36" t="str">
        <x:v>Documents close dialog lets Tab escape into Home</x:v>
      </x:c>
      <x:c r="D62" s="36" t="str">
        <x:v>Confirmed Documents modal keyboard defect</x:v>
      </x:c>
      <x:c r="E62" s="36" t="str">
        <x:v>Open; sent to Builder</x:v>
      </x:c>
      <x:c r="F62" s="36" t="str">
        <x:v>Installed foreground Brave Tab sequence and source review</x:v>
      </x:c>
      <x:c r="G62" s="36" t="str">
        <x:v>Keyboard users can leave the active decision and focus unrelated Home controls while the modal remains open.</x:v>
      </x:c>
      <x:c r="H62" s="36" t="str">
        <x:v>The confirmation is a div with aria-modal=true, without a Tab trap or inert background. Tab after Save reaches an unnamed Apps launcher button.</x:v>
      </x:c>
      <x:c r="I62" s="36" t="str">
        <x:v>Keep keyboard focus inside the active Documents decision and restore suitable focus on Cancel, while preserving the accepted close handshake and autosave suspension.</x:v>
      </x:c>
      <x:c r="J62" s="36" t="str">
        <x:v>Tab and Shift+Tab cycle only among Cancel, Discard and Save; Escape/Cancel restores editor focus. Save and delayed Discard retain their verified data behavior.</x:v>
      </x:c>
      <x:c r="K62" s="36" t="str">
        <x:v>GUI-05</x:v>
      </x:c>
      <x:c r="L62" s="36" t="str">
        <x:v>E-081</x:v>
      </x:c>
    </x:row>
    <x:row r="63" ht="165" customHeight="1">
      <x:c r="A63" s="36" t="str">
        <x:v>F-57</x:v>
      </x:c>
      <x:c r="B63" s="36" t="str">
        <x:v>P3</x:v>
      </x:c>
      <x:c r="C63" s="36" t="str">
        <x:v>Narrow Library Details keeps headers for hidden values</x:v>
      </x:c>
      <x:c r="D63" s="36" t="str">
        <x:v>Confirmed narrow-layout mismatch</x:v>
      </x:c>
      <x:c r="E63" s="36" t="str">
        <x:v>Open; queued for Builder</x:v>
      </x:c>
      <x:c r="F63" s="36" t="str">
        <x:v>Installed Brave resize, screenshot/accessibility snapshot and matching CSS</x:v>
      </x:c>
      <x:c r="G63" s="36" t="str">
        <x:v>At compact widths, the Details view appears to contain missing modification times, sizes and types beneath visible headers.</x:v>
      </x:c>
      <x:c r="H63" s="36" t="str">
        <x:v>The max-width:720px rule hides metadata row cells but keeps the Modified, Size and Type header cells.</x:v>
      </x:c>
      <x:c r="I63" s="36" t="str">
        <x:v>Keep compact headers and row content consistent at the same breakpoint, using readable compact metadata or hiding the matching header cells.</x:v>
      </x:c>
      <x:c r="J63" s="36" t="str">
        <x:v>At 680 px and wide width, Details headers match displayed row fields; Icons/Details preserves folder and selection; restoring width restores full metadata.</x:v>
      </x:c>
      <x:c r="K63" s="36" t="str">
        <x:v>GUI-06; LIB-03</x:v>
      </x:c>
      <x:c r="L63" s="36" t="str">
        <x:v>E-083</x:v>
      </x:c>
    </x:row>
    <x:row r="64" ht="165" customHeight="1">
      <x:c r="A64" s="36" t="str">
        <x:v>F-58</x:v>
      </x:c>
      <x:c r="B64" s="36" t="str">
        <x:v>P2</x:v>
      </x:c>
      <x:c r="C64" s="36" t="str">
        <x:v>Terminal marks a reviewable Inbox request unavailable</x:v>
      </x:c>
      <x:c r="D64" s="36" t="str">
        <x:v>Observed cross-surface Inbox action mismatch</x:v>
      </x:c>
      <x:c r="E64" s="36" t="str">
        <x:v>Partial verification; Desktop handoff blocked</x:v>
      </x:c>
      <x:c r="F64" s="36" t="str">
        <x:v>Same installed Home request compared in Terminal and full Desktop Inbox; source renderer reference</x:v>
      </x:c>
      <x:c r="G64" s="36" t="str">
        <x:v>Terminal gives a false dead end for a request that Desktop still offers for review.</x:v>
      </x:c>
      <x:c r="H64" s="36" t="str">
        <x:v>Native Terminal resolved only direct action descriptors, so GUI-owned review requests appeared unavailable. b233d832 adds a bounded selected-request handoff and exact Inbox selection. Its live label is verified, but the direct shell transition still stalls (F44), preventing full delivery proof.</x:v>
      </x:c>
      <x:c r="I64" s="36" t="str">
        <x:v>Represent the request honestly as Desktop-only review with a safe GUI handoff, or return the intended authorized action descriptor. Preserve existing approval and Home ownership boundaries.</x:v>
      </x:c>
      <x:c r="J64" s="36" t="str">
        <x:v>Use a controlled Wallet capability-request fixture. Terminal and Desktop agree on availability; an explicit GUI handoff opens that request without approving, rejecting, marking read or dismissing it.</x:v>
      </x:c>
      <x:c r="K64" s="36" t="str">
        <x:v>CLI-02</x:v>
      </x:c>
      <x:c r="L64" s="36" t="str">
        <x:v>E-087; E-088; E-102; E-104; E-105; E-106</x:v>
      </x:c>
    </x:row>
    <x:row r="65" ht="165" customHeight="1">
      <x:c r="A65" s="36" t="str">
        <x:v>F-59</x:v>
      </x:c>
      <x:c r="B65" s="36" t="str">
        <x:v>P3</x:v>
      </x:c>
      <x:c r="C65" s="36" t="str">
        <x:v>Invalid custom accent silently reverts</x:v>
      </x:c>
      <x:c r="D65" s="36" t="str">
        <x:v>Observed validation feedback gap</x:v>
      </x:c>
      <x:c r="E65" s="36" t="str">
        <x:v>Open; validation feedback</x:v>
      </x:c>
      <x:c r="F65" s="36" t="str">
        <x:v>Brave invalid-input and blur sequence plus matching System validation source</x:v>
      </x:c>
      <x:c r="G65" s="36" t="str">
        <x:v>The user cannot tell why their color entry was rejected.</x:v>
      </x:c>
      <x:c r="H65" s="36" t="str">
        <x:v>System commitAccentCustomHexInput restores appearance controls and returns when color normalization fails, without an inline explanation. The seven-character field accepts not-a-c, then silently returns to #4f7fff on Tab.</x:v>
      </x:c>
      <x:c r="I65" s="36" t="str">
        <x:v>Keep the saved color and show a short inline hexadecimal-format error for rejected input; clear the error after a valid value.</x:v>
      </x:c>
      <x:c r="J65" s="36" t="str">
        <x:v>Enter an invalid seven-character value, blur/Enter and see a format hint while saved color stays unchanged; correct it and verify error clears. Restore original Dark/Blue.</x:v>
      </x:c>
      <x:c r="K65" s="36" t="str">
        <x:v>SYS-08</x:v>
      </x:c>
      <x:c r="L65" s="36" t="str">
        <x:v>E-097</x:v>
      </x:c>
    </x:row>
    <x:row r="66" ht="165" customHeight="1">
      <x:c r="A66" s="36" t="str">
        <x:v>F-60</x:v>
      </x:c>
      <x:c r="B66" s="36" t="str">
        <x:v>P2</x:v>
      </x:c>
      <x:c r="C66" s="36" t="str">
        <x:v>Ready Chat action has no visible result</x:v>
      </x:c>
      <x:c r="D66" s="36" t="str">
        <x:v>Observed installed Terminal action failure</x:v>
      </x:c>
      <x:c r="E66" s="36" t="str">
        <x:v>Open; visible action result missing</x:v>
      </x:c>
      <x:c r="F66" s="36" t="str">
        <x:v>Installed Brave Enter on selected ready action; native renderer path and source action description</x:v>
      </x:c>
      <x:c r="G66" s="36" t="str">
        <x:v>A ready action appears to do nothing, and the user gets no recovery guidance.</x:v>
      </x:c>
      <x:c r="H66" s="36" t="str">
        <x:v>Home CLI shows Chat as ready, but Enter returns the same Home screen for over30seconds without a Chat window or error. Source labels the command as opening Chat. The exact dispatch cause remains unconfirmed; the host-intent verb mismatch is a candidate, not a proven cause. A later check shows the terminal-stopped fallback and retained output; the managed Runtime and native renderer have exited while the gateway remains. The exit cause is unconfirmed.</x:v>
      </x:c>
      <x:c r="I66" s="36" t="str">
        <x:v>Make the declared Chat action open its intended view or show a clear bounded failure. Preserve the Runtime-owned action boundary.</x:v>
      </x:c>
      <x:c r="J66" s="36" t="str">
        <x:v>From the installed Terminal, activate ready Chat and see the intended view or an explicit error. Send no message. Verify unrelated read-only app descriptors remain read-only.</x:v>
      </x:c>
      <x:c r="K66" s="36" t="str">
        <x:v>CLI-01; CLI-03</x:v>
      </x:c>
      <x:c r="L66" s="36" t="str">
        <x:v>E-101</x:v>
      </x:c>
    </x:row>
    <x:row r="67" ht="165" customHeight="1">
      <x:c r="A67" s="36" t="str">
        <x:v>F-61</x:v>
      </x:c>
      <x:c r="B67" s="36" t="str">
        <x:v>P2</x:v>
      </x:c>
      <x:c r="C67" s="36" t="str">
        <x:v>Capsule manifest retained stale asset hashes</x:v>
      </x:c>
      <x:c r="D67" s="36" t="str">
        <x:v>Installation verification gap</x:v>
      </x:c>
      <x:c r="E67" s="36" t="str">
        <x:v>Independently corrected and verified</x:v>
      </x:c>
      <x:c r="F67" s="36" t="str">
        <x:v>Independent installed file-to-manifest hash comparison</x:v>
      </x:c>
      <x:c r="G67" s="36" t="str">
        <x:v>Component metadata can describe an older artifact while Home serves the current file.</x:v>
      </x:c>
      <x:c r="H67" s="36" t="str">
        <x:v>Six installed asset records lagged scoped Home, Home GUI, Home CLI and Documents updates. Source, installed and served bytes matched in prior proofs, but components.json still carried older browser-asset hashes. The install proof checked the manifest receipt hash without comparing each served asset to its manifest entry.</x:v>
      </x:c>
      <x:c r="I67" s="36" t="str">
        <x:v>Restamp only intended capsule metadata, refresh the installation receipt, and verify each changed served asset against its manifest entry.</x:v>
      </x:c>
      <x:c r="J67" s="36" t="str">
        <x:v>Check source/installed/served/manifest equality for all 19 audited UI assets, plus Runtime and native Home CLI hashes. Preserve provider configuration and user state.</x:v>
      </x:c>
      <x:c r="K67" s="36" t="str">
        <x:v>SYS-13</x:v>
      </x:c>
      <x:c r="L67" s="36" t="str">
        <x:v>E-105</x:v>
      </x:c>
    </x:row>
  </x:sheetData>
  <x:mergeCells>
    <x:mergeCell ref="A1:F1"/>
    <x:mergeCell ref="A2:F3"/>
  </x:mergeCells>
  <x:conditionalFormatting sqref="B7:B20">
    <x:cfRule type="cellIs" dxfId="18" priority="1" operator="equal">
      <x:formula>"P1"</x:formula>
    </x:cfRule>
    <x:cfRule type="cellIs" dxfId="19" priority="2" operator="equal">
      <x:formula>"P2"</x:formula>
    </x:cfRule>
    <x:cfRule type="cellIs" dxfId="20" priority="3" operator="equal">
      <x:formula>"P3"</x:formula>
    </x:cfRule>
  </x:conditionalFormatting>
  <x:dataValidations count="2">
    <x:dataValidation type="list" sqref="B7:B20">
      <x:formula1>"P1,P2,P3"</x:formula1>
    </x:dataValidation>
    <x:dataValidation type="list" sqref="E7:E20">
      <x:formula1>"Open,In review,Fixed, unverified,Verified,Deferred"</x:formula1>
    </x:dataValidation>
  </x:dataValidations>
  <x:pageMargins left="0.7" right="0.7" top="0.75" bottom="0.75" header="0.3" footer="0.3"/>
  <x:tableParts count="1">
    <x:tablePart xmlns:r="http://schemas.openxmlformats.org/officeDocument/2006/relationships" r:id="Rfd547cfe09454ea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7.559999942779541" hidden="0" customWidth="1"/>
    <x:col min="2" max="2" width="9.329999923706055" hidden="0" customWidth="1"/>
    <x:col min="3" max="3" width="8.4399995803833" hidden="0" customWidth="1"/>
    <x:col min="4" max="4" width="27.780000686645508" hidden="0" customWidth="1"/>
    <x:col min="5" max="5" width="22.219999313354492" hidden="0" customWidth="1"/>
    <x:col min="6" max="6" width="38.88999938964844" hidden="0" customWidth="1"/>
    <x:col min="7" max="7" width="36.66999816894531" hidden="0" customWidth="1"/>
    <x:col min="8" max="8" width="36.66999816894531" hidden="0" customWidth="1"/>
    <x:col min="9" max="9" width="15" hidden="0" customWidth="1"/>
    <x:col min="10" max="10" width="24.440000534057617" hidden="0" customWidth="1"/>
  </x:cols>
  <x:sheetData>
    <x:row r="1" ht="31.5" customHeight="1">
      <x:c r="A1" s="6" t="str">
        <x:v>Prioritized Plan</x:v>
      </x:c>
      <x:c r="B1" s="6" t="str">
        <x:v>Prioritized Plan</x:v>
      </x:c>
      <x:c r="C1" s="6" t="str">
        <x:v>Prioritized Plan</x:v>
      </x:c>
      <x:c r="D1" s="6" t="str">
        <x:v>Prioritized Plan</x:v>
      </x:c>
      <x:c r="E1" s="6" t="str">
        <x:v>Prioritized Plan</x:v>
      </x:c>
      <x:c r="F1" s="6" t="str">
        <x:v>Prioritized Plan</x:v>
      </x:c>
      <x:c r="G1" s="3"/>
      <x:c r="H1" s="3"/>
      <x:c r="I1" s="3"/>
      <x:c r="J1" s="3"/>
    </x:row>
    <x:row r="2" ht="16.5" customHeight="1">
      <x:c r="A2" s="9" t="str">
        <x:v>Local repair batch and remaining work | Source checks, installed checks and manual journey results are recorded separately.</x:v>
      </x:c>
      <x:c r="B2" s="9" t="str">
        <x:v>Local repair batch and remaining work | Source checks, installed checks and manual journey results are recorded separately.</x:v>
      </x:c>
      <x:c r="C2" s="9" t="str">
        <x:v>Local repair batch and remaining work | Source checks, installed checks and manual journey results are recorded separately.</x:v>
      </x:c>
      <x:c r="D2" s="9" t="str">
        <x:v>Local repair batch and remaining work | Source checks, installed checks and manual journey results are recorded separately.</x:v>
      </x:c>
      <x:c r="E2" s="9" t="str">
        <x:v>Local repair batch and remaining work | Source checks, installed checks and manual journey results are recorded separately.</x:v>
      </x:c>
      <x:c r="F2" s="9" t="str">
        <x:v>Local repair batch and remaining work | Source checks, installed checks and manual journey results are recorded separately.</x:v>
      </x:c>
      <x:c r="G2" s="3"/>
      <x:c r="H2" s="3"/>
      <x:c r="I2" s="3"/>
      <x:c r="J2" s="3"/>
    </x:row>
    <x:row r="3" ht="16.5" customHeight="1">
      <x:c r="A3" s="9" t="str">
        <x:v>Local repair batch and remaining work | Source checks, installed checks and manual journey results are recorded separately.</x:v>
      </x:c>
      <x:c r="B3" s="9" t="str">
        <x:v>Local repair batch and remaining work | Source checks, installed checks and manual journey results are recorded separately.</x:v>
      </x:c>
      <x:c r="C3" s="9" t="str">
        <x:v>Local repair batch and remaining work | Source checks, installed checks and manual journey results are recorded separately.</x:v>
      </x:c>
      <x:c r="D3" s="9" t="str">
        <x:v>Local repair batch and remaining work | Source checks, installed checks and manual journey results are recorded separately.</x:v>
      </x:c>
      <x:c r="E3" s="9" t="str">
        <x:v>Local repair batch and remaining work | Source checks, installed checks and manual journey results are recorded separately.</x:v>
      </x:c>
      <x:c r="F3" s="9" t="str">
        <x:v>Local repair batch and remaining work | Source checks, installed checks and manual journey results are recorded separately.</x:v>
      </x:c>
      <x:c r="G3" s="3"/>
      <x:c r="H3" s="3"/>
      <x:c r="I3" s="3"/>
      <x:c r="J3" s="3"/>
    </x:row>
    <x:row r="4" ht="9" customHeight="1">
      <x:c r="A4" s="3"/>
      <x:c r="B4" s="3"/>
      <x:c r="C4" s="3"/>
      <x:c r="D4" s="3"/>
      <x:c r="E4" s="3"/>
      <x:c r="F4" s="3"/>
      <x:c r="G4" s="3"/>
      <x:c r="H4" s="3"/>
      <x:c r="I4" s="3"/>
      <x:c r="J4" s="3"/>
    </x:row>
    <x:row r="5">
      <x:c r="A5" s="3"/>
      <x:c r="B5" s="3"/>
      <x:c r="C5" s="3"/>
      <x:c r="D5" s="3"/>
      <x:c r="E5" s="3"/>
      <x:c r="F5" s="3"/>
      <x:c r="G5" s="3"/>
      <x:c r="H5" s="3"/>
      <x:c r="I5" s="3"/>
      <x:c r="J5" s="3"/>
    </x:row>
    <x:row r="6" ht="28.5" customHeight="1">
      <x:c r="A6" s="11" t="str">
        <x:v>Order</x:v>
      </x:c>
      <x:c r="B6" s="11" t="str">
        <x:v>Finding</x:v>
      </x:c>
      <x:c r="C6" s="11" t="str">
        <x:v>Priority</x:v>
      </x:c>
      <x:c r="D6" s="11" t="str">
        <x:v>Outcome</x:v>
      </x:c>
      <x:c r="E6" s="11" t="str">
        <x:v>Suggested owner</x:v>
      </x:c>
      <x:c r="F6" s="11" t="str">
        <x:v>Bounded action</x:v>
      </x:c>
      <x:c r="G6" s="11" t="str">
        <x:v>Acceptance proof</x:v>
      </x:c>
      <x:c r="H6" s="11" t="str">
        <x:v>Dependency / gate</x:v>
      </x:c>
      <x:c r="I6" s="11" t="str">
        <x:v>Plan state</x:v>
      </x:c>
      <x:c r="J6" s="11" t="str">
        <x:v>Scope note</x:v>
      </x:c>
    </x:row>
    <x:row r="7" ht="84" customHeight="1">
      <x:c r="A7" s="14" t="n">
        <x:v>1</x:v>
      </x:c>
      <x:c r="B7" s="3" t="str">
        <x:v>F-01</x:v>
      </x:c>
      <x:c r="C7" s="3" t="str">
        <x:f>INDEX('Findings'!$B$7:$B$20,MATCH(B7,'Findings'!$A$7:$A$20,0))</x:f>
        <x:v>P1</x:v>
      </x:c>
      <x:c r="D7" s="3" t="str">
        <x:v>First recovery kit does not cover the later Profile</x:v>
      </x:c>
      <x:c r="E7" s="3" t="str">
        <x:v>Runtime recovery + Home/System</x:v>
      </x:c>
      <x:c r="F7" s="3" t="str">
        <x:v>Keep root protection and current exported-kit coverage distinct. Require a current post-Profile export before claiming full Profile recovery coverage; make success copy match actual bundle contents.</x:v>
      </x:c>
      <x:c r="G7" s="3" t="str">
        <x:v>Export before Profile, create Profile, prove old kit lacks it; export again and restore exact Profile on empty disposable root. Test setup completion and content-aware success copy.</x:v>
      </x:c>
      <x:c r="H7" s="3" t="str">
        <x:v>Review exact cause; preserve current authority and one product path.</x:v>
      </x:c>
      <x:c r="I7" s="3" t="str">
        <x:v>In progress</x:v>
      </x:c>
      <x:c r="J7" s="3" t="str">
        <x:v>Success copy corrected in b3140daa. Coverage repair and old-kit/new-kit empty-machine test remain open; user account state preserved.</x:v>
      </x:c>
    </x:row>
    <x:row r="8" ht="84" customHeight="1">
      <x:c r="A8" s="14" t="n">
        <x:v>2</x:v>
      </x:c>
      <x:c r="B8" s="3" t="str">
        <x:v>F-02</x:v>
      </x:c>
      <x:c r="C8" s="3" t="str">
        <x:f>INDEX('Findings'!$B$7:$B$20,MATCH(B8,'Findings'!$A$7:$A$20,0))</x:f>
        <x:v>P1</x:v>
      </x:c>
      <x:c r="D8" s="3" t="str">
        <x:v>Model provider rejects the Runtime Init envelope</x:v>
      </x:c>
      <x:c r="E8" s="3" t="str">
        <x:v>Model provider + Runtime bridge</x:v>
      </x:c>
      <x:c r="F8" s="3" t="str">
        <x:v>Align the exact existing bridge Init contract in its owning provider parser while preserving strict validation; keep the single provider lifecycle.</x:v>
      </x:c>
      <x:c r="G8" s="3" t="str">
        <x:v>Serialize the real Runtime ProviderConfig and pass it through the model process Init/status path with zero offers; require correct identity/readiness and bounded failure on invalid fields.</x:v>
      </x:c>
      <x:c r="H8" s="3" t="str">
        <x:v>Review exact cause; preserve current authority and one product path.</x:v>
      </x:c>
      <x:c r="I8" s="3" t="str">
        <x:v>Done</x:v>
      </x:c>
      <x:c r="J8" s="3" t="str">
        <x:v>cc82dd32 repair included in installed03757c2b; independent config/process2tests pass. Built release and installed model-provider SHA435701d7 match manifest; real Assistant reaches zero-offer state. Model execution remains separate prerequisite.</x:v>
      </x:c>
    </x:row>
    <x:row r="9" ht="84" customHeight="1">
      <x:c r="A9" s="14" t="n">
        <x:v>3</x:v>
      </x:c>
      <x:c r="B9" s="3" t="str">
        <x:v>F-03</x:v>
      </x:c>
      <x:c r="C9" s="3" t="str">
        <x:f>INDEX('Findings'!$B$7:$B$20,MATCH(B9,'Findings'!$A$7:$A$20,0))</x:f>
        <x:v>P2</x:v>
      </x:c>
      <x:c r="D9" s="3" t="str">
        <x:v>Save Recovery Kit lands on Accounts</x:v>
      </x:c>
      <x:c r="E9" s="3" t="str">
        <x:v>Home/System UI</x:v>
      </x:c>
      <x:c r="F9" s="3" t="str">
        <x:v>Consume the bounded existing section deep link for initial and already-open System navigation.</x:v>
      </x:c>
      <x:c r="G9" s="3" t="str">
        <x:v>Save kit opens Security for a new and existing System window; unknown section leaves a safe default without weakening Home token/origin checks.</x:v>
      </x:c>
      <x:c r="H9" s="3" t="str">
        <x:v>Review exact cause; preserve current authority and one product path.</x:v>
      </x:c>
      <x:c r="I9" s="3" t="str">
        <x:v>In progress</x:v>
      </x:c>
      <x:c r="J9" s="3" t="str">
        <x:v>b3140daa honors Security and focuses recovery before unrelated reads. Browser-backed fixture and installed GUI proof remain open.</x:v>
      </x:c>
    </x:row>
    <x:row r="10" ht="84" customHeight="1">
      <x:c r="A10" s="14" t="n">
        <x:v>4</x:v>
      </x:c>
      <x:c r="B10" s="3" t="str">
        <x:v>F-04</x:v>
      </x:c>
      <x:c r="C10" s="3" t="str">
        <x:f>INDEX('Findings'!$B$7:$B$20,MATCH(B10,'Findings'!$A$7:$A$20,0))</x:f>
        <x:v>P2</x:v>
      </x:c>
      <x:c r="D10" s="3" t="str">
        <x:v>Recovery readiness lacks an explicit refresh</x:v>
      </x:c>
      <x:c r="E10" s="3" t="str">
        <x:v>Home/System read model</x:v>
      </x:c>
      <x:c r="F10" s="3" t="str">
        <x:v>Use the existing Home refresh/read-model path after the successful export and include relevant readiness changes in the cursor.</x:v>
      </x:c>
      <x:c r="G10" s="3" t="str">
        <x:v>Successful export enables the next intended step from refreshed authoritative state; cancellation/failure does not. Use event/state proof, not added sleeps.</x:v>
      </x:c>
      <x:c r="H10" s="3" t="str">
        <x:v>Review exact cause; preserve current authority and one product path.</x:v>
      </x:c>
      <x:c r="I10" s="3" t="str">
        <x:v>In progress</x:v>
      </x:c>
      <x:c r="J10" s="3" t="str">
        <x:v>b3140daa refreshes authoritative Home readiness. Focused Runtime tests pass; live progression awaits retest.</x:v>
      </x:c>
    </x:row>
    <x:row r="11" ht="84" customHeight="1">
      <x:c r="A11" s="14" t="n">
        <x:v>5</x:v>
      </x:c>
      <x:c r="B11" s="3" t="str">
        <x:v>F-05</x:v>
      </x:c>
      <x:c r="C11" s="3" t="str">
        <x:f>INDEX('Findings'!$B$7:$B$20,MATCH(B11,'Findings'!$A$7:$A$20,0))</x:f>
        <x:v>P2</x:v>
      </x:c>
      <x:c r="D11" s="3" t="str">
        <x:v>Profile name suggestion looks like a supplied value</x:v>
      </x:c>
      <x:c r="E11" s="3" t="str">
        <x:v>People UI</x:v>
      </x:c>
      <x:c r="F11" s="3" t="str">
        <x:v>Make acceptance of a suggested name explicit or clearly separate suggestion from entered value; validate nonblank input before submission and preserve user edits.</x:v>
      </x:c>
      <x:c r="G11" s="3" t="str">
        <x:v>Blank/whitespace submit is local and clear; accepted suggestion or typed name creates the intended Profile; refresh does not erase edits.</x:v>
      </x:c>
      <x:c r="H11" s="3" t="str">
        <x:v>Review exact cause; preserve current authority and one product path.</x:v>
      </x:c>
      <x:c r="I11" s="3" t="str">
        <x:v>In progress</x:v>
      </x:c>
      <x:c r="J11" s="3" t="str">
        <x:v>b3140daa adds editable prefill and preserves unfocused edits/blank input. People source test passes; live proof remains open.</x:v>
      </x:c>
    </x:row>
    <x:row r="12" ht="84" customHeight="1">
      <x:c r="A12" s="14" t="n">
        <x:v>6</x:v>
      </x:c>
      <x:c r="B12" s="3" t="str">
        <x:v>F-06</x:v>
      </x:c>
      <x:c r="C12" s="3" t="str">
        <x:f>INDEX('Findings'!$B$7:$B$20,MATCH(B12,'Findings'!$A$7:$A$20,0))</x:f>
        <x:v>P2</x:v>
      </x:c>
      <x:c r="D12" s="3" t="str">
        <x:v>Included game icons resolve to 404</x:v>
      </x:c>
      <x:c r="E12" s="3" t="str">
        <x:v>Runtime capsule asset route</x:v>
      </x:c>
      <x:c r="F12" s="3" t="str">
        <x:v>Let the existing admitted-asset path serve only declared icon variants for admitted content capsules. Keep assets capsule-owned.</x:v>
      </x:c>
      <x:c r="G12" s="3" t="str">
        <x:v>Both exact declared icon routes return correct image bytes; undeclared asset/ROM/traversal/symlink requests remain denied.</x:v>
      </x:c>
      <x:c r="H12" s="3" t="str">
        <x:v>Review exact cause; preserve current authority and one product path.</x:v>
      </x:c>
      <x:c r="I12" s="3" t="str">
        <x:v>Done</x:v>
      </x:c>
      <x:c r="J12" s="3" t="str">
        <x:v>Both declared game icons render in Brave desktop and launcher at bd61484c; prior installed/source/served hashes pass. Game playback remains separate.</x:v>
      </x:c>
    </x:row>
    <x:row r="13" ht="84" customHeight="1">
      <x:c r="A13" s="14" t="n">
        <x:v>7</x:v>
      </x:c>
      <x:c r="B13" s="3" t="str">
        <x:v>F-07</x:v>
      </x:c>
      <x:c r="C13" s="3" t="str">
        <x:f>INDEX('Findings'!$B$7:$B$20,MATCH(B13,'Findings'!$A$7:$A$20,0))</x:f>
        <x:v>P2</x:v>
      </x:c>
      <x:c r="D13" s="3" t="str">
        <x:v>Initial desktop spacing may reflect hidden target slots</x:v>
      </x:c>
      <x:c r="E13" s="3" t="str">
        <x:v>Home desktop layout</x:v>
      </x:c>
      <x:c r="F13" s="3" t="str">
        <x:v>Allocate default positions from visible initial entries; preserve deliberate saved layouts and separate dock membership.</x:v>
      </x:c>
      <x:c r="G13" s="3" t="str">
        <x:v>Fresh sparse catalog is compact; narrow viewport has no overlap; saved manual positions survive reload/addition.</x:v>
      </x:c>
      <x:c r="H13" s="3" t="str">
        <x:v>Review exact cause; preserve current authority and one product path.</x:v>
      </x:c>
      <x:c r="I13" s="3" t="str">
        <x:v>In progress</x:v>
      </x:c>
      <x:c r="J13" s="3" t="str">
        <x:v>48e69d1b seeds visible positions and preserves saved layout. Home regression passes; live placement awaits retest.</x:v>
      </x:c>
    </x:row>
    <x:row r="14" ht="84" customHeight="1">
      <x:c r="A14" s="14" t="n">
        <x:v>8</x:v>
      </x:c>
      <x:c r="B14" s="3" t="str">
        <x:v>F-08</x:v>
      </x:c>
      <x:c r="C14" s="3" t="str">
        <x:f>INDEX('Findings'!$B$7:$B$20,MATCH(B14,'Findings'!$A$7:$A$20,0))</x:f>
        <x:v>P2</x:v>
      </x:c>
      <x:c r="D14" s="3" t="str">
        <x:v>Model runtime installed, but no initial model/offer is selected</x:v>
      </x:c>
      <x:c r="E14" s="3" t="str">
        <x:v>Operator + model owner</x:v>
      </x:c>
      <x:c r="F14" s="3" t="str">
        <x:v>First repair Init. Then make one explicit operator model/offer decision and present truthful zero-offer guidance; do not invent a default backend or hide a download.</x:v>
      </x:c>
      <x:c r="G14" s="3" t="str">
        <x:v>Zero offers renders clearly; one approved offer enables only supported modes and preserves typed lifecycle/cancel/output checks.</x:v>
      </x:c>
      <x:c r="H14" s="3" t="str">
        <x:v>F-02, then explicit model/offer decision.</x:v>
      </x:c>
      <x:c r="I14" s="3" t="str">
        <x:v>Proposed</x:v>
      </x:c>
      <x:c r="J14" s="3" t="str">
        <x:v>Awaiting review of this action.</x:v>
      </x:c>
    </x:row>
    <x:row r="15" ht="84" customHeight="1">
      <x:c r="A15" s="14" t="n">
        <x:v>9</x:v>
      </x:c>
      <x:c r="B15" s="3" t="str">
        <x:v>F-09</x:v>
      </x:c>
      <x:c r="C15" s="3" t="str">
        <x:f>INDEX('Findings'!$B$7:$B$20,MATCH(B15,'Findings'!$A$7:$A$20,0))</x:f>
        <x:v>P2</x:v>
      </x:c>
      <x:c r="D15" s="3" t="str">
        <x:v>Remote model discovery and model-byte retrieval are different gaps</x:v>
      </x:c>
      <x:c r="E15" s="3" t="str">
        <x:v>Later service/content design</x:v>
      </x:c>
      <x:c r="F15" s="3" t="str">
        <x:v>Keep zero-offer onboarding bounded to current supported offers. Plan remote discovery/grants separately from approved artifact retrieval/loading, with explicit ownership at each step.</x:v>
      </x:c>
      <x:c r="G15" s="3" t="str">
        <x:v>Future tests must independently prove publisher identity, artifact integrity/availability, compatible loader, offer admission/grant and selected invocation; no single DID/CID substitutes for all.</x:v>
      </x:c>
      <x:c r="H15" s="3" t="str">
        <x:v>Separate design scope; not part of this source fix.</x:v>
      </x:c>
      <x:c r="I15" s="3" t="str">
        <x:v>Proposed</x:v>
      </x:c>
      <x:c r="J15" s="3" t="str">
        <x:v>Awaiting review of this action.</x:v>
      </x:c>
    </x:row>
    <x:row r="16" ht="84" customHeight="1">
      <x:c r="A16" s="14" t="n">
        <x:v>10</x:v>
      </x:c>
      <x:c r="B16" s="3" t="str">
        <x:v>F-10</x:v>
      </x:c>
      <x:c r="C16" s="3" t="str">
        <x:f>INDEX('Findings'!$B$7:$B$20,MATCH(B16,'Findings'!$A$7:$A$20,0))</x:f>
        <x:v>P2</x:v>
      </x:c>
      <x:c r="D16" s="3" t="str">
        <x:v>Mint is blocked in this installation; video action is conditional</x:v>
      </x:c>
      <x:c r="E16" s="3" t="str">
        <x:v>Operator + protected-content owners</x:v>
      </x:c>
      <x:c r="F16" s="3" t="str">
        <x:v>Expose Runtime-owned readiness and a discoverable path to the eligible-video action. Resolve signed custody and private Chain prerequisites before controlled mint proof; keep the missing menu interaction as a separate tool-blocked check.</x:v>
      </x:c>
      <x:c r="G16" s="3" t="str">
        <x:v>After approved prerequisite setup, inspect eligible/ineligible video visibility and exact terms; then separately authorize mint/list/deny/buy/play with receipts and cleanup. Current evidence: mint-readiness-evidence.md, B-03.</x:v>
      </x:c>
      <x:c r="H16" s="3" t="str">
        <x:v>Signed custody, Chain evidence, funds and availability; controlled installed gate.</x:v>
      </x:c>
      <x:c r="I16" s="3" t="str">
        <x:v>Blocked</x:v>
      </x:c>
      <x:c r="J16" s="3" t="str">
        <x:v>Final read-only E-040 still requires valid Chain config, signed custody composition and active mint/buy/play proof. Static proof also has shared-target lookup and Kubo binary-verification gaps. No funding or financial action taken.</x:v>
      </x:c>
    </x:row>
    <x:row r="17" ht="84" customHeight="1">
      <x:c r="A17" s="14" t="n">
        <x:v>11</x:v>
      </x:c>
      <x:c r="B17" s="3" t="str">
        <x:v>F-11</x:v>
      </x:c>
      <x:c r="C17" s="3" t="str">
        <x:f>INDEX('Findings'!$B$7:$B$20,MATCH(B17,'Findings'!$A$7:$A$20,0))</x:f>
        <x:v>P2</x:v>
      </x:c>
      <x:c r="D17" s="3" t="str">
        <x:v>Portable listing import exists without a dedicated visible entry control</x:v>
      </x:c>
      <x:c r="E17" s="3" t="str">
        <x:v>Library/Marketplace UI</x:v>
      </x:c>
      <x:c r="F17" s="3" t="str">
        <x:v>After live confirmation, consider one bounded existing-app entry for the canonical listing URI through the existing import operation; no market index or new route.</x:v>
      </x:c>
      <x:c r="G17" s="3" t="str">
        <x:v>Valid URI imports then lists; malformed URI/denied package stay clear; no caller account/chain/provider fields.</x:v>
      </x:c>
      <x:c r="H17" s="3" t="str">
        <x:v>Confirm live shared-link entry behavior before selecting a UI change.</x:v>
      </x:c>
      <x:c r="I17" s="3" t="str">
        <x:v>Proposed</x:v>
      </x:c>
      <x:c r="J17" s="3" t="str">
        <x:v>Awaiting review of this action.</x:v>
      </x:c>
    </x:row>
    <x:row r="18" ht="84" customHeight="1">
      <x:c r="A18" s="14" t="n">
        <x:v>12</x:v>
      </x:c>
      <x:c r="B18" s="3" t="str">
        <x:v>F-12</x:v>
      </x:c>
      <x:c r="C18" s="3" t="str">
        <x:f>INDEX('Findings'!$B$7:$B$20,MATCH(B18,'Findings'!$A$7:$A$20,0))</x:f>
        <x:v>P3</x:v>
      </x:c>
      <x:c r="D18" s="3" t="str">
        <x:v>Catalog install affordance is not a current Marketplace install UI</x:v>
      </x:c>
      <x:c r="E18" s="3" t="str">
        <x:v>Catalog/installer owner</x:v>
      </x:c>
      <x:c r="F18" s="3" t="str">
        <x:v>Clarify the current surfaced scope after live review. A new installer journey requires its own reviewed admission/integrity design.</x:v>
      </x:c>
      <x:c r="G18" s="3" t="str">
        <x:v>Catalog-only item has truthful state; current Open behavior remains correct.</x:v>
      </x:c>
      <x:c r="H18" s="3" t="str">
        <x:v>Review exact cause; preserve current authority and one product path.</x:v>
      </x:c>
      <x:c r="I18" s="3" t="str">
        <x:v>Proposed</x:v>
      </x:c>
      <x:c r="J18" s="3" t="str">
        <x:v>Awaiting review of this action.</x:v>
      </x:c>
    </x:row>
    <x:row r="19" ht="84" customHeight="1">
      <x:c r="A19" s="14" t="n">
        <x:v>13</x:v>
      </x:c>
      <x:c r="B19" s="3" t="str">
        <x:v>F-13</x:v>
      </x:c>
      <x:c r="C19" s="3" t="str">
        <x:f>INDEX('Findings'!$B$7:$B$20,MATCH(B19,'Findings'!$A$7:$A$20,0))</x:f>
        <x:v>P2</x:v>
      </x:c>
      <x:c r="D19" s="3" t="str">
        <x:v>Media tools and Browser VM assets are explicit setup prerequisites</x:v>
      </x:c>
      <x:c r="E19" s="3" t="str">
        <x:v>Setup/operator + media/Browser owners</x:v>
      </x:c>
      <x:c r="F19" s="3" t="str">
        <x:v>Verify existing canonical tool/config and VM artifact receipts, then schedule bounded manual proof. No product source change is proposed by this observation.</x:v>
      </x:c>
      <x:c r="G19" s="3" t="str">
        <x:v>Approved disposable media preparation and Browser audio/video/input/close proof against the installed receipt, with no account or user-content changes.</x:v>
      </x:c>
      <x:c r="H19" s="3" t="str">
        <x:v>Review exact cause; preserve current authority and one product path.</x:v>
      </x:c>
      <x:c r="I19" s="3" t="str">
        <x:v>Proposed</x:v>
      </x:c>
      <x:c r="J19" s="3" t="str">
        <x:v>Awaiting review of this action.</x:v>
      </x:c>
    </x:row>
    <x:row r="20" ht="84" customHeight="1">
      <x:c r="A20" s="14" t="n">
        <x:v>14</x:v>
      </x:c>
      <x:c r="B20" s="3" t="str">
        <x:v>F-14</x:v>
      </x:c>
      <x:c r="C20" s="3" t="str">
        <x:f>INDEX('Findings'!$B$7:$B$20,MATCH(B20,'Findings'!$A$7:$A$20,0))</x:f>
        <x:v>P2</x:v>
      </x:c>
      <x:c r="D20" s="3" t="str">
        <x:v>Creator price entry exposes raw base units</x:v>
      </x:c>
      <x:c r="E20" s="3" t="str">
        <x:v>Library UI + Runtime token projection</x:v>
      </x:c>
      <x:c r="F20" s="3" t="str">
        <x:v>Present human price using exact operator-projected pay-token symbol/decimals and bind its exact integer base-unit value. Keep Runtime/Wallet/Chain authority; do not assume 18 decimals or invent a symbol.</x:v>
      </x:c>
      <x:c r="G20" s="3" t="str">
        <x:v>Approved dialog proof with known token metadata, zero and non-18 decimals, exact conversion/round-trip and unchanged typed terms. Missing metadata gives useful guidance; cancel before any effect.</x:v>
      </x:c>
      <x:c r="H20" s="3" t="str">
        <x:v>Review exact cause; preserve current authority and one product path.</x:v>
      </x:c>
      <x:c r="I20" s="3" t="str">
        <x:v>Proposed</x:v>
      </x:c>
      <x:c r="J20" s="3" t="str">
        <x:v>Awaiting review of this action.</x:v>
      </x:c>
    </x:row>
    <x:row r="21" ht="165" customHeight="1">
      <x:c r="A21" s="36" t="n">
        <x:v>15</x:v>
      </x:c>
      <x:c r="B21" s="36" t="str">
        <x:v>F-15</x:v>
      </x:c>
      <x:c r="C21" s="36" t="str">
        <x:v>P2</x:v>
      </x:c>
      <x:c r="D21" s="36" t="str">
        <x:v>Home Search has no panel markup</x:v>
      </x:c>
      <x:c r="E21" s="36" t="str">
        <x:v>v0.7 Builder</x:v>
      </x:c>
      <x:c r="F21" s="36" t="str">
        <x:v>Restore the accessible Spotlight template behind the existing Runtime-projected search and launch path.</x:v>
      </x:c>
      <x:c r="G21" s="36" t="str">
        <x:v>Click and keyboard open/focus; matching and absent queries; launch known app; Escape closes and returns focus. Verify installed artifact parity and Brave.</x:v>
      </x:c>
      <x:c r="H21" s="36" t="str">
        <x:v>Independent source and installed Brave proof</x:v>
      </x:c>
      <x:c r="I21" s="36" t="str">
        <x:v>Done</x:v>
      </x:c>
      <x:c r="J21" s="36" t="str">
        <x:v>Independent source tests, source/installed/served parity and Brave retest pass at 2e9644d2. E-036/E-037. Harmless file-search branch remains pending.</x:v>
      </x:c>
    </x:row>
    <x:row r="22" ht="165" customHeight="1">
      <x:c r="A22" s="36" t="n">
        <x:v>16</x:v>
      </x:c>
      <x:c r="B22" s="36" t="str">
        <x:v>F-16</x:v>
      </x:c>
      <x:c r="C22" s="36" t="str">
        <x:v>P1</x:v>
      </x:c>
      <x:c r="D22" s="36" t="str">
        <x:v>Assistant stops during Clipboard initialization</x:v>
      </x:c>
      <x:c r="E22" s="36" t="str">
        <x:v>v0.7 Builder</x:v>
      </x:c>
      <x:c r="F22" s="36" t="str">
        <x:v>Repair trusted Home origin initialization and retain source-window, token, generation and origin validation.</x:v>
      </x:c>
      <x:c r="G22" s="36" t="str">
        <x:v>Valid zero-offer startup; Chat/Build/Studio switch; Send disabled without offers; wrong-origin and opaque-frame Clipboard tests.</x:v>
      </x:c>
      <x:c r="H22" s="36" t="str">
        <x:v>Independent source and installed Brave proof</x:v>
      </x:c>
      <x:c r="I22" s="36" t="str">
        <x:v>Done</x:v>
      </x:c>
      <x:c r="J22" s="36" t="str">
        <x:v>2e9644d2 startup repair passes source, installed and Brave checks; rechecked at03757c2b. Separate F-17 save repair also verified. Clipboard headless fixture remains unrun.</x:v>
      </x:c>
    </x:row>
    <x:row r="23" ht="165" customHeight="1">
      <x:c r="A23" s="36" t="n">
        <x:v>17</x:v>
      </x:c>
      <x:c r="B23" s="36" t="str">
        <x:v>F-17</x:v>
      </x:c>
      <x:c r="C23" s="36" t="str">
        <x:v>P1</x:v>
      </x:c>
      <x:c r="D23" s="36" t="str">
        <x:v>Assistant workspace writes use the wrong HTTP method</x:v>
      </x:c>
      <x:c r="E23" s="36" t="str">
        <x:v>v0.7 Builder</x:v>
      </x:c>
      <x:c r="F23" s="36" t="str">
        <x:v>Send workspace writes as PUT with JSON headers/body; retain Home token, revision and conflict behavior.</x:v>
      </x:c>
      <x:c r="G23" s="36" t="str">
        <x:v>Enforce PUT+JSON contract in smoke tests; independently verify installed mode save and reload using only the empty workspace.</x:v>
      </x:c>
      <x:c r="H23" s="36" t="str">
        <x:v>Independent source and installed Brave proof</x:v>
      </x:c>
      <x:c r="I23" s="36" t="str">
        <x:v>Done</x:v>
      </x:c>
      <x:c r="J23" s="36" t="str">
        <x:v>03757c2b independent source review, Assistant smoke, entropy, both Rust fmt gates, installed parity and Brave empty-workspace save/reopen pass. E-038/E-039.</x:v>
      </x:c>
    </x:row>
    <x:row r="24" ht="165" customHeight="1">
      <x:c r="A24" s="36" t="n">
        <x:v>18</x:v>
      </x:c>
      <x:c r="B24" s="36" t="str">
        <x:v>F-18</x:v>
      </x:c>
      <x:c r="C24" s="36" t="str">
        <x:v>P2</x:v>
      </x:c>
      <x:c r="D24" s="36" t="str">
        <x:v>About and Shortcuts menu entries have no panels</x:v>
      </x:c>
      <x:c r="E24" s="36" t="str">
        <x:v>v0.7 Builder</x:v>
      </x:c>
      <x:c r="F24" s="36" t="str">
        <x:v>Restore accessible About and Shortcuts panels behind existing handlers, or route the entries to their canonical existing destinations. Keep runtime facts authoritative.</x:v>
      </x:c>
      <x:c r="G24" s="36" t="str">
        <x:v>Pointer/keyboard open, visible content, Escape/close focus return, About-to-System deep link, and installed Brave parity.</x:v>
      </x:c>
      <x:c r="H24" s="36" t="str">
        <x:v>Independent source and installed Brave proof</x:v>
      </x:c>
      <x:c r="I24" s="36" t="str">
        <x:v>Done</x:v>
      </x:c>
      <x:c r="J24" s="36" t="str">
        <x:v>b1586c5e source review/smoke, dc0f5e46 installed parity, Brave keyboard/pointer About, Escape focus return, More Info→System About and Shortcuts pass. E055/E056.</x:v>
      </x:c>
    </x:row>
    <x:row r="25" ht="165" customHeight="1">
      <x:c r="A25" s="36" t="n">
        <x:v>19</x:v>
      </x:c>
      <x:c r="B25" s="36" t="str">
        <x:v>F-19</x:v>
      </x:c>
      <x:c r="C25" s="36" t="str">
        <x:v>P1</x:v>
      </x:c>
      <x:c r="D25" s="36" t="str">
        <x:v>Incoming Carrier diagnostics expose dial addresses</x:v>
      </x:c>
      <x:c r="E25" s="36" t="str">
        <x:v>v0.7 Builder</x:v>
      </x:c>
      <x:c r="F25" s="36" t="str">
        <x:v>Keep detailed transport diagnostics Runtime-private and return bounded safe provider errors; retain Irzhy's deterministic tests and portability fixes.</x:v>
      </x:c>
      <x:c r="G25" s="36" t="str">
        <x:v>Regression with private endpoint sentinel; verify capsule-facing errors exclude routes/causes and operator logging remains useful. Run focused touched tests and independent source review before install.</x:v>
      </x:c>
      <x:c r="H25" s="36" t="str">
        <x:v>Independent source and installed Brave proof</x:v>
      </x:c>
      <x:c r="I25" s="36" t="str">
        <x:v>Done</x:v>
      </x:c>
      <x:c r="J25" s="36" t="str">
        <x:v>Independent diff review and both focused Rust privacy tests pass. 8317044e is included in installed6edc667b Runtime with exact E057 parity. External failure was not injected into the user's live service.</x:v>
      </x:c>
    </x:row>
    <x:row r="26" ht="165" customHeight="1">
      <x:c r="A26" s="36" t="n">
        <x:v>20</x:v>
      </x:c>
      <x:c r="B26" s="36" t="str">
        <x:v>F-20</x:v>
      </x:c>
      <x:c r="C26" s="36" t="str">
        <x:v>P1</x:v>
      </x:c>
      <x:c r="D26" s="36" t="str">
        <x:v>Browser socket directories lack owner validation</x:v>
      </x:c>
      <x:c r="E26" s="36" t="str">
        <x:v>v0.7 Builder</x:v>
      </x:c>
      <x:c r="F26" s="36" t="str">
        <x:v>Adapt private owner-only Browser socket root to current lifecycle and macOS path-length constraints; fail closed on unsafe pre-existing targets.</x:v>
      </x:c>
      <x:c r="G26" s="36" t="str">
        <x:v>Owner/mode/symlink/foreign-path tests plus stable socket identity, path-length and cleanup regression; installed parity after reviewed repair.</x:v>
      </x:c>
      <x:c r="H26" s="36" t="str">
        <x:v>Independent source and installed Brave proof</x:v>
      </x:c>
      <x:c r="I26" s="36" t="str">
        <x:v>Done</x:v>
      </x:c>
      <x:c r="J26" s="36" t="str">
        <x:v>7b99215b five safety tests and route ownership test pass. Code is in gateway_browser_stream.rs, included in installed6edc667b Runtime E057. During live Browser attempt, both Runtime socket roots are owned501 mode0700. Browser media/session F43 remains separate.</x:v>
      </x:c>
    </x:row>
    <x:row r="27" ht="165" customHeight="1">
      <x:c r="A27" s="36" t="n">
        <x:v>21</x:v>
      </x:c>
      <x:c r="B27" s="36" t="str">
        <x:v>F-21</x:v>
      </x:c>
      <x:c r="C27" s="36" t="str">
        <x:v>P2</x:v>
      </x:c>
      <x:c r="D27" s="36" t="str">
        <x:v>Wallet timeout tests retain real-clock races</x:v>
      </x:c>
      <x:c r="E27" s="36" t="str">
        <x:v>v0.7 Builder</x:v>
      </x:c>
      <x:c r="F27" s="36" t="str">
        <x:v>Adapt paused-clock ordering and virtual elapsed measurement from the historical patches; retain strict timeout, second-read and late-result assertions.</x:v>
      </x:c>
      <x:c r="G27" s="36" t="str">
        <x:v>Focused repeated wallet_read_timeout_does_not_poison tests under load; verify deterministic virtual-time completion.</x:v>
      </x:c>
      <x:c r="H27" s="36" t="str">
        <x:v>Independent source and installed Brave proof</x:v>
      </x:c>
      <x:c r="I27" s="36" t="str">
        <x:v>Done</x:v>
      </x:c>
      <x:c r="J27" s="36" t="str">
        <x:v>17561bf7 independently reviewed. Two Wallet timeout tests and two Browser stale/hanging cleanup retry tests pass viaCargo and8parallel runs perpair. No production behavior claim from test-only change.</x:v>
      </x:c>
    </x:row>
    <x:row r="28" ht="165" customHeight="1">
      <x:c r="A28" s="36" t="n">
        <x:v>22</x:v>
      </x:c>
      <x:c r="B28" s="36" t="str">
        <x:v>F-22</x:v>
      </x:c>
      <x:c r="C28" s="36" t="str">
        <x:v>P2</x:v>
      </x:c>
      <x:c r="D28" s="36" t="str">
        <x:v>Library properties text is unreadable in Dark theme</x:v>
      </x:c>
      <x:c r="E28" s="36" t="str">
        <x:v>v0.7 Builder</x:v>
      </x:c>
      <x:c r="F28" s="36" t="str">
        <x:v>Use consistent shared theme surface/ink tokens for Properties and related table content. Preserve public facts and existing layout.</x:v>
      </x:c>
      <x:c r="G28" s="36" t="str">
        <x:v>Dark and Light General/Technical screenshots with readable text, keyboard close/focus, and source/installed/served stylesheet parity.</x:v>
      </x:c>
      <x:c r="H28" s="36" t="str">
        <x:v>Independent source and installed Brave proof</x:v>
      </x:c>
      <x:c r="I28" s="36" t="str">
        <x:v>Done</x:v>
      </x:c>
      <x:c r="J28" s="36" t="str">
        <x:v>dc0f5e46 installed parity and Brave General/Technical screenshots pass in Dark and Light; footer readable. Dark/Blue restored. Separate keyboard-modal defect F46 logged.</x:v>
      </x:c>
    </x:row>
    <x:row r="29" ht="165" customHeight="1">
      <x:c r="A29" s="36" t="n">
        <x:v>23</x:v>
      </x:c>
      <x:c r="B29" s="36" t="str">
        <x:v>F-23</x:v>
      </x:c>
      <x:c r="C29" s="36" t="str">
        <x:v>P1</x:v>
      </x:c>
      <x:c r="D29" s="36" t="str">
        <x:v>Incomplete Markdown heading hangs Documents rendering</x:v>
      </x:c>
      <x:c r="E29" s="36" t="str">
        <x:v>v0.7 Builder</x:v>
      </x:c>
      <x:c r="F29" s="36" t="str">
        <x:v>Ensure Markdown parsing advances for every input line; render incomplete headings as safe text or empty heading. Keep safe rendering and normal headings intact.</x:v>
      </x:c>
      <x:c r="G29" s="36" t="str">
        <x:v>Bounded regression for '# ', heading levels1-6, incomplete list/task/fence/table constructs; incremental editor typing in installed Brave, no stall, correct autosave.</x:v>
      </x:c>
      <x:c r="H29" s="36" t="str">
        <x:v>Independent source and installed Brave proof</x:v>
      </x:c>
      <x:c r="I29" s="36" t="str">
        <x:v>Done</x:v>
      </x:c>
      <x:c r="J29" s="36" t="str">
        <x:v>f00948ab source review/layout smoke and dc0f5e46 installed parity pass. Brave '# ' input, continued headings/tasks, autosave, Write/Split/Read and fresh app reopening remain responsive. Separate link parsing issue F-45 logged.</x:v>
      </x:c>
    </x:row>
    <x:row r="30" ht="165" customHeight="1">
      <x:c r="A30" s="36" t="n">
        <x:v>24</x:v>
      </x:c>
      <x:c r="B30" s="36" t="str">
        <x:v>F-24</x:v>
      </x:c>
      <x:c r="C30" s="36" t="str">
        <x:v>P2</x:v>
      </x:c>
      <x:c r="D30" s="36" t="str">
        <x:v>Library file shortcuts override focused toolbar controls</x:v>
      </x:c>
      <x:c r="E30" s="36" t="str">
        <x:v>v0.7 Builder</x:v>
      </x:c>
      <x:c r="F30" s="36" t="str">
        <x:v>Preserve native interactive-control keyboard behavior and scope file shortcuts to the file selection surface.</x:v>
      </x:c>
      <x:c r="G30" s="36" t="str">
        <x:v>With an audit file selected, Enter on Back navigates and Enter on New folder opens its dialog. File Enter still opens the selection; menus and dialogs retain keyboard ownership.</x:v>
      </x:c>
      <x:c r="H30" s="36" t="str">
        <x:v>Independent source and installed Brave proof</x:v>
      </x:c>
      <x:c r="I30" s="36" t="str">
        <x:v>Done</x:v>
      </x:c>
      <x:c r="J30" s="36" t="str">
        <x:v>782b8483 source tests, E055/E057 installed parity and Brave Back/Forward/New folder Enter retest pass with an audit file selected. E059.</x:v>
      </x:c>
    </x:row>
    <x:row r="31" ht="165" customHeight="1">
      <x:c r="A31" s="36" t="n">
        <x:v>25</x:v>
      </x:c>
      <x:c r="B31" s="36" t="str">
        <x:v>F-25</x:v>
      </x:c>
      <x:c r="C31" s="36" t="str">
        <x:v>P2</x:v>
      </x:c>
      <x:c r="D31" s="36" t="str">
        <x:v>Library cannot retry a corrected name after a failed create</x:v>
      </x:c>
      <x:c r="E31" s="36" t="str">
        <x:v>v0.7 Builder</x:v>
      </x:c>
      <x:c r="F31" s="36" t="str">
        <x:v>Release the submit guard on failure and show a bounded name-validation message while keeping the editor active.</x:v>
      </x:c>
      <x:c r="G31" s="36" t="str">
        <x:v>Invalid folder name fails, then a valid audit name succeeds on retry; double-submit remains single-effect and Escape removes the draft.</x:v>
      </x:c>
      <x:c r="H31" s="36" t="str">
        <x:v>Independent source and installed Brave proof</x:v>
      </x:c>
      <x:c r="I31" s="36" t="str">
        <x:v>In progress</x:v>
      </x:c>
      <x:c r="J31" s="36" t="str">
        <x:v>Source retry repair and installed invalid-name→corrected-name path pass. One audit-retry-verified folder created. Generic error omits name guidance; remaining feedback queued with F48. E059.</x:v>
      </x:c>
    </x:row>
    <x:row r="32" ht="165" customHeight="1">
      <x:c r="A32" s="36" t="n">
        <x:v>26</x:v>
      </x:c>
      <x:c r="B32" s="36" t="str">
        <x:v>F-26</x:v>
      </x:c>
      <x:c r="C32" s="36" t="str">
        <x:v>P1</x:v>
      </x:c>
      <x:c r="D32" s="36" t="str">
        <x:v>Library New Text Document can replace an existing file</x:v>
      </x:c>
      <x:c r="E32" s="36" t="str">
        <x:v>v0.7 Builder</x:v>
      </x:c>
      <x:c r="F32" s="36" t="str">
        <x:v>Use a Runtime-enforced atomic create-only condition for New, with clear collision feedback and preservation of existing bytes; handle stale listing races.</x:v>
      </x:c>
      <x:c r="G32" s="36" t="str">
        <x:v>A disposable existing file retains bytes/revision on duplicate New; racing creates yield one success and one clear conflict. Ordinary intentional saves still work.</x:v>
      </x:c>
      <x:c r="H32" s="36" t="str">
        <x:v>Independent source and installed Brave proof</x:v>
      </x:c>
      <x:c r="I32" s="36" t="str">
        <x:v>Done</x:v>
      </x:c>
      <x:c r="J32" s="36" t="str">
        <x:v>E066/E067480810fe Runtime+freshobject-provider1e6... parity passes. Duplicateau.mdNewreturnsdestinationexists and preserves70Bbody/mtime. Correctednamecreatesexactlyoneauditfile; sourceatomicracesafetytests already pass. F25/F48separate.</x:v>
      </x:c>
    </x:row>
    <x:row r="33" ht="165" customHeight="1">
      <x:c r="A33" s="36" t="n">
        <x:v>27</x:v>
      </x:c>
      <x:c r="B33" s="36" t="str">
        <x:v>F-27</x:v>
      </x:c>
      <x:c r="C33" s="36" t="str">
        <x:v>P2</x:v>
      </x:c>
      <x:c r="D33" s="36" t="str">
        <x:v>Chat heading overlaps Home window controls</x:v>
      </x:c>
      <x:c r="E33" s="36" t="str">
        <x:v>v0.7 Builder</x:v>
      </x:c>
      <x:c r="F33" s="36" t="str">
        <x:v>Apply the shared Home chrome inset to the Chat sidebar header while preserving compact and standalone layouts.</x:v>
      </x:c>
      <x:c r="G33" s="36" t="str">
        <x:v>Installed normal, fullscreen and narrow Chat show a readable heading and reachable Home controls with one chrome layer.</x:v>
      </x:c>
      <x:c r="H33" s="36" t="str">
        <x:v>Independent source and installed Brave proof</x:v>
      </x:c>
      <x:c r="I33" s="36" t="str">
        <x:v>In progress</x:v>
      </x:c>
      <x:c r="J33" s="36" t="str">
        <x:v>One bounded defect; preserve user state.</x:v>
      </x:c>
    </x:row>
    <x:row r="34" ht="165" customHeight="1">
      <x:c r="A34" s="36" t="n">
        <x:v>28</x:v>
      </x:c>
      <x:c r="B34" s="36" t="str">
        <x:v>F-28</x:v>
      </x:c>
      <x:c r="C34" s="36" t="str">
        <x:v>P2</x:v>
      </x:c>
      <x:c r="D34" s="36" t="str">
        <x:v>Chat attachment button loses its name and gives no picker feedback</x:v>
      </x:c>
      <x:c r="E34" s="36" t="str">
        <x:v>v0.7 Builder</x:v>
      </x:c>
      <x:c r="F34" s="36" t="str">
        <x:v>Keep an accessible Attach name and repair or explain the exact Home-owned picker handoff without sending or attaching automatically.</x:v>
      </x:c>
      <x:c r="G34" s="36" t="str">
        <x:v>Room Attach is named and opens the scoped Library picker; cancel returns focus. Direct mode remains explicitly unavailable.</x:v>
      </x:c>
      <x:c r="H34" s="36" t="str">
        <x:v>Independent source and installed Brave proof</x:v>
      </x:c>
      <x:c r="I34" s="36" t="str">
        <x:v>In progress</x:v>
      </x:c>
      <x:c r="J34" s="36" t="str">
        <x:v>One bounded defect; preserve user state.</x:v>
      </x:c>
    </x:row>
    <x:row r="35" ht="165" customHeight="1">
      <x:c r="A35" s="36" t="n">
        <x:v>29</x:v>
      </x:c>
      <x:c r="B35" s="36" t="str">
        <x:v>F-29</x:v>
      </x:c>
      <x:c r="C35" s="36" t="str">
        <x:v>P2</x:v>
      </x:c>
      <x:c r="D35" s="36" t="str">
        <x:v>Wallet and Inbox rails are missing from Home markup</x:v>
      </x:c>
      <x:c r="E35" s="36" t="str">
        <x:v>v0.7 Builder</x:v>
      </x:c>
      <x:c r="F35" s="36" t="str">
        <x:v>Restore the existing Wallet and Inbox rail structures and bindings with exact session/parent ownership; keep close/focus and full-window handoff behavior.</x:v>
      </x:c>
      <x:c r="G35" s="36" t="str">
        <x:v>Both rails open, close, refresh and hand off to full apps. Pending request counts agree; notification review opens the named destination without approval.</x:v>
      </x:c>
      <x:c r="H35" s="36" t="str">
        <x:v>Independent source and installed Brave proof</x:v>
      </x:c>
      <x:c r="I35" s="36" t="str">
        <x:v>Done</x:v>
      </x:c>
      <x:c r="J35" s="36" t="str">
        <x:v>E100 proves visible panels, mutual exclusion, refresh, both window handoffs, close/focus, Wallet Settings/Activity/privacy restoration, and history/Status navigation to the same pending request. Failure/retry and funded balance cases need fixtures.</x:v>
      </x:c>
    </x:row>
    <x:row r="36" ht="165" customHeight="1">
      <x:c r="A36" s="36" t="n">
        <x:v>30</x:v>
      </x:c>
      <x:c r="B36" s="36" t="str">
        <x:v>F-30</x:v>
      </x:c>
      <x:c r="C36" s="36" t="str">
        <x:v>P2</x:v>
      </x:c>
      <x:c r="D36" s="36" t="str">
        <x:v>Home light-theme logo references a missing SVG</x:v>
      </x:c>
      <x:c r="E36" s="36" t="str">
        <x:v>v0.7 Builder</x:v>
      </x:c>
      <x:c r="F36" s="36" t="str">
        <x:v>Ship the intended readable ink logo or use a valid existing theme-specific asset; keep default branding intact.</x:v>
      </x:c>
      <x:c r="G36" s="36" t="str">
        <x:v>Installed Light/Dark/Light switches preserve a loaded readable logo. Both logo assets return200 with source/installed parity.</x:v>
      </x:c>
      <x:c r="H36" s="36" t="str">
        <x:v>Independent source and installed Brave proof</x:v>
      </x:c>
      <x:c r="I36" s="36" t="str">
        <x:v>In progress</x:v>
      </x:c>
      <x:c r="J36" s="36" t="str">
        <x:v>One bounded defect; preserve user state.</x:v>
      </x:c>
    </x:row>
    <x:row r="37" ht="165" customHeight="1">
      <x:c r="A37" s="36" t="n">
        <x:v>31</x:v>
      </x:c>
      <x:c r="B37" s="36" t="str">
        <x:v>F-31</x:v>
      </x:c>
      <x:c r="C37" s="36" t="str">
        <x:v>P2</x:v>
      </x:c>
      <x:c r="D37" s="36" t="str">
        <x:v>Marketplace search has no accessible name</x:v>
      </x:c>
      <x:c r="E37" s="36" t="str">
        <x:v>v0.7 Builder</x:v>
      </x:c>
      <x:c r="F37" s="36" t="str">
        <x:v>Give the Marketplace searchbox a stable accessible name that describes app/media search.</x:v>
      </x:c>
      <x:c r="G37" s="36" t="str">
        <x:v>Rendered DOM exposes the searchbox by name; present/absent search behavior remains correct.</x:v>
      </x:c>
      <x:c r="H37" s="36" t="str">
        <x:v>Independent source and installed Brave proof</x:v>
      </x:c>
      <x:c r="I37" s="36" t="str">
        <x:v>In progress</x:v>
      </x:c>
      <x:c r="J37" s="36" t="str">
        <x:v>One bounded defect; preserve user state.</x:v>
      </x:c>
    </x:row>
    <x:row r="38" ht="165" customHeight="1">
      <x:c r="A38" s="36" t="n">
        <x:v>32</x:v>
      </x:c>
      <x:c r="B38" s="36" t="str">
        <x:v>F-32</x:v>
      </x:c>
      <x:c r="C38" s="36" t="str">
        <x:v>P2</x:v>
      </x:c>
      <x:c r="D38" s="36" t="str">
        <x:v>Marketplace labels undeclared payment and protected-content support as present</x:v>
      </x:c>
      <x:c r="E38" s="36" t="str">
        <x:v>v0.7 Builder</x:v>
      </x:c>
      <x:c r="F38" s="36" t="str">
        <x:v>Map recognized Runtime states explicitly; undeclared or unknown states must not imply support.</x:v>
      </x:c>
      <x:c r="G38" s="36" t="str">
        <x:v>A game and service with not-declared show no support claim. Known provider states retain accurate wording; unknown values fail closed.</x:v>
      </x:c>
      <x:c r="H38" s="36" t="str">
        <x:v>Independent source and installed Brave proof</x:v>
      </x:c>
      <x:c r="I38" s="36" t="str">
        <x:v>In progress</x:v>
      </x:c>
      <x:c r="J38" s="36" t="str">
        <x:v>One bounded defect; preserve user state.</x:v>
      </x:c>
    </x:row>
    <x:row r="39" ht="165" customHeight="1">
      <x:c r="A39" s="36" t="n">
        <x:v>33</x:v>
      </x:c>
      <x:c r="B39" s="36" t="str">
        <x:v>F-33</x:v>
      </x:c>
      <x:c r="C39" s="36" t="str">
        <x:v>P2</x:v>
      </x:c>
      <x:c r="D39" s="36" t="str">
        <x:v>Marketplace Open button opens details when activated by keyboard</x:v>
      </x:c>
      <x:c r="E39" s="36" t="str">
        <x:v>v0.7 Builder</x:v>
      </x:c>
      <x:c r="F39" s="36" t="str">
        <x:v>Handle card-level activation only for the card itself; preserve native keyboard activation of child controls.</x:v>
      </x:c>
      <x:c r="G39" s="36" t="str">
        <x:v>Card Enter/Space opens details. Open Enter/Space launches once without showing details. Pointer behavior remains correct.</x:v>
      </x:c>
      <x:c r="H39" s="36" t="str">
        <x:v>Independent source and installed Brave proof</x:v>
      </x:c>
      <x:c r="I39" s="36" t="str">
        <x:v>In progress</x:v>
      </x:c>
      <x:c r="J39" s="36" t="str">
        <x:v>One bounded defect; preserve user state.</x:v>
      </x:c>
    </x:row>
    <x:row r="40" ht="165" customHeight="1">
      <x:c r="A40" s="36" t="n">
        <x:v>34</x:v>
      </x:c>
      <x:c r="B40" s="36" t="str">
        <x:v>F-34</x:v>
      </x:c>
      <x:c r="C40" s="36" t="str">
        <x:v>P3</x:v>
      </x:c>
      <x:c r="D40" s="36" t="str">
        <x:v>Player treats no selection as an unavailable video</x:v>
      </x:c>
      <x:c r="E40" s="36" t="str">
        <x:v>v0.7 Builder</x:v>
      </x:c>
      <x:c r="F40" s="36" t="str">
        <x:v>Keep empty launch fail-closed and show one neutral instruction to open protected content from Library/Marketplace. Preserve sanitized real error states.</x:v>
      </x:c>
      <x:c r="G40" s="36" t="str">
        <x:v>Empty launch issues no viewer-open request and shows clear next-step guidance once; invalid IDs and rights failures remain bounded.</x:v>
      </x:c>
      <x:c r="H40" s="36" t="str">
        <x:v>Independent source and installed Brave proof</x:v>
      </x:c>
      <x:c r="I40" s="36" t="str">
        <x:v>In progress</x:v>
      </x:c>
      <x:c r="J40" s="36" t="str">
        <x:v>One bounded defect; preserve user state.</x:v>
      </x:c>
    </x:row>
    <x:row r="41" ht="165" customHeight="1">
      <x:c r="A41" s="36" t="n">
        <x:v>35</x:v>
      </x:c>
      <x:c r="B41" s="36" t="str">
        <x:v>F-35</x:v>
      </x:c>
      <x:c r="C41" s="36" t="str">
        <x:v>P2</x:v>
      </x:c>
      <x:c r="D41" s="36" t="str">
        <x:v>Created ZIP is not delivered to Archive</x:v>
      </x:c>
      <x:c r="E41" s="36" t="str">
        <x:v>v0.7 Builder</x:v>
      </x:c>
      <x:c r="F41" s="36" t="str">
        <x:v>Validate and accept the exact admitted Home top source/origin for Archive object delivery, preserving distinct parent-menu trust and rejecting sibling/forged messages.</x:v>
      </x:c>
      <x:c r="G41" s="36" t="str">
        <x:v>Real nested Home→Library→Archive create/open returns the exact ZIP and entries. Wrong origin/source is rejected; picker cancellation preserves focus.</x:v>
      </x:c>
      <x:c r="H41" s="36" t="str">
        <x:v>Independent source and installed Brave proof</x:v>
      </x:c>
      <x:c r="I41" s="36" t="str">
        <x:v>In progress</x:v>
      </x:c>
      <x:c r="J41" s="36" t="str">
        <x:v>One bounded defect; preserve user state.</x:v>
      </x:c>
    </x:row>
    <x:row r="42" ht="165" customHeight="1">
      <x:c r="A42" s="36" t="n">
        <x:v>36</x:v>
      </x:c>
      <x:c r="B42" s="36" t="str">
        <x:v>F-36</x:v>
      </x:c>
      <x:c r="C42" s="36" t="str">
        <x:v>P3</x:v>
      </x:c>
      <x:c r="D42" s="36" t="str">
        <x:v>Archive labels an empty text file as binary</x:v>
      </x:c>
      <x:c r="E42" s="36" t="str">
        <x:v>v0.7 Builder</x:v>
      </x:c>
      <x:c r="F42" s="36" t="str">
        <x:v>Distinguish empty text from absent text and render an accurate empty-text preview.</x:v>
      </x:c>
      <x:c r="G42" s="36" t="str">
        <x:v>Empty text, nonempty text and binary fixtures each have correct bounded preview copy.</x:v>
      </x:c>
      <x:c r="H42" s="36" t="str">
        <x:v>Independent source and installed Brave proof</x:v>
      </x:c>
      <x:c r="I42" s="36" t="str">
        <x:v>In progress</x:v>
      </x:c>
      <x:c r="J42" s="36" t="str">
        <x:v>One bounded defect; preserve user state.</x:v>
      </x:c>
    </x:row>
    <x:row r="43" ht="165" customHeight="1">
      <x:c r="A43" s="36" t="n">
        <x:v>37</x:v>
      </x:c>
      <x:c r="B43" s="36" t="str">
        <x:v>F-37</x:v>
      </x:c>
      <x:c r="C43" s="36" t="str">
        <x:v>P2</x:v>
      </x:c>
      <x:c r="D43" s="36" t="str">
        <x:v>Archive contents pane uses a white surface in Dark theme</x:v>
      </x:c>
      <x:c r="E43" s="36" t="str">
        <x:v>v0.7 Builder</x:v>
      </x:c>
      <x:c r="F43" s="36" t="str">
        <x:v>Use the shared theme surface and retain readable rows, separators and selection contrast.</x:v>
      </x:c>
      <x:c r="G43" s="36" t="str">
        <x:v>Loaded archive contents are readable in Dark and Light at normal and narrow sizes; selection/preview stay visible.</x:v>
      </x:c>
      <x:c r="H43" s="36" t="str">
        <x:v>Independent source and installed Brave proof</x:v>
      </x:c>
      <x:c r="I43" s="36" t="str">
        <x:v>In progress</x:v>
      </x:c>
      <x:c r="J43" s="36" t="str">
        <x:v>One bounded defect; preserve user state.</x:v>
      </x:c>
    </x:row>
    <x:row r="44" ht="165" customHeight="1">
      <x:c r="A44" s="36" t="n">
        <x:v>38</x:v>
      </x:c>
      <x:c r="B44" s="36" t="str">
        <x:v>F-38</x:v>
      </x:c>
      <x:c r="C44" s="36" t="str">
        <x:v>P3</x:v>
      </x:c>
      <x:c r="D44" s="36" t="str">
        <x:v>Empty Trash asks users to upload or create a folder</x:v>
      </x:c>
      <x:c r="E44" s="36" t="str">
        <x:v>v0.7 Builder</x:v>
      </x:c>
      <x:c r="F44" s="36" t="str">
        <x:v>Use Trash-specific empty copy and capability-aware read-only guidance for Spaces.</x:v>
      </x:c>
      <x:c r="G44" s="36" t="str">
        <x:v>Empty Trash offers accurate guidance without creation actions; writable folder and read-only Space copy match available capabilities.</x:v>
      </x:c>
      <x:c r="H44" s="36" t="str">
        <x:v>Independent source and installed Brave proof</x:v>
      </x:c>
      <x:c r="I44" s="36" t="str">
        <x:v>In progress</x:v>
      </x:c>
      <x:c r="J44" s="36" t="str">
        <x:v>One bounded defect; preserve user state.</x:v>
      </x:c>
    </x:row>
    <x:row r="45" ht="165" customHeight="1">
      <x:c r="A45" s="36" t="n">
        <x:v>39</x:v>
      </x:c>
      <x:c r="B45" s="36" t="str">
        <x:v>F-39</x:v>
      </x:c>
      <x:c r="C45" s="36" t="str">
        <x:v>P2</x:v>
      </x:c>
      <x:c r="D45" s="36" t="str">
        <x:v>Emulator game keys intercept utility controls</x:v>
      </x:c>
      <x:c r="E45" s="36" t="str">
        <x:v>v0.7 Builder</x:v>
      </x:c>
      <x:c r="F45" s="36" t="str">
        <x:v>Scope game key input and save shortcuts to intended game focus. Preserve native utility keyboard actions and release held game inputs on focus loss.</x:v>
      </x:c>
      <x:c r="G45" s="36" t="str">
        <x:v>Pause/Save/Load Enter and Space work; slider arrows change volume without moving game; canvas and mapped on-screen controls still work; blur releases input.</x:v>
      </x:c>
      <x:c r="H45" s="36" t="str">
        <x:v>Independent source and installed Brave proof</x:v>
      </x:c>
      <x:c r="I45" s="36" t="str">
        <x:v>In progress</x:v>
      </x:c>
      <x:c r="J45" s="36" t="str">
        <x:v>One bounded defect; preserve user state.</x:v>
      </x:c>
    </x:row>
    <x:row r="46" ht="165" customHeight="1">
      <x:c r="A46" s="36" t="n">
        <x:v>40</x:v>
      </x:c>
      <x:c r="B46" s="36" t="str">
        <x:v>F-40</x:v>
      </x:c>
      <x:c r="C46" s="36" t="str">
        <x:v>P3</x:v>
      </x:c>
      <x:c r="D46" s="36" t="str">
        <x:v>Emulator Fast Forward does not expose its active state</x:v>
      </x:c>
      <x:c r="E46" s="36" t="str">
        <x:v>v0.7 Builder</x:v>
      </x:c>
      <x:c r="F46" s="36" t="str">
        <x:v>Expose the current toggle state and clear speed meaning, matching the visual state.</x:v>
      </x:c>
      <x:c r="G46" s="36" t="str">
        <x:v>Fast Forward toggles aria-pressed false/true/false or equivalent accessible speed label; normal speed restored on fresh load.</x:v>
      </x:c>
      <x:c r="H46" s="36" t="str">
        <x:v>Independent source and installed Brave proof</x:v>
      </x:c>
      <x:c r="I46" s="36" t="str">
        <x:v>In progress</x:v>
      </x:c>
      <x:c r="J46" s="36" t="str">
        <x:v>One bounded defect; preserve user state.</x:v>
      </x:c>
    </x:row>
    <x:row r="47" ht="165" customHeight="1">
      <x:c r="A47" s="36" t="n">
        <x:v>41</x:v>
      </x:c>
      <x:c r="B47" s="36" t="str">
        <x:v>F-41</x:v>
      </x:c>
      <x:c r="C47" s="36" t="str">
        <x:v>P2</x:v>
      </x:c>
      <x:c r="D47" s="36" t="str">
        <x:v>Bundled uCity lacks creator attribution and ROM provenance</x:v>
      </x:c>
      <x:c r="E47" s="36" t="str">
        <x:v>v0.7 Builder</x:v>
      </x:c>
      <x:c r="F47" s="36" t="str">
        <x:v>Verify exact ROM source/release, correct public creator facts and include matching attribution and required notices; keep licensing decisions explicit.</x:v>
      </x:c>
      <x:c r="G47" s="36" t="str">
        <x:v>Package inventory includes hash-bound provenance and accurate creator attribution; source and installed content metadata agree. Separate release/legal review remains explicit.</x:v>
      </x:c>
      <x:c r="H47" s="36" t="str">
        <x:v>Independent source and installed Brave proof</x:v>
      </x:c>
      <x:c r="I47" s="36" t="str">
        <x:v>In progress</x:v>
      </x:c>
      <x:c r="J47" s="36" t="str">
        <x:v>One bounded defect; preserve user state.</x:v>
      </x:c>
    </x:row>
    <x:row r="48" ht="165" customHeight="1">
      <x:c r="A48" s="36" t="n">
        <x:v>42</x:v>
      </x:c>
      <x:c r="B48" s="36" t="str">
        <x:v>F-42</x:v>
      </x:c>
      <x:c r="C48" s="36" t="str">
        <x:v>P2</x:v>
      </x:c>
      <x:c r="D48" s="36" t="str">
        <x:v>Emulator installed-ROM keyboard selection opens Library instead</x:v>
      </x:c>
      <x:c r="E48" s="36" t="str">
        <x:v>v0.7 Builder</x:v>
      </x:c>
      <x:c r="F48" s="36" t="str">
        <x:v>Separate the Library action from installed-ROM buttons or handle only self-targeted activation; retain exact chosen ROM and valid semantics.</x:v>
      </x:c>
      <x:c r="G48" s="36" t="str">
        <x:v>Installed ROM choices activate the selected game once with Enter/Space/pointer; only the dedicated Library action opens Library.</x:v>
      </x:c>
      <x:c r="H48" s="36" t="str">
        <x:v>Independent source and installed Brave proof</x:v>
      </x:c>
      <x:c r="I48" s="36" t="str">
        <x:v>In progress</x:v>
      </x:c>
      <x:c r="J48" s="36" t="str">
        <x:v>One bounded defect; preserve user state.</x:v>
      </x:c>
    </x:row>
    <x:row r="49" ht="165" customHeight="1">
      <x:c r="A49" s="36" t="n">
        <x:v>43</x:v>
      </x:c>
      <x:c r="B49" s="36" t="str">
        <x:v>F-43</x:v>
      </x:c>
      <x:c r="C49" s="36" t="str">
        <x:v>P1</x:v>
      </x:c>
      <x:c r="D49" s="36" t="str">
        <x:v>Browser cannot reopen after audit-tab recovery</x:v>
      </x:c>
      <x:c r="E49" s="36" t="str">
        <x:v>v0.7 Builder</x:v>
      </x:c>
      <x:c r="F49" s="36" t="str">
        <x:v>Diagnose the lifecycle/managed-runtime handoff from bounded logs and repair the failing ownership path. Preserve Browser profile and original user tabs.</x:v>
      </x:c>
      <x:c r="G49" s="36" t="str">
        <x:v>Open harmless page, close only the audit Home tab, reopen Home and Browser, verify ready page plus bounded orphan cleanup without profile reset.</x:v>
      </x:c>
      <x:c r="H49" s="36" t="str">
        <x:v>Independent source and installed Brave proof</x:v>
      </x:c>
      <x:c r="I49" s="36" t="str">
        <x:v>To do</x:v>
      </x:c>
      <x:c r="J49" s="36" t="str">
        <x:v>E084 broadens the earlier background-only observation. Visible foreground Browser retained ela.city after navigation to an official popup fixture for over 60 seconds. Normal Close worked. Prior E064 passing navigation is retained.</x:v>
      </x:c>
    </x:row>
    <x:row r="50" ht="165" customHeight="1">
      <x:c r="A50" s="36" t="n">
        <x:v>44</x:v>
      </x:c>
      <x:c r="B50" s="36" t="str">
        <x:v>F-44</x:v>
      </x:c>
      <x:c r="C50" s="36" t="str">
        <x:v>P1</x:v>
      </x:c>
      <x:c r="D50" s="36" t="str">
        <x:v>Switching to Terminal leaves Home blank</x:v>
      </x:c>
      <x:c r="E50" s="36" t="str">
        <x:v>v0.7 Builder</x:v>
      </x:c>
      <x:c r="F50" s="36" t="str">
        <x:v>Keep the terminal bound to the existing intended Runtime and provide visible bounded startup failure with a usable Desktop recovery action.</x:v>
      </x:c>
      <x:c r="G50" s="36" t="str">
        <x:v>Switch Desktop to Terminal, see prompt and read-only facts, use q/Escape to return, then force a scoped terminal-start failure and prove Desktop recovery without identity changes.</x:v>
      </x:c>
      <x:c r="H50" s="36" t="str">
        <x:v>Independent source and installed Brave proof</x:v>
      </x:c>
      <x:c r="I50" s="36" t="str">
        <x:v>In progress</x:v>
      </x:c>
      <x:c r="J50" s="36" t="str">
        <x:v>E106 confirms the direct transition stall at b233d832, including the new Inbox handoff. Reload restores Desktop. Prior Desktop recovery authority repair remains verified; debugger-independent cause remains unresolved.</x:v>
      </x:c>
    </x:row>
    <x:row r="51" ht="165" customHeight="1">
      <x:c r="A51" s="36" t="n">
        <x:v>45</x:v>
      </x:c>
      <x:c r="B51" s="36" t="str">
        <x:v>F-45</x:v>
      </x:c>
      <x:c r="C51" s="36" t="str">
        <x:v>P2</x:v>
      </x:c>
      <x:c r="D51" s="36" t="str">
        <x:v>Markdown links lose closing parentheses from their destination</x:v>
      </x:c>
      <x:c r="E51" s="36" t="str">
        <x:v>v0.7 Builder</x:v>
      </x:c>
      <x:c r="F51" s="36" t="str">
        <x:v>Handle balanced and escaped parentheses in supported inline links while preserving safe URL schemes and HTML escaping.</x:v>
      </x:c>
      <x:c r="G51" s="36" t="str">
        <x:v>Render balanced/escaped link destinations intact; incomplete input terminates; unsafe schemes remain inert. Source test plus installed Brave DOM proof.</x:v>
      </x:c>
      <x:c r="H51" s="36" t="str">
        <x:v>Independent source and installed Brave proof</x:v>
      </x:c>
      <x:c r="I51" s="36" t="str">
        <x:v>Proposed</x:v>
      </x:c>
      <x:c r="J51" s="36" t="str">
        <x:v>Reproduced with the audit document only; link was not navigated. Sent to Builder after F-44.</x:v>
      </x:c>
    </x:row>
    <x:row r="52" ht="165" customHeight="1">
      <x:c r="A52" s="36" t="n">
        <x:v>46</x:v>
      </x:c>
      <x:c r="B52" s="36" t="str">
        <x:v>F-46</x:v>
      </x:c>
      <x:c r="C52" s="36" t="str">
        <x:v>P2</x:v>
      </x:c>
      <x:c r="D52" s="36" t="str">
        <x:v>Library Properties tabs cannot be reached by keyboard</x:v>
      </x:c>
      <x:c r="E52" s="36" t="str">
        <x:v>v0.7 Builder</x:v>
      </x:c>
      <x:c r="F52" s="36" t="str">
        <x:v>Use semantic keyboard-operable tabs and scoped dialog focus entry, containment and return; preserve current panels and Clipboard ownership.</x:v>
      </x:c>
      <x:c r="G52" s="36" t="str">
        <x:v>Keyboard opens Properties, reaches/switches tabs, cycles within modal, closes with Escape and returns focus to invoker. Pointer and both themes remain functional.</x:v>
      </x:c>
      <x:c r="H52" s="36" t="str">
        <x:v>Independent source and installed Brave proof</x:v>
      </x:c>
      <x:c r="I52" s="36" t="str">
        <x:v>Proposed</x:v>
      </x:c>
      <x:c r="J52" s="36" t="str">
        <x:v>Brave Tab skips plain-div tabs; source confirms click-only path. Queued separately from repaired Dark contrast.</x:v>
      </x:c>
    </x:row>
    <x:row r="53" ht="165" customHeight="1">
      <x:c r="A53" s="36" t="n">
        <x:v>47</x:v>
      </x:c>
      <x:c r="B53" s="36" t="str">
        <x:v>F-47</x:v>
      </x:c>
      <x:c r="C53" s="36" t="str">
        <x:v>P1</x:v>
      </x:c>
      <x:c r="D53" s="36" t="str">
        <x:v>Terminal shows device facts as the signed-in Home profile</x:v>
      </x:c>
      <x:c r="E53" s="36" t="str">
        <x:v>v0.7 Builder</x:v>
      </x:c>
      <x:c r="F53" s="36" t="str">
        <x:v>Bind the native Terminal view to the Runtime-owned browser Home principal/session projection; keep device identity distinct and fail closed when the projection is unavailable.</x:v>
      </x:c>
      <x:c r="G53" s="36" t="str">
        <x:v>GUI/CLI account name, Inbox, active shell and Runtime status agree for the same session. Tests reject cross-principal context and retain signed host-intent ownership; verify in Brave without account mutations.</x:v>
      </x:c>
      <x:c r="H53" s="36" t="str">
        <x:v>Independent source and installed Brave proof</x:v>
      </x:c>
      <x:c r="I53" s="36" t="str">
        <x:v>Done</x:v>
      </x:c>
      <x:c r="J53" s="36" t="str">
        <x:v>Installed 961bc323 passes the independent Brave comparison: v0.7 Profile, the same Inbox attention item, Home ready and an available Desktop-return action. Ten focused source tests and exact installed parity pass. F-44 still requires a reload for direct transitions; F-53 remains a separate diagnostic gap.</x:v>
      </x:c>
    </x:row>
    <x:row r="54" ht="165" customHeight="1">
      <x:c r="A54" s="36" t="n">
        <x:v>48</x:v>
      </x:c>
      <x:c r="B54" s="36" t="str">
        <x:v>F-48</x:v>
      </x:c>
      <x:c r="C54" s="36" t="str">
        <x:v>P2</x:v>
      </x:c>
      <x:c r="D54" s="36" t="str">
        <x:v>Library Search and name editor lack accessible names</x:v>
      </x:c>
      <x:c r="E54" s="36" t="str">
        <x:v>v0.7 Builder</x:v>
      </x:c>
      <x:c r="F54" s="36" t="str">
        <x:v>Add concise stable accessible labels and associate name guidance/errors with the active editor, preserving keyboard and validation behavior.</x:v>
      </x:c>
      <x:c r="G54" s="36" t="str">
        <x:v>Rendered Search, create and rename inputs expose their intended accessible names; error guidance is associated and retry/Escape behavior remains correct.</x:v>
      </x:c>
      <x:c r="H54" s="36" t="str">
        <x:v>Independent source and installed Brave proof</x:v>
      </x:c>
      <x:c r="I54" s="36" t="str">
        <x:v>Proposed</x:v>
      </x:c>
      <x:c r="J54" s="36" t="str">
        <x:v>Live unnamed fields confirmed; queued after the current Home correctness slice.</x:v>
      </x:c>
    </x:row>
    <x:row r="55" ht="165" customHeight="1">
      <x:c r="A55" s="36" t="n">
        <x:v>49</x:v>
      </x:c>
      <x:c r="B55" s="36" t="str">
        <x:v>F-49</x:v>
      </x:c>
      <x:c r="C55" s="36" t="str">
        <x:v>P2</x:v>
      </x:c>
      <x:c r="D55" s="36" t="str">
        <x:v>Saved Documents are absent from Home Search</x:v>
      </x:c>
      <x:c r="E55" s="36" t="str">
        <x:v>v0.7 Builder</x:v>
      </x:c>
      <x:c r="F55" s="36" t="str">
        <x:v>Either project bounded authenticated document facts through the Runtime-owned Home summary, or explicitly define and communicate the supported search scope. Keep provider access and principal ownership in Runtime.</x:v>
      </x:c>
      <x:c r="G55" s="36" t="str">
        <x:v>Saved disposable document can be found and opened by its supported title/name under the same principal; another principal's documents remain absent. Apps, Desktop files and Escape behavior remain intact.</x:v>
      </x:c>
      <x:c r="H55" s="36" t="str">
        <x:v>Independent source and installed Brave proof</x:v>
      </x:c>
      <x:c r="I55" s="36" t="str">
        <x:v>Proposed</x:v>
      </x:c>
      <x:c r="J55" s="36" t="str">
        <x:v>au.md and Audit return No results; same document is visible and reopenable in Documents. The absent summary.documents producer confirms the document-path gap. Builder to keep principal ownership in Runtime.</x:v>
      </x:c>
    </x:row>
    <x:row r="56" ht="165" customHeight="1">
      <x:c r="A56" s="36" t="n">
        <x:v>50</x:v>
      </x:c>
      <x:c r="B56" s="36" t="str">
        <x:v>F-50</x:v>
      </x:c>
      <x:c r="C56" s="36" t="str">
        <x:v>P2</x:v>
      </x:c>
      <x:c r="D56" s="36" t="str">
        <x:v>Documents context actions lose their selected document</x:v>
      </x:c>
      <x:c r="E56" s="36" t="str">
        <x:v>v0.7 Builder</x:v>
      </x:c>
      <x:c r="F56" s="36" t="str">
        <x:v>Capture the intended document identity before closing the menu, then resolve that exact document for the requested action. Preserve cancellation and explicit destructive confirmations.</x:v>
      </x:c>
      <x:c r="G56" s="36" t="str">
        <x:v>ContextMenu→Duplicate on an unselected audit document creates a separate copy of that document; original stays unchanged. Context Delete opens a named confirmation and Cancel preserves both. Test stale/missing identities fail safely.</x:v>
      </x:c>
      <x:c r="H56" s="36" t="str">
        <x:v>Independent source and installed Brave proof</x:v>
      </x:c>
      <x:c r="I56" s="36" t="str">
        <x:v>Proposed</x:v>
      </x:c>
      <x:c r="J56" s="36" t="str">
        <x:v>Brave context menu opens via ContextMenu key, but Duplicate silently returns without a copy. Source clears contextMenuDocDid before resolving it. No publish/delete mutation was attempted.</x:v>
      </x:c>
    </x:row>
    <x:row r="57" ht="165" customHeight="1">
      <x:c r="A57" s="36" t="n">
        <x:v>51</x:v>
      </x:c>
      <x:c r="B57" s="36" t="str">
        <x:v>F-51</x:v>
      </x:c>
      <x:c r="C57" s="36" t="str">
        <x:v>P1</x:v>
      </x:c>
      <x:c r="D57" s="36" t="str">
        <x:v>Home Close discards Documents edits before autosave</x:v>
      </x:c>
      <x:c r="E57" s="36" t="str">
        <x:v>v0.7 Builder</x:v>
      </x:c>
      <x:c r="F57" s="36" t="str">
        <x:v>Give Documents a Home-owned close handshake that preserves or explicitly resolves dirty state before frame removal. Close after successful save or explicit discard; cancellation or save failure keeps the window open. Keep message ownership bound to the trusted app/token/origin.</x:v>
      </x:c>
      <x:c r="G57" s="36" t="str">
        <x:v>Edit audit copy and close within900ms: save-or-cancel/discard behavior is explicit and reopen matches accepted outcome. Save failure and duplicate close preserve edits; clean close and other app lifecycle paths stay working.</x:v>
      </x:c>
      <x:c r="H57" s="36" t="str">
        <x:v>Independent source and installed Brave proof</x:v>
      </x:c>
      <x:c r="I57" s="36" t="str">
        <x:v>Done</x:v>
      </x:c>
      <x:c r="J57" s="36" t="str">
        <x:v>c8f244cc independently passes 35 close tests and source gates, E-080 installed parity, and E-081 foreground delayed Discard, Cancel/autosave/reopen and Save/reopen. The audit body is restored. F-56 tracks the separate modal focus defect.</x:v>
      </x:c>
    </x:row>
    <x:row r="58" ht="165" customHeight="1">
      <x:c r="A58" s="36" t="n">
        <x:v>52</x:v>
      </x:c>
      <x:c r="B58" s="36" t="str">
        <x:v>F-52</x:v>
      </x:c>
      <x:c r="C58" s="36" t="str">
        <x:v>P2</x:v>
      </x:c>
      <x:c r="D58" s="36" t="str">
        <x:v>Browser keeps Opening status after navigation completes</x:v>
      </x:c>
      <x:c r="E58" s="36" t="str">
        <x:v>v0.7 Builder</x:v>
      </x:c>
      <x:c r="F58" s="36" t="str">
        <x:v>Settle the navigation status for the exact current page/navigation owner after success. Clear or replace only its own pending message so a later error or new request stays visible.</x:v>
      </x:c>
      <x:c r="G58" s="36" t="str">
        <x:v>Navigate between harmless pages, then Back/Forward/Refresh. URL, current page and status agree after each accepted result; delayed old responses cannot clear a newer loading/error status.</x:v>
      </x:c>
      <x:c r="H58" s="36" t="str">
        <x:v>Independent source and installed Brave proof</x:v>
      </x:c>
      <x:c r="I58" s="36" t="str">
        <x:v>In progress</x:v>
      </x:c>
      <x:c r="J58" s="36" t="str">
        <x:v>E064 foreground navigation and Back/Forward work while sticky Opening message remains. Send bounded status ownership repair to Builder.</x:v>
      </x:c>
    </x:row>
    <x:row r="59" ht="165" customHeight="1">
      <x:c r="A59" s="36" t="n">
        <x:v>53</x:v>
      </x:c>
      <x:c r="B59" s="36" t="str">
        <x:v>F-53</x:v>
      </x:c>
      <x:c r="C59" s="36" t="str">
        <x:v>P2</x:v>
      </x:c>
      <x:c r="D59" s="36" t="str">
        <x:v>Terminal can hide startup errors before its viewer attaches</x:v>
      </x:c>
      <x:c r="E59" s="36" t="str">
        <x:v>v0.7 Builder</x:v>
      </x:c>
      <x:c r="F59" s="36" t="str">
        <x:v>Keep bounded session-owned startup output/status for the first authorized attachment and retain the relevant failure cause alongside recovery controls. Preserve exact session ownership, ordering and bounded retention.</x:v>
      </x:c>
      <x:c r="G59" s="36" t="str">
        <x:v>Fast stdout/error/exit remains readable after delayed authorized attach; reconnect avoids duplicates and other sessions cannot read it. Recovery controls work and retained output remains bounded.</x:v>
      </x:c>
      <x:c r="H59" s="36" t="str">
        <x:v>Independent source and installed Brave proof</x:v>
      </x:c>
      <x:c r="I59" s="36" t="str">
        <x:v>Done</x:v>
      </x:c>
      <x:c r="J59" s="36" t="str">
        <x:v>E085 proves delayed replay, ordering, bounded archive/expiry and fallback retention in isolated tests. E086 binds actual installed Runtime/CLI; E087 verifies positive Brave startup/context/help/refresh. Live failure injection was not performed.</x:v>
      </x:c>
    </x:row>
    <x:row r="60" ht="165" customHeight="1">
      <x:c r="A60" s="36" t="n">
        <x:v>54</x:v>
      </x:c>
      <x:c r="B60" s="36" t="str">
        <x:v>F-54</x:v>
      </x:c>
      <x:c r="C60" s="36" t="str">
        <x:v>P1</x:v>
      </x:c>
      <x:c r="D60" s="36" t="str">
        <x:v>Browser can reorder text around line breaks</x:v>
      </x:c>
      <x:c r="E60" s="36" t="str">
        <x:v>v0.7 Builder</x:v>
      </x:c>
      <x:c r="F60" s="36" t="str">
        <x:v>Keep one ordered input sequence owned by the exact Browser page. Preserve Runtime mediation for text transfer and cancel retired-page input; do not bypass Clipboard policy.</x:v>
      </x:c>
      <x:c r="G60" s="36" t="str">
        <x:v>Interleave delayed printable text, Enter, Backspace, Tab and page retirement. Exact multiline text and focus must match the issued sequence in source tests and live Brave.</x:v>
      </x:c>
      <x:c r="H60" s="36" t="str">
        <x:v>Independent source and installed Brave proof</x:v>
      </x:c>
      <x:c r="I60" s="36" t="str">
        <x:v>To do</x:v>
      </x:c>
      <x:c r="J60" s="36" t="str">
        <x:v>Independent foreground proof in E-073. The test form was not submitted; user account, Wallet and Clipboard state remained intact.</x:v>
      </x:c>
    </x:row>
    <x:row r="61" ht="165" customHeight="1">
      <x:c r="A61" s="36" t="n">
        <x:v>55</x:v>
      </x:c>
      <x:c r="B61" s="36" t="str">
        <x:v>F-55</x:v>
      </x:c>
      <x:c r="C61" s="36" t="str">
        <x:v>P2</x:v>
      </x:c>
      <x:c r="D61" s="36" t="str">
        <x:v>Browser drops common editing shortcuts</x:v>
      </x:c>
      <x:c r="E61" s="36" t="str">
        <x:v>v0.7 Builder</x:v>
      </x:c>
      <x:c r="F61" s="36" t="str">
        <x:v>Forward supported normalized editing modifiers to the exact remote page while Home retains its shortcuts and Clipboard transfer retains native consent.</x:v>
      </x:c>
      <x:c r="G61" s="36" t="str">
        <x:v>Control/Command+A, modified Home/End, selection and deletion work on a harmless remote field. Home shortcuts and Clipboard approval remain isolated.</x:v>
      </x:c>
      <x:c r="H61" s="36" t="str">
        <x:v>Independent source and installed Brave proof</x:v>
      </x:c>
      <x:c r="I61" s="36" t="str">
        <x:v>To do</x:v>
      </x:c>
      <x:c r="J61" s="36" t="str">
        <x:v>Independent foreground proof in E-073. The test form was not submitted; user account, Wallet and Clipboard state remained intact.</x:v>
      </x:c>
    </x:row>
    <x:row r="62" ht="165" customHeight="1">
      <x:c r="A62" s="36" t="n">
        <x:v>56</x:v>
      </x:c>
      <x:c r="B62" s="36" t="str">
        <x:v>F-56</x:v>
      </x:c>
      <x:c r="C62" s="36" t="str">
        <x:v>P2</x:v>
      </x:c>
      <x:c r="D62" s="36" t="str">
        <x:v>Documents close dialog lets Tab escape into Home</x:v>
      </x:c>
      <x:c r="E62" s="36" t="str">
        <x:v>v0.7 Builder</x:v>
      </x:c>
      <x:c r="F62" s="36" t="str">
        <x:v>Keep keyboard focus inside the active Documents decision and restore suitable focus on Cancel, while preserving the accepted close handshake and autosave suspension.</x:v>
      </x:c>
      <x:c r="G62" s="36" t="str">
        <x:v>Tab and Shift+Tab cycle only among Cancel, Discard and Save; Escape/Cancel restores editor focus. Save and delayed Discard retain their verified data behavior.</x:v>
      </x:c>
      <x:c r="H62" s="36" t="str">
        <x:v>Independent source and installed Brave proof</x:v>
      </x:c>
      <x:c r="I62" s="36" t="str">
        <x:v>To do</x:v>
      </x:c>
      <x:c r="J62" s="36" t="str">
        <x:v>E-081: Tab after Save escapes into Home while the close dialog remains open. No background action was activated.</x:v>
      </x:c>
    </x:row>
    <x:row r="63" ht="165" customHeight="1">
      <x:c r="A63" s="36" t="n">
        <x:v>57</x:v>
      </x:c>
      <x:c r="B63" s="36" t="str">
        <x:v>F-57</x:v>
      </x:c>
      <x:c r="C63" s="36" t="str">
        <x:v>P3</x:v>
      </x:c>
      <x:c r="D63" s="36" t="str">
        <x:v>Narrow Library Details keeps headers for hidden values</x:v>
      </x:c>
      <x:c r="E63" s="36" t="str">
        <x:v>v0.7 Builder</x:v>
      </x:c>
      <x:c r="F63" s="36" t="str">
        <x:v>Keep compact headers and row content consistent at the same breakpoint, using readable compact metadata or hiding the matching header cells.</x:v>
      </x:c>
      <x:c r="G63" s="36" t="str">
        <x:v>At 680 px and wide width, Details headers match displayed row fields; Icons/Details preserves folder and selection; restoring width restores full metadata.</x:v>
      </x:c>
      <x:c r="H63" s="36" t="str">
        <x:v>Independent source and installed Brave proof</x:v>
      </x:c>
      <x:c r="I63" s="36" t="str">
        <x:v>To do</x:v>
      </x:c>
      <x:c r="J63" s="36" t="str">
        <x:v>E-083 records 680 px layout and restoration. The audit app window and Details view were restored; user desktop layout remained unchanged.</x:v>
      </x:c>
    </x:row>
    <x:row r="64" ht="165" customHeight="1">
      <x:c r="A64" s="36" t="n">
        <x:v>58</x:v>
      </x:c>
      <x:c r="B64" s="36" t="str">
        <x:v>F-58</x:v>
      </x:c>
      <x:c r="C64" s="36" t="str">
        <x:v>P2</x:v>
      </x:c>
      <x:c r="D64" s="36" t="str">
        <x:v>Terminal marks a reviewable Inbox request unavailable</x:v>
      </x:c>
      <x:c r="E64" s="36" t="str">
        <x:v>v0.7 Builder</x:v>
      </x:c>
      <x:c r="F64" s="36" t="str">
        <x:v>Represent the request honestly as Desktop-only review with a safe GUI handoff, or return the intended authorized action descriptor. Preserve existing approval and Home ownership boundaries.</x:v>
      </x:c>
      <x:c r="G64" s="36" t="str">
        <x:v>Use a controlled Wallet capability-request fixture. Terminal and Desktop agree on availability; an explicit GUI handoff opens that request without approving, rejecting, marking read or dismissing it.</x:v>
      </x:c>
      <x:c r="H64" s="36" t="str">
        <x:v>Independent source and installed Brave proof</x:v>
      </x:c>
      <x:c r="I64" s="36" t="str">
        <x:v>In progress</x:v>
      </x:c>
      <x:c r="J64" s="36" t="str">
        <x:v>b233d832 passes independent source and installed parity. Brave confirms honest Desktop-only label and ready state. Enter starts the transition, but F44 leaves Desktop blank over30s; reload loses the destination. Exact-request delivery remains unverified.</x:v>
      </x:c>
    </x:row>
    <x:row r="65" ht="165" customHeight="1">
      <x:c r="A65" s="36" t="n">
        <x:v>59</x:v>
      </x:c>
      <x:c r="B65" s="36" t="str">
        <x:v>F-59</x:v>
      </x:c>
      <x:c r="C65" s="36" t="str">
        <x:v>P3</x:v>
      </x:c>
      <x:c r="D65" s="36" t="str">
        <x:v>Invalid custom accent silently reverts</x:v>
      </x:c>
      <x:c r="E65" s="36" t="str">
        <x:v>v0.7 Builder</x:v>
      </x:c>
      <x:c r="F65" s="36" t="str">
        <x:v>Keep the saved color and show a short inline hexadecimal-format error for rejected input; clear the error after a valid value.</x:v>
      </x:c>
      <x:c r="G65" s="36" t="str">
        <x:v>Enter an invalid seven-character value, blur/Enter and see a format hint while saved color stays unchanged; correct it and verify error clears. Restore original Dark/Blue.</x:v>
      </x:c>
      <x:c r="H65" s="36" t="str">
        <x:v>Independent source and installed Brave proof</x:v>
      </x:c>
      <x:c r="I65" s="36" t="str">
        <x:v>To do</x:v>
      </x:c>
      <x:c r="J65" s="36" t="str">
        <x:v>Invalid custom color is rejected safely but silently; retain existing saved color and explain the format.</x:v>
      </x:c>
    </x:row>
    <x:row r="66" ht="165" customHeight="1">
      <x:c r="A66" s="36" t="n">
        <x:v>60</x:v>
      </x:c>
      <x:c r="B66" s="36" t="str">
        <x:v>F-60</x:v>
      </x:c>
      <x:c r="C66" s="36" t="str">
        <x:v>P2</x:v>
      </x:c>
      <x:c r="D66" s="36" t="str">
        <x:v>Ready Chat action has no visible result</x:v>
      </x:c>
      <x:c r="E66" s="36" t="str">
        <x:v>v0.7 Builder</x:v>
      </x:c>
      <x:c r="F66" s="36" t="str">
        <x:v>Make the declared Chat action open its intended view or show a clear bounded failure. Preserve the Runtime-owned action boundary.</x:v>
      </x:c>
      <x:c r="G66" s="36" t="str">
        <x:v>From the installed Terminal, activate ready Chat and see the intended view or an explicit error. Send no message. Verify unrelated read-only app descriptors remain read-only.</x:v>
      </x:c>
      <x:c r="H66" s="36" t="str">
        <x:v>Independent source and installed Brave proof</x:v>
      </x:c>
      <x:c r="I66" s="36" t="str">
        <x:v>To do</x:v>
      </x:c>
      <x:c r="J66" s="36" t="str">
        <x:v>Installed Chat ready Enter gives no visible result. Builder has E101; relate it to F58 only if the shared dispatch cause is proven.</x:v>
      </x:c>
    </x:row>
    <x:row r="67" ht="165" customHeight="1">
      <x:c r="A67" s="36" t="n">
        <x:v>61</x:v>
      </x:c>
      <x:c r="B67" s="36" t="str">
        <x:v>F-61</x:v>
      </x:c>
      <x:c r="C67" s="36" t="str">
        <x:v>P2</x:v>
      </x:c>
      <x:c r="D67" s="36" t="str">
        <x:v>Capsule manifest retained stale asset hashes</x:v>
      </x:c>
      <x:c r="E67" s="36" t="str">
        <x:v>Home journey audit</x:v>
      </x:c>
      <x:c r="F67" s="36" t="str">
        <x:v>Restamp only intended capsule metadata, refresh the installation receipt, and verify each changed served asset against its manifest entry.</x:v>
      </x:c>
      <x:c r="G67" s="36" t="str">
        <x:v>Check source/installed/served/manifest equality for all 19 audited UI assets, plus Runtime and native Home CLI hashes. Preserve provider configuration and user state.</x:v>
      </x:c>
      <x:c r="H67" s="36" t="str">
        <x:v>Independent source and installed Brave proof</x:v>
      </x:c>
      <x:c r="I67" s="36" t="str">
        <x:v>Done</x:v>
      </x:c>
      <x:c r="J67" s="36" t="str">
        <x:v>E105 now binds all 19 audited UI assets to their source, installed, served and manifest hashes. Narrow metadata stamp corrected six old records; Runtime/native renderer also hash-bound.</x:v>
      </x:c>
    </x:row>
  </x:sheetData>
  <x:mergeCells>
    <x:mergeCell ref="A1:F1"/>
    <x:mergeCell ref="A2:F3"/>
  </x:mergeCells>
  <x:dataValidations count="1">
    <x:dataValidation type="list" sqref="I7:I20">
      <x:formula1>"Proposed,Approved,In progress,Blocked,Done"</x:formula1>
    </x:dataValidation>
  </x:dataValidations>
  <x:pageMargins left="0.7" right="0.7" top="0.75" bottom="0.75" header="0.3" footer="0.3"/>
  <x:tableParts count="1">
    <x:tablePart xmlns:r="http://schemas.openxmlformats.org/officeDocument/2006/relationships" r:id="Rc292c811d2b1479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109999656677246" hidden="0" customWidth="1"/>
    <x:col min="2" max="2" width="16.110000610351562" hidden="0" customWidth="1"/>
    <x:col min="3" max="3" width="27.110000610351562" hidden="0" customWidth="1"/>
    <x:col min="4" max="4" width="55" hidden="0" customWidth="1"/>
    <x:col min="5" max="5" width="21.329999923706055" hidden="0" customWidth="1"/>
    <x:col min="6" max="6" width="38.33000183105469" hidden="0" customWidth="1"/>
    <x:col min="7" max="7" width="2.6700000762939453" hidden="0" customWidth="1"/>
    <x:col min="8" max="8" width="18.440000534057617" hidden="0" customWidth="1"/>
    <x:col min="9" max="9" width="12.220000267028809" hidden="0" customWidth="1"/>
    <x:col min="10" max="10" width="3.109999895095825" hidden="0" customWidth="1"/>
    <x:col min="11" max="11" width="22.219999313354492" hidden="0" customWidth="1"/>
    <x:col min="12" max="12" width="22.219999313354492" hidden="0" customWidth="1"/>
  </x:cols>
  <x:sheetData>
    <x:row r="1" ht="31.5" customHeight="1">
      <x:c r="A1" s="6" t="str">
        <x:v>Read Me + Evidence</x:v>
      </x:c>
      <x:c r="B1" s="6" t="str">
        <x:v>Read Me + Evidence</x:v>
      </x:c>
      <x:c r="C1" s="6" t="str">
        <x:v>Read Me + Evidence</x:v>
      </x:c>
      <x:c r="D1" s="6" t="str">
        <x:v>Read Me + Evidence</x:v>
      </x:c>
      <x:c r="E1" s="6" t="str">
        <x:v>Read Me + Evidence</x:v>
      </x:c>
      <x:c r="F1" s="6" t="str">
        <x:v>Read Me + Evidence</x:v>
      </x:c>
      <x:c r="G1" s="3"/>
      <x:c r="H1" s="3"/>
      <x:c r="I1" s="3"/>
      <x:c r="J1" s="3"/>
      <x:c r="K1" s="3"/>
      <x:c r="L1" s="3"/>
    </x:row>
    <x:row r="2" ht="16.5" customHeight="1">
      <x:c r="A2" s="9" t="str">
        <x:v>CURRENT INSTALLED AUDIT | This workbook separates source coverage from observed product behavior.</x:v>
      </x:c>
      <x:c r="B2" s="9" t="str">
        <x:v>CURRENT INSTALLED AUDIT | This workbook separates source coverage from observed product behavior.</x:v>
      </x:c>
      <x:c r="C2" s="9" t="str">
        <x:v>CURRENT INSTALLED AUDIT | This workbook separates source coverage from observed product behavior.</x:v>
      </x:c>
      <x:c r="D2" s="9" t="str">
        <x:v>CURRENT INSTALLED AUDIT | This workbook separates source coverage from observed product behavior.</x:v>
      </x:c>
      <x:c r="E2" s="9" t="str">
        <x:v>CURRENT INSTALLED AUDIT | This workbook separates source coverage from observed product behavior.</x:v>
      </x:c>
      <x:c r="F2" s="9" t="str">
        <x:v>CURRENT INSTALLED AUDIT | This workbook separates source coverage from observed product behavior.</x:v>
      </x:c>
      <x:c r="G2" s="3"/>
      <x:c r="H2" s="3"/>
      <x:c r="I2" s="3"/>
      <x:c r="J2" s="3"/>
      <x:c r="K2" s="3"/>
      <x:c r="L2" s="3"/>
    </x:row>
    <x:row r="3" ht="16.5" customHeight="1">
      <x:c r="A3" s="9" t="str">
        <x:v>CURRENT INSTALLED AUDIT | This workbook separates source coverage from observed product behavior.</x:v>
      </x:c>
      <x:c r="B3" s="9" t="str">
        <x:v>CURRENT INSTALLED AUDIT | This workbook separates source coverage from observed product behavior.</x:v>
      </x:c>
      <x:c r="C3" s="9" t="str">
        <x:v>CURRENT INSTALLED AUDIT | This workbook separates source coverage from observed product behavior.</x:v>
      </x:c>
      <x:c r="D3" s="9" t="str">
        <x:v>CURRENT INSTALLED AUDIT | This workbook separates source coverage from observed product behavior.</x:v>
      </x:c>
      <x:c r="E3" s="9" t="str">
        <x:v>CURRENT INSTALLED AUDIT | This workbook separates source coverage from observed product behavior.</x:v>
      </x:c>
      <x:c r="F3" s="9" t="str">
        <x:v>CURRENT INSTALLED AUDIT | This workbook separates source coverage from observed product behavior.</x:v>
      </x:c>
      <x:c r="G3" s="3"/>
      <x:c r="H3" s="3"/>
      <x:c r="I3" s="3"/>
      <x:c r="J3" s="3"/>
      <x:c r="K3" s="3"/>
      <x:c r="L3" s="3"/>
    </x:row>
    <x:row r="4" ht="9" customHeight="1">
      <x:c r="A4" s="3"/>
      <x:c r="B4" s="3"/>
      <x:c r="C4" s="3"/>
      <x:c r="D4" s="3"/>
      <x:c r="E4" s="3"/>
      <x:c r="F4" s="3"/>
      <x:c r="G4" s="3"/>
      <x:c r="H4" s="3"/>
      <x:c r="I4" s="3"/>
      <x:c r="J4" s="3"/>
      <x:c r="K4" s="3"/>
      <x:c r="L4" s="3"/>
    </x:row>
    <x:row r="5" ht="36" customHeight="1">
      <x:c r="A5" s="19" t="str">
        <x:v>Purpose</x:v>
      </x:c>
      <x:c r="B5" s="19" t="str">
        <x:v>Purpose</x:v>
      </x:c>
      <x:c r="C5" s="23" t="str">
        <x:v>Expected versus actual Home/app audit. Source map completion is not execution or product acceptance.</x:v>
      </x:c>
      <x:c r="D5" s="23" t="str">
        <x:v>Expected versus actual Home/app audit. Source map completion is not execution or product acceptance.</x:v>
      </x:c>
      <x:c r="E5" s="23" t="str">
        <x:v>Expected versus actual Home/app audit. Source map completion is not execution or product acceptance.</x:v>
      </x:c>
      <x:c r="F5" s="23" t="str">
        <x:v>Expected versus actual Home/app audit. Source map completion is not execution or product acceptance.</x:v>
      </x:c>
      <x:c r="G5" s="3"/>
      <x:c r="H5" s="7" t="str">
        <x:v>Live status</x:v>
      </x:c>
      <x:c r="I5" s="7" t="str">
        <x:v>Executed GUI?</x:v>
      </x:c>
      <x:c r="J5" s="3"/>
      <x:c r="K5" s="7" t="str">
        <x:v>Scope rules</x:v>
      </x:c>
      <x:c r="L5" s="7" t="str">
        <x:v>Meaning</x:v>
      </x:c>
    </x:row>
    <x:row r="6" ht="36" customHeight="1">
      <x:c r="A6" s="19" t="str">
        <x:v>Source</x:v>
      </x:c>
      <x:c r="B6" s="19" t="str">
        <x:v>Source</x:v>
      </x:c>
      <x:c r="C6" s="23" t="str">
        <x:v>feat/0.7.1-candidate @ 37b4195acb5dd9db3cef2bc0ba225af1c368529b | tree 368714246c7f227f63cc1c7548b90eacd6631585</x:v>
      </x:c>
      <x:c r="D6" s="23" t="str">
        <x:v>feat/0.7.1-candidate @ 37b4195acb5dd9db3cef2bc0ba225af1c368529b | tree 368714246c7f227f63cc1c7548b90eacd6631585</x:v>
      </x:c>
      <x:c r="E6" s="23" t="str">
        <x:v>feat/0.7.1-candidate @ 37b4195acb5dd9db3cef2bc0ba225af1c368529b | tree 368714246c7f227f63cc1c7548b90eacd6631585</x:v>
      </x:c>
      <x:c r="F6" s="23" t="str">
        <x:v>feat/0.7.1-candidate @ 37b4195acb5dd9db3cef2bc0ba225af1c368529b | tree 368714246c7f227f63cc1c7548b90eacd6631585</x:v>
      </x:c>
      <x:c r="G6" s="3"/>
      <x:c r="H6" s="3" t="str">
        <x:v>Not run</x:v>
      </x:c>
      <x:c r="I6" s="14" t="n">
        <x:v>0</x:v>
      </x:c>
      <x:c r="J6" s="3"/>
      <x:c r="K6" s="3" t="str">
        <x:v>planned</x:v>
      </x:c>
      <x:c r="L6" s="3" t="str">
        <x:v>Source only</x:v>
      </x:c>
    </x:row>
    <x:row r="7" ht="36" customHeight="1">
      <x:c r="A7" s="19" t="str">
        <x:v>Installed baseline</x:v>
      </x:c>
      <x:c r="B7" s="19" t="str">
        <x:v>Installed baseline</x:v>
      </x:c>
      <x:c r="C7" s="23" t="str">
        <x:v>Isolated source-home install on localhost:61380: 33 installed capsule manifests and 16 launcher targets. Existing account, passkey, Wallet, and user data remain in the isolated test root.</x:v>
      </x:c>
      <x:c r="D7" s="23" t="str">
        <x:v>Isolated source-home install on localhost:61380: 33 installed capsule manifests and 16 launcher targets. Existing account, passkey, Wallet, and user data remain in the isolated test root.</x:v>
      </x:c>
      <x:c r="E7" s="23" t="str">
        <x:v>Isolated source-home install on localhost:61380: 33 installed capsule manifests and 16 launcher targets. Existing account, passkey, Wallet, and user data remain in the isolated test root.</x:v>
      </x:c>
      <x:c r="F7" s="23" t="str">
        <x:v>Isolated source-home install on localhost:61380: 33 installed capsule manifests and 16 launcher targets. Existing account, passkey, Wallet, and user data remain in the isolated test root.</x:v>
      </x:c>
      <x:c r="G7" s="3"/>
      <x:c r="H7" s="3" t="str">
        <x:v>Pass</x:v>
      </x:c>
      <x:c r="I7" s="14" t="n">
        <x:v>1</x:v>
      </x:c>
      <x:c r="J7" s="3"/>
      <x:c r="K7" s="3" t="str">
        <x:v>runtime-only-no-ui</x:v>
      </x:c>
      <x:c r="L7" s="3" t="str">
        <x:v>Source only</x:v>
      </x:c>
    </x:row>
    <x:row r="8" ht="36" customHeight="1">
      <x:c r="A8" s="19" t="str">
        <x:v>Manifest SHA-256</x:v>
      </x:c>
      <x:c r="B8" s="19" t="str">
        <x:v>Manifest SHA-256</x:v>
      </x:c>
      <x:c r="C8" s="23" t="str">
        <x:v>76eb9ed880aebf6a0e71256c88d38e2966eaee96be34b998475e3ddca2f79dc6</x:v>
      </x:c>
      <x:c r="D8" s="23" t="str">
        <x:v>76eb9ed880aebf6a0e71256c88d38e2966eaee96be34b998475e3ddca2f79dc6</x:v>
      </x:c>
      <x:c r="E8" s="23" t="str">
        <x:v>76eb9ed880aebf6a0e71256c88d38e2966eaee96be34b998475e3ddca2f79dc6</x:v>
      </x:c>
      <x:c r="F8" s="23" t="str">
        <x:v>76eb9ed880aebf6a0e71256c88d38e2966eaee96be34b998475e3ddca2f79dc6</x:v>
      </x:c>
      <x:c r="G8" s="3"/>
      <x:c r="H8" s="3" t="str">
        <x:v>Fail</x:v>
      </x:c>
      <x:c r="I8" s="14" t="n">
        <x:v>1</x:v>
      </x:c>
      <x:c r="J8" s="3"/>
      <x:c r="K8" s="3" t="str">
        <x:v>declared-only</x:v>
      </x:c>
      <x:c r="L8" s="3" t="str">
        <x:v>Source only</x:v>
      </x:c>
    </x:row>
    <x:row r="9" ht="36" customHeight="1">
      <x:c r="A9" s="19" t="str">
        <x:v>Input files</x:v>
      </x:c>
      <x:c r="B9" s="19" t="str">
        <x:v>Input files</x:v>
      </x:c>
      <x:c r="C9" s="23" t="str">
        <x:v>source-inventory.json + live-audit.json</x:v>
      </x:c>
      <x:c r="D9" s="23" t="str">
        <x:v>source-inventory.json + live-audit.json</x:v>
      </x:c>
      <x:c r="E9" s="23" t="str">
        <x:v>source-inventory.json + live-audit.json</x:v>
      </x:c>
      <x:c r="F9" s="23" t="str">
        <x:v>source-inventory.json + live-audit.json</x:v>
      </x:c>
      <x:c r="G9" s="3"/>
      <x:c r="H9" s="3" t="str">
        <x:v>Partially observed</x:v>
      </x:c>
      <x:c r="I9" s="14" t="n">
        <x:v>1</x:v>
      </x:c>
      <x:c r="J9" s="3"/>
      <x:c r="K9" s="3" t="str">
        <x:v>model-provider</x:v>
      </x:c>
      <x:c r="L9" s="3" t="str">
        <x:v>Source-only capsule</x:v>
      </x:c>
    </x:row>
    <x:row r="10" ht="36" customHeight="1">
      <x:c r="A10" s="19" t="str">
        <x:v>Live tool state</x:v>
      </x:c>
      <x:c r="B10" s="19" t="str">
        <x:v>Live tool state</x:v>
      </x:c>
      <x:c r="C10" s="23" t="str">
        <x:v>Brave uses the existing signed-in test session. Computer Use reached Home through accessibility controls at 100% zoom. Existing tabs and account data were preserved; tool-control errors remain separate from product results.</x:v>
      </x:c>
      <x:c r="D10" s="23" t="str">
        <x:v>Brave uses the existing signed-in test session. Computer Use reached Home through accessibility controls at 100% zoom. Existing tabs and account data were preserved; tool-control errors remain separate from product results.</x:v>
      </x:c>
      <x:c r="E10" s="23" t="str">
        <x:v>Brave uses the existing signed-in test session. Computer Use reached Home through accessibility controls at 100% zoom. Existing tabs and account data were preserved; tool-control errors remain separate from product results.</x:v>
      </x:c>
      <x:c r="F10" s="23" t="str">
        <x:v>Brave uses the existing signed-in test session. Computer Use reached Home through accessibility controls at 100% zoom. Existing tabs and account data were preserved; tool-control errors remain separate from product results.</x:v>
      </x:c>
      <x:c r="G10" s="3"/>
      <x:c r="H10" s="3" t="str">
        <x:v>Blocked prerequisite</x:v>
      </x:c>
      <x:c r="I10" s="14" t="n">
        <x:v>0</x:v>
      </x:c>
      <x:c r="J10" s="3"/>
      <x:c r="K10" s="3" t="str">
        <x:v>runtime-services</x:v>
      </x:c>
      <x:c r="L10" s="3" t="str">
        <x:v>Source-only area</x:v>
      </x:c>
    </x:row>
    <x:row r="11" ht="36" customHeight="1">
      <x:c r="A11" s="19" t="str">
        <x:v>How to record</x:v>
      </x:c>
      <x:c r="B11" s="19" t="str">
        <x:v>How to record</x:v>
      </x:c>
      <x:c r="C11" s="23" t="str">
        <x:v>Filter Journey Matrix by Area/Safety. Enter exact Live status, actual scope and evidence. Update Control Index only for the individual control observed.</x:v>
      </x:c>
      <x:c r="D11" s="23" t="str">
        <x:v>Filter Journey Matrix by Area/Safety. Enter exact Live status, actual scope and evidence. Update Control Index only for the individual control observed.</x:v>
      </x:c>
      <x:c r="E11" s="23" t="str">
        <x:v>Filter Journey Matrix by Area/Safety. Enter exact Live status, actual scope and evidence. Update Control Index only for the individual control observed.</x:v>
      </x:c>
      <x:c r="F11" s="23" t="str">
        <x:v>Filter Journey Matrix by Area/Safety. Enter exact Live status, actual scope and evidence. Update Control Index only for the individual control observed.</x:v>
      </x:c>
      <x:c r="G11" s="3"/>
      <x:c r="H11" s="3" t="str">
        <x:v>Blocked tool</x:v>
      </x:c>
      <x:c r="I11" s="14" t="n">
        <x:v>0</x:v>
      </x:c>
      <x:c r="J11" s="3"/>
      <x:c r="K11" s="3" t="str">
        <x:v>GUI</x:v>
      </x:c>
      <x:c r="L11" s="3" t="str">
        <x:v>Visible/journey coverage</x:v>
      </x:c>
    </x:row>
    <x:row r="12" ht="36" customHeight="1">
      <x:c r="A12" s="19" t="str">
        <x:v>Prior evidence</x:v>
      </x:c>
      <x:c r="B12" s="19" t="str">
        <x:v>Prior evidence</x:v>
      </x:c>
      <x:c r="C12" s="23" t="str">
        <x:v>Eight prior reports/static observations are retained separately. Current Live status cells record the later result or explicit blocker; prior reports alone add no Pass or observed count.</x:v>
      </x:c>
      <x:c r="D12" s="23" t="str">
        <x:v>Eight prior reports/static observations are retained separately. Current Live status cells record the later result or explicit blocker; prior reports alone add no Pass or observed count.</x:v>
      </x:c>
      <x:c r="E12" s="23" t="str">
        <x:v>Eight prior reports/static observations are retained separately. Current Live status cells record the later result or explicit blocker; prior reports alone add no Pass or observed count.</x:v>
      </x:c>
      <x:c r="F12" s="23" t="str">
        <x:v>Eight prior reports/static observations are retained separately. Current Live status cells record the later result or explicit blocker; prior reports alone add no Pass or observed count.</x:v>
      </x:c>
      <x:c r="G12" s="3"/>
      <x:c r="H12" s="3" t="str">
        <x:v>Not applicable</x:v>
      </x:c>
      <x:c r="I12" s="14" t="n">
        <x:v>0</x:v>
      </x:c>
      <x:c r="J12" s="3"/>
      <x:c r="K12" s="3" t="str">
        <x:v>Source only</x:v>
      </x:c>
      <x:c r="L12" s="3" t="str">
        <x:v>Excluded from execution base</x:v>
      </x:c>
    </x:row>
    <x:row r="13" ht="36" customHeight="1">
      <x:c r="A13" s="19" t="str">
        <x:v>Observation rate</x:v>
      </x:c>
      <x:c r="B13" s="19" t="str">
        <x:v>Observation rate</x:v>
      </x:c>
      <x:c r="C13" s="23" t="str">
        <x:v>GUI journeys with Pass, Fail or Partially observed / applicable GUI journeys. This is not full completion. Blocked and Not run stay in the denominator; Not applicable and source-only scope are excluded.</x:v>
      </x:c>
      <x:c r="D13" s="23" t="str">
        <x:v>GUI journeys with Pass, Fail or Partially observed / applicable GUI journeys. This is not full completion. Blocked and Not run stay in the denominator; Not applicable and source-only scope are excluded.</x:v>
      </x:c>
      <x:c r="E13" s="23" t="str">
        <x:v>GUI journeys with Pass, Fail or Partially observed / applicable GUI journeys. This is not full completion. Blocked and Not run stay in the denominator; Not applicable and source-only scope are excluded.</x:v>
      </x:c>
      <x:c r="F13" s="23" t="str">
        <x:v>GUI journeys with Pass, Fail or Partially observed / applicable GUI journeys. This is not full completion. Blocked and Not run stay in the denominator; Not applicable and source-only scope are excluded.</x:v>
      </x:c>
      <x:c r="G13" s="3"/>
      <x:c r="H13" s="3"/>
      <x:c r="I13" s="3"/>
      <x:c r="J13" s="3"/>
      <x:c r="K13" s="3"/>
      <x:c r="L13" s="3"/>
    </x:row>
    <x:row r="14" ht="36" customHeight="1">
      <x:c r="A14" s="19" t="str">
        <x:v>Pass rate</x:v>
      </x:c>
      <x:c r="B14" s="19" t="str">
        <x:v>Pass rate</x:v>
      </x:c>
      <x:c r="C14" s="23" t="str">
        <x:v>Pass / executed GUI journeys. Partial observations are executed but not passed. A zero rate with zero executions is not evidence of failure or success.</x:v>
      </x:c>
      <x:c r="D14" s="23" t="str">
        <x:v>Pass / executed GUI journeys. Partial observations are executed but not passed. A zero rate with zero executions is not evidence of failure or success.</x:v>
      </x:c>
      <x:c r="E14" s="23" t="str">
        <x:v>Pass / executed GUI journeys. Partial observations are executed but not passed. A zero rate with zero executions is not evidence of failure or success.</x:v>
      </x:c>
      <x:c r="F14" s="23" t="str">
        <x:v>Pass / executed GUI journeys. Partial observations are executed but not passed. A zero rate with zero executions is not evidence of failure or success.</x:v>
      </x:c>
      <x:c r="G14" s="3"/>
      <x:c r="H14" s="3"/>
      <x:c r="I14" s="3"/>
      <x:c r="J14" s="3"/>
      <x:c r="K14" s="3"/>
      <x:c r="L14" s="3"/>
    </x:row>
    <x:row r="15" ht="36" customHeight="1">
      <x:c r="A15" s="19" t="str">
        <x:v>Control coverage</x:v>
      </x:c>
      <x:c r="B15" s="19" t="str">
        <x:v>Control coverage</x:v>
      </x:c>
      <x:c r="C15" s="23" t="str">
        <x:v>Control results have a separate denominator. A journey Pass never assigns Pass to its static controls.</x:v>
      </x:c>
      <x:c r="D15" s="23" t="str">
        <x:v>Control results have a separate denominator. A journey Pass never assigns Pass to its static controls.</x:v>
      </x:c>
      <x:c r="E15" s="23" t="str">
        <x:v>Control results have a separate denominator. A journey Pass never assigns Pass to its static controls.</x:v>
      </x:c>
      <x:c r="F15" s="23" t="str">
        <x:v>Control results have a separate denominator. A journey Pass never assigns Pass to its static controls.</x:v>
      </x:c>
      <x:c r="G15" s="3"/>
      <x:c r="H15" s="3"/>
      <x:c r="I15" s="3"/>
      <x:c r="J15" s="3"/>
      <x:c r="K15" s="3"/>
      <x:c r="L15" s="3"/>
    </x:row>
    <x:row r="16" ht="36" customHeight="1">
      <x:c r="A16" s="19" t="str">
        <x:v>Safety</x:v>
      </x:c>
      <x:c r="B16" s="19" t="str">
        <x:v>Safety</x:v>
      </x:c>
      <x:c r="C16" s="23" t="str">
        <x:v>Preview/cancel by default. Actual file/account/recovery/model/network/financial/destructive/restart actions require approved disposable fixtures. User handles all secrets.</x:v>
      </x:c>
      <x:c r="D16" s="23" t="str">
        <x:v>Preview/cancel by default. Actual file/account/recovery/model/network/financial/destructive/restart actions require approved disposable fixtures. User handles all secrets.</x:v>
      </x:c>
      <x:c r="E16" s="23" t="str">
        <x:v>Preview/cancel by default. Actual file/account/recovery/model/network/financial/destructive/restart actions require approved disposable fixtures. User handles all secrets.</x:v>
      </x:c>
      <x:c r="F16" s="23" t="str">
        <x:v>Preview/cancel by default. Actual file/account/recovery/model/network/financial/destructive/restart actions require approved disposable fixtures. User handles all secrets.</x:v>
      </x:c>
      <x:c r="G16" s="3"/>
      <x:c r="H16" s="3"/>
      <x:c r="I16" s="3"/>
      <x:c r="J16" s="3"/>
      <x:c r="K16" s="3"/>
      <x:c r="L16" s="3"/>
    </x:row>
    <x:row r="17" ht="36" customHeight="1">
      <x:c r="A17" s="19" t="str">
        <x:v>Model distinctions</x:v>
      </x:c>
      <x:c r="B17" s="19" t="str">
        <x:v>Model distinctions</x:v>
      </x:c>
      <x:c r="C17" s="23" t="str">
        <x:v>The installed candidate starts model-provider through the shared Init contract and reaches a truthful zero-offer state. Model execution needs one approved compatible offer. Remote Profile offers and content-addressed model retrieval remain separate journeys.</x:v>
      </x:c>
      <x:c r="D17" s="23" t="str">
        <x:v>The installed candidate starts model-provider through the shared Init contract and reaches a truthful zero-offer state. Model execution needs one approved compatible offer. Remote Profile offers and content-addressed model retrieval remain separate journeys.</x:v>
      </x:c>
      <x:c r="E17" s="23" t="str">
        <x:v>The installed candidate starts model-provider through the shared Init contract and reaches a truthful zero-offer state. Model execution needs one approved compatible offer. Remote Profile offers and content-addressed model retrieval remain separate journeys.</x:v>
      </x:c>
      <x:c r="F17" s="23" t="str">
        <x:v>The installed candidate starts model-provider through the shared Init contract and reaches a truthful zero-offer state. Model execution needs one approved compatible offer. Remote Profile offers and content-addressed model retrieval remain separate journeys.</x:v>
      </x:c>
      <x:c r="G17" s="3"/>
      <x:c r="H17" s="3"/>
      <x:c r="I17" s="3"/>
      <x:c r="J17" s="3"/>
      <x:c r="K17" s="3"/>
      <x:c r="L17" s="3"/>
    </x:row>
    <x:row r="18" ht="36" customHeight="1">
      <x:c r="A18" s="19" t="str">
        <x:v>Protected content</x:v>
      </x:c>
      <x:c r="B18" s="19" t="str">
        <x:v>Protected content</x:v>
      </x:c>
      <x:c r="C18" s="23" t="str">
        <x:v>B-03: mint currently blocked by absent custody composition, private Chain config and inactive custody root. Funds alone are insufficient. Library code/installed hashes match; the video-only menu/dialog is not GUI-proven. See mint-readiness-evidence.md.</x:v>
      </x:c>
      <x:c r="D18" s="23" t="str">
        <x:v>B-03: mint currently blocked by absent custody composition, private Chain config and inactive custody root. Funds alone are insufficient. Library code/installed hashes match; the video-only menu/dialog is not GUI-proven. See mint-readiness-evidence.md.</x:v>
      </x:c>
      <x:c r="E18" s="23" t="str">
        <x:v>B-03: mint currently blocked by absent custody composition, private Chain config and inactive custody root. Funds alone are insufficient. Library code/installed hashes match; the video-only menu/dialog is not GUI-proven. See mint-readiness-evidence.md.</x:v>
      </x:c>
      <x:c r="F18" s="23" t="str">
        <x:v>B-03: mint currently blocked by absent custody composition, private Chain config and inactive custody root. Funds alone are insufficient. Library code/installed hashes match; the video-only menu/dialog is not GUI-proven. See mint-readiness-evidence.md.</x:v>
      </x:c>
      <x:c r="G18" s="3"/>
      <x:c r="H18" s="3"/>
      <x:c r="I18" s="3"/>
      <x:c r="J18" s="3"/>
      <x:c r="K18" s="3"/>
      <x:c r="L18" s="3"/>
    </x:row>
    <x:row r="19" ht="36" customHeight="1">
      <x:c r="A19" s="19" t="str">
        <x:v>Source references</x:v>
      </x:c>
      <x:c r="B19" s="19" t="str">
        <x:v>Source references</x:v>
      </x:c>
      <x:c r="C19" s="23" t="str">
        <x:v>S- IDs resolve below. Relative paths use source-inventory.json's exact worktree/commit. Static control rows include their own source file and line.</x:v>
      </x:c>
      <x:c r="D19" s="23" t="str">
        <x:v>S- IDs resolve below. Relative paths use source-inventory.json's exact worktree/commit. Static control rows include their own source file and line.</x:v>
      </x:c>
      <x:c r="E19" s="23" t="str">
        <x:v>S- IDs resolve below. Relative paths use source-inventory.json's exact worktree/commit. Static control rows include their own source file and line.</x:v>
      </x:c>
      <x:c r="F19" s="23" t="str">
        <x:v>S- IDs resolve below. Relative paths use source-inventory.json's exact worktree/commit. Static control rows include their own source file and line.</x:v>
      </x:c>
      <x:c r="G19" s="3"/>
      <x:c r="H19" s="3"/>
      <x:c r="I19" s="3"/>
      <x:c r="J19" s="3"/>
      <x:c r="K19" s="3"/>
      <x:c r="L19" s="3"/>
    </x:row>
    <x:row r="20" ht="36" customHeight="1">
      <x:c r="A20" s="19" t="str">
        <x:v>Views and limits</x:v>
      </x:c>
      <x:c r="B20" s="19" t="str">
        <x:v>Views and limits</x:v>
      </x:c>
      <x:c r="C20" s="23" t="str">
        <x:v>Mapped capsule coverage means at least one source journey per capsule, not every possible path/state. Dynamic groups and conditional templates are indexed separately. ROM internals and remote-page controls need live observation.</x:v>
      </x:c>
      <x:c r="D20" s="23" t="str">
        <x:v>Mapped capsule coverage means at least one source journey per capsule, not every possible path/state. Dynamic groups and conditional templates are indexed separately. ROM internals and remote-page controls need live observation.</x:v>
      </x:c>
      <x:c r="E20" s="23" t="str">
        <x:v>Mapped capsule coverage means at least one source journey per capsule, not every possible path/state. Dynamic groups and conditional templates are indexed separately. ROM internals and remote-page controls need live observation.</x:v>
      </x:c>
      <x:c r="F20" s="23" t="str">
        <x:v>Mapped capsule coverage means at least one source journey per capsule, not every possible path/state. Dynamic groups and conditional templates are indexed separately. ROM internals and remote-page controls need live observation.</x:v>
      </x:c>
      <x:c r="G20" s="3"/>
      <x:c r="H20" s="3"/>
      <x:c r="I20" s="3"/>
      <x:c r="J20" s="3"/>
      <x:c r="K20" s="3"/>
      <x:c r="L20" s="3"/>
    </x:row>
    <x:row r="21" ht="36" customHeight="1">
      <x:c r="A21" s="19" t="str">
        <x:v>Handoff state</x:v>
      </x:c>
      <x:c r="B21" s="19" t="str">
        <x:v>Handoff state</x:v>
      </x:c>
      <x:c r="C21" s="23" t="str">
        <x:v>Installed candidate snapshot: 37b4195a / tree 36871424. Runtime SHA-256 d9c9378b881072c0adc1b534429d7dd87c9cb8240849e677fb8c16c3d1ddc5a8; Home asset SHA-256 7bbffd989be301c9851ee3561bddc4182ec23ced8c502c3f01cdab4f7bb808f7. E-108 records current installed proof.</x:v>
      </x:c>
      <x:c r="D21" s="23" t="str">
        <x:v>Installed candidate snapshot: 37b4195a / tree 36871424. Runtime SHA-256 d9c9378b881072c0adc1b534429d7dd87c9cb8240849e677fb8c16c3d1ddc5a8; Home asset SHA-256 7bbffd989be301c9851ee3561bddc4182ec23ced8c502c3f01cdab4f7bb808f7. E-108 records current installed proof.</x:v>
      </x:c>
      <x:c r="E21" s="23" t="str">
        <x:v>Installed candidate snapshot: 37b4195a / tree 36871424. Runtime SHA-256 d9c9378b881072c0adc1b534429d7dd87c9cb8240849e677fb8c16c3d1ddc5a8; Home asset SHA-256 7bbffd989be301c9851ee3561bddc4182ec23ced8c502c3f01cdab4f7bb808f7. E-108 records current installed proof.</x:v>
      </x:c>
      <x:c r="F21" s="23" t="str">
        <x:v>Installed candidate snapshot: 37b4195a / tree 36871424. Runtime SHA-256 d9c9378b881072c0adc1b534429d7dd87c9cb8240849e677fb8c16c3d1ddc5a8; Home asset SHA-256 7bbffd989be301c9851ee3561bddc4182ec23ced8c502c3f01cdab4f7bb808f7. E-108 records current installed proof.</x:v>
      </x:c>
      <x:c r="G21" s="3"/>
      <x:c r="H21" s="3"/>
      <x:c r="I21" s="3"/>
      <x:c r="J21" s="3"/>
      <x:c r="K21" s="3"/>
      <x:c r="L21" s="3"/>
    </x:row>
    <x:row r="22" ht="36" customHeight="1">
      <x:c r="A22" s="19" t="str">
        <x:v>Known live evidence</x:v>
      </x:c>
      <x:c r="B22" s="19" t="str">
        <x:v>Known live evidence</x:v>
      </x:c>
      <x:c r="C22" s="23" t="str">
        <x:v>The workbook retains 61 product findings. E-108 adds current installed evidence without changing older outcomes that still need a direct retest.</x:v>
      </x:c>
      <x:c r="D22" s="23" t="str">
        <x:v>The workbook retains 61 product findings. E-108 adds current installed evidence without changing older outcomes that still need a direct retest.</x:v>
      </x:c>
      <x:c r="E22" s="23" t="str">
        <x:v>The workbook retains 61 product findings. E-108 adds current installed evidence without changing older outcomes that still need a direct retest.</x:v>
      </x:c>
      <x:c r="F22" s="23" t="str">
        <x:v>The workbook retains 61 product findings. E-108 adds current installed evidence without changing older outcomes that still need a direct retest.</x:v>
      </x:c>
      <x:c r="G22" s="3"/>
      <x:c r="H22" s="3"/>
      <x:c r="I22" s="3"/>
      <x:c r="J22" s="3"/>
      <x:c r="K22" s="3"/>
      <x:c r="L22" s="3"/>
    </x:row>
    <x:row r="23" ht="36" customHeight="1">
      <x:c r="A23" s="19" t="str">
        <x:v>Needs retest</x:v>
      </x:c>
      <x:c r="B23" s="19" t="str">
        <x:v>Needs retest</x:v>
      </x:c>
      <x:c r="C23" s="23" t="str">
        <x:v>Tiny/clipped Library screenshot has ambiguous viewport/window state. Treat as Needs retest, not a confirmed regression. Failed capture 023, if present, is tool evidence only.</x:v>
      </x:c>
      <x:c r="D23" s="23" t="str">
        <x:v>Tiny/clipped Library screenshot has ambiguous viewport/window state. Treat as Needs retest, not a confirmed regression. Failed capture 023, if present, is tool evidence only.</x:v>
      </x:c>
      <x:c r="E23" s="23" t="str">
        <x:v>Tiny/clipped Library screenshot has ambiguous viewport/window state. Treat as Needs retest, not a confirmed regression. Failed capture 023, if present, is tool evidence only.</x:v>
      </x:c>
      <x:c r="F23" s="23" t="str">
        <x:v>Tiny/clipped Library screenshot has ambiguous viewport/window state. Treat as Needs retest, not a confirmed regression. Failed capture 023, if present, is tool evidence only.</x:v>
      </x:c>
      <x:c r="G23" s="3"/>
      <x:c r="H23" s="3"/>
      <x:c r="I23" s="3"/>
      <x:c r="J23" s="3"/>
      <x:c r="K23" s="3"/>
      <x:c r="L23" s="3"/>
    </x:row>
    <x:row r="24" ht="36" customHeight="1">
      <x:c r="A24" s="19" t="str">
        <x:v>Controlled prerequisites</x:v>
      </x:c>
      <x:c r="B24" s="19" t="str">
        <x:v>Controlled prerequisites</x:v>
      </x:c>
      <x:c r="C24" s="23" t="str">
        <x:v>Fresh disposable Profile/recovery target, approved funds/account/recipient, signed custody/private Chain config, real availability and a second consenting Runtime are separate requirements. ffmpeg/ffprobe and Browser VM assets require installed artifact verification plus manual proof.</x:v>
      </x:c>
      <x:c r="D24" s="23" t="str">
        <x:v>Fresh disposable Profile/recovery target, approved funds/account/recipient, signed custody/private Chain config, real availability and a second consenting Runtime are separate requirements. ffmpeg/ffprobe and Browser VM assets require installed artifact verification plus manual proof.</x:v>
      </x:c>
      <x:c r="E24" s="23" t="str">
        <x:v>Fresh disposable Profile/recovery target, approved funds/account/recipient, signed custody/private Chain config, real availability and a second consenting Runtime are separate requirements. ffmpeg/ffprobe and Browser VM assets require installed artifact verification plus manual proof.</x:v>
      </x:c>
      <x:c r="F24" s="23" t="str">
        <x:v>Fresh disposable Profile/recovery target, approved funds/account/recipient, signed custody/private Chain config, real availability and a second consenting Runtime are separate requirements. ffmpeg/ffprobe and Browser VM assets require installed artifact verification plus manual proof.</x:v>
      </x:c>
      <x:c r="G24" s="3"/>
      <x:c r="H24" s="3"/>
      <x:c r="I24" s="3"/>
      <x:c r="J24" s="3"/>
      <x:c r="K24" s="3"/>
      <x:c r="L24" s="3"/>
    </x:row>
    <x:row r="25">
      <x:c r="A25" s="3"/>
      <x:c r="B25" s="3"/>
      <x:c r="C25" s="3"/>
      <x:c r="D25" s="3"/>
      <x:c r="E25" s="3"/>
      <x:c r="F25" s="3"/>
      <x:c r="G25" s="3"/>
      <x:c r="H25" s="3"/>
      <x:c r="I25" s="3"/>
      <x:c r="J25" s="3"/>
      <x:c r="K25" s="3"/>
      <x:c r="L25" s="3"/>
    </x:row>
    <x:row r="26">
      <x:c r="A26" s="3"/>
      <x:c r="B26" s="3"/>
      <x:c r="C26" s="3"/>
      <x:c r="D26" s="3"/>
      <x:c r="E26" s="3"/>
      <x:c r="F26" s="3"/>
      <x:c r="G26" s="3"/>
      <x:c r="H26" s="3"/>
      <x:c r="I26" s="3"/>
      <x:c r="J26" s="3"/>
      <x:c r="K26" s="3"/>
      <x:c r="L26" s="3"/>
    </x:row>
    <x:row r="27">
      <x:c r="A27" s="16" t="str">
        <x:v>Evidence register | Source references and observations have separate evidence classes</x:v>
      </x:c>
      <x:c r="B27" s="16" t="str">
        <x:v>Evidence register | Source references and observations have separate evidence classes</x:v>
      </x:c>
      <x:c r="C27" s="16" t="str">
        <x:v>Evidence register | Source references and observations have separate evidence classes</x:v>
      </x:c>
      <x:c r="D27" s="16" t="str">
        <x:v>Evidence register | Source references and observations have separate evidence classes</x:v>
      </x:c>
      <x:c r="E27" s="16" t="str">
        <x:v>Evidence register | Source references and observations have separate evidence classes</x:v>
      </x:c>
      <x:c r="F27" s="16" t="str">
        <x:v>Evidence register | Source references and observations have separate evidence classes</x:v>
      </x:c>
      <x:c r="G27" s="3"/>
      <x:c r="H27" s="3"/>
      <x:c r="I27" s="3"/>
      <x:c r="J27" s="3"/>
      <x:c r="K27" s="3"/>
      <x:c r="L27" s="3"/>
    </x:row>
    <x:row r="28">
      <x:c r="A28" s="3"/>
      <x:c r="B28" s="3"/>
      <x:c r="C28" s="3"/>
      <x:c r="D28" s="3"/>
      <x:c r="E28" s="3"/>
      <x:c r="F28" s="3"/>
      <x:c r="G28" s="3"/>
      <x:c r="H28" s="3"/>
      <x:c r="I28" s="3"/>
      <x:c r="J28" s="3"/>
      <x:c r="K28" s="3"/>
      <x:c r="L28" s="3"/>
    </x:row>
    <x:row r="29" ht="28.5" customHeight="1">
      <x:c r="A29" s="11" t="str">
        <x:v>Evidence ID</x:v>
      </x:c>
      <x:c r="B29" s="11" t="str">
        <x:v>Kind</x:v>
      </x:c>
      <x:c r="C29" s="11" t="str">
        <x:v>Claim / source</x:v>
      </x:c>
      <x:c r="D29" s="11" t="str">
        <x:v>Locator</x:v>
      </x:c>
      <x:c r="E29" s="11" t="str">
        <x:v>Evidence level</x:v>
      </x:c>
      <x:c r="F29" s="11" t="str">
        <x:v>Scope / limitation</x:v>
      </x:c>
      <x:c r="G29" s="3"/>
      <x:c r="H29" s="3"/>
      <x:c r="I29" s="3"/>
      <x:c r="J29" s="3"/>
      <x:c r="K29" s="3"/>
      <x:c r="L29" s="3"/>
    </x:row>
    <x:row r="30" ht="42" customHeight="1">
      <x:c r="A30" s="3" t="str">
        <x:v>S-001</x:v>
      </x:c>
      <x:c r="B30" s="3" t="str">
        <x:v>Source</x:v>
      </x:c>
      <x:c r="C30" s="3" t="str">
        <x:v>index.html:87</x:v>
      </x:c>
      <x:c r="D30" s="3" t="str">
        <x:v>capsules/home/browser/index.html:87</x:v>
      </x:c>
      <x:c r="E30" s="3" t="str">
        <x:v>Expected behavior only</x:v>
      </x:c>
      <x:c r="F30" s="3" t="str">
        <x:v>Source commit 8e5eb88b; not live execution.</x:v>
      </x:c>
      <x:c r="G30" s="3"/>
      <x:c r="H30" s="3"/>
      <x:c r="I30" s="3"/>
      <x:c r="J30" s="3"/>
      <x:c r="K30" s="3"/>
      <x:c r="L30" s="3"/>
    </x:row>
    <x:row r="31" ht="42" customHeight="1">
      <x:c r="A31" s="3" t="str">
        <x:v>S-002</x:v>
      </x:c>
      <x:c r="B31" s="3" t="str">
        <x:v>Source</x:v>
      </x:c>
      <x:c r="C31" s="3" t="str">
        <x:v>index.html:97</x:v>
      </x:c>
      <x:c r="D31" s="3" t="str">
        <x:v>capsules/home/browser/index.html:97</x:v>
      </x:c>
      <x:c r="E31" s="3" t="str">
        <x:v>Expected behavior only</x:v>
      </x:c>
      <x:c r="F31" s="3" t="str">
        <x:v>Source commit 8e5eb88b; not live execution.</x:v>
      </x:c>
      <x:c r="G31" s="3"/>
      <x:c r="H31" s="3"/>
      <x:c r="I31" s="3"/>
      <x:c r="J31" s="3"/>
      <x:c r="K31" s="3"/>
      <x:c r="L31" s="3"/>
    </x:row>
    <x:row r="32" ht="42" customHeight="1">
      <x:c r="A32" s="3" t="str">
        <x:v>S-003</x:v>
      </x:c>
      <x:c r="B32" s="3" t="str">
        <x:v>Source</x:v>
      </x:c>
      <x:c r="C32" s="3" t="str">
        <x:v>index.html:98</x:v>
      </x:c>
      <x:c r="D32" s="3" t="str">
        <x:v>capsules/home/browser/index.html:98</x:v>
      </x:c>
      <x:c r="E32" s="3" t="str">
        <x:v>Expected behavior only</x:v>
      </x:c>
      <x:c r="F32" s="3" t="str">
        <x:v>Source commit 8e5eb88b; not live execution.</x:v>
      </x:c>
      <x:c r="G32" s="3"/>
      <x:c r="H32" s="3"/>
      <x:c r="I32" s="3"/>
      <x:c r="J32" s="3"/>
      <x:c r="K32" s="3"/>
      <x:c r="L32" s="3"/>
    </x:row>
    <x:row r="33" ht="42" customHeight="1">
      <x:c r="A33" s="3" t="str">
        <x:v>S-004</x:v>
      </x:c>
      <x:c r="B33" s="3" t="str">
        <x:v>Source</x:v>
      </x:c>
      <x:c r="C33" s="3" t="str">
        <x:v>index.html:45</x:v>
      </x:c>
      <x:c r="D33" s="3" t="str">
        <x:v>capsules/home/browser/index.html:45</x:v>
      </x:c>
      <x:c r="E33" s="3" t="str">
        <x:v>Expected behavior only</x:v>
      </x:c>
      <x:c r="F33" s="3" t="str">
        <x:v>Source commit 8e5eb88b; not live execution.</x:v>
      </x:c>
      <x:c r="G33" s="3"/>
      <x:c r="H33" s="3"/>
      <x:c r="I33" s="3"/>
      <x:c r="J33" s="3"/>
      <x:c r="K33" s="3"/>
      <x:c r="L33" s="3"/>
    </x:row>
    <x:row r="34" ht="42" customHeight="1">
      <x:c r="A34" s="3" t="str">
        <x:v>S-005</x:v>
      </x:c>
      <x:c r="B34" s="3" t="str">
        <x:v>Source</x:v>
      </x:c>
      <x:c r="C34" s="3" t="str">
        <x:v>index.html:51</x:v>
      </x:c>
      <x:c r="D34" s="3" t="str">
        <x:v>capsules/home/browser/index.html:51</x:v>
      </x:c>
      <x:c r="E34" s="3" t="str">
        <x:v>Expected behavior only</x:v>
      </x:c>
      <x:c r="F34" s="3" t="str">
        <x:v>Source commit 8e5eb88b; not live execution.</x:v>
      </x:c>
      <x:c r="G34" s="3"/>
      <x:c r="H34" s="3"/>
      <x:c r="I34" s="3"/>
      <x:c r="J34" s="3"/>
      <x:c r="K34" s="3"/>
      <x:c r="L34" s="3"/>
    </x:row>
    <x:row r="35" ht="42" customHeight="1">
      <x:c r="A35" s="3" t="str">
        <x:v>S-006</x:v>
      </x:c>
      <x:c r="B35" s="3" t="str">
        <x:v>Source</x:v>
      </x:c>
      <x:c r="C35" s="3" t="str">
        <x:v>index.html:119</x:v>
      </x:c>
      <x:c r="D35" s="3" t="str">
        <x:v>capsules/home/browser/index.html:119</x:v>
      </x:c>
      <x:c r="E35" s="3" t="str">
        <x:v>Expected behavior only</x:v>
      </x:c>
      <x:c r="F35" s="3" t="str">
        <x:v>Source commit 8e5eb88b; not live execution.</x:v>
      </x:c>
      <x:c r="G35" s="3"/>
      <x:c r="H35" s="3"/>
      <x:c r="I35" s="3"/>
      <x:c r="J35" s="3"/>
      <x:c r="K35" s="3"/>
      <x:c r="L35" s="3"/>
    </x:row>
    <x:row r="36" ht="42" customHeight="1">
      <x:c r="A36" s="3" t="str">
        <x:v>S-007</x:v>
      </x:c>
      <x:c r="B36" s="3" t="str">
        <x:v>Source</x:v>
      </x:c>
      <x:c r="C36" s="3" t="str">
        <x:v>home-gui-template.html:329</x:v>
      </x:c>
      <x:c r="D36" s="3" t="str">
        <x:v>capsules/home-gui/browser/home-gui-template.html:329</x:v>
      </x:c>
      <x:c r="E36" s="3" t="str">
        <x:v>Expected behavior only</x:v>
      </x:c>
      <x:c r="F36" s="3" t="str">
        <x:v>Source commit 8e5eb88b; not live execution.</x:v>
      </x:c>
      <x:c r="G36" s="3"/>
      <x:c r="H36" s="3"/>
      <x:c r="I36" s="3"/>
      <x:c r="J36" s="3"/>
      <x:c r="K36" s="3"/>
      <x:c r="L36" s="3"/>
    </x:row>
    <x:row r="37" ht="42" customHeight="1">
      <x:c r="A37" s="3" t="str">
        <x:v>S-008</x:v>
      </x:c>
      <x:c r="B37" s="3" t="str">
        <x:v>Source</x:v>
      </x:c>
      <x:c r="C37" s="3" t="str">
        <x:v>shell-core.js:681</x:v>
      </x:c>
      <x:c r="D37" s="3" t="str">
        <x:v>capsules/home-gui/browser/shell-core.js:681</x:v>
      </x:c>
      <x:c r="E37" s="3" t="str">
        <x:v>Expected behavior only</x:v>
      </x:c>
      <x:c r="F37" s="3" t="str">
        <x:v>Source commit 8e5eb88b; not live execution.</x:v>
      </x:c>
      <x:c r="G37" s="3"/>
      <x:c r="H37" s="3"/>
      <x:c r="I37" s="3"/>
      <x:c r="J37" s="3"/>
      <x:c r="K37" s="3"/>
      <x:c r="L37" s="3"/>
    </x:row>
    <x:row r="38" ht="42" customHeight="1">
      <x:c r="A38" s="3" t="str">
        <x:v>S-009</x:v>
      </x:c>
      <x:c r="B38" s="3" t="str">
        <x:v>Source</x:v>
      </x:c>
      <x:c r="C38" s="3" t="str">
        <x:v>shell-surface.js:88</x:v>
      </x:c>
      <x:c r="D38" s="3" t="str">
        <x:v>capsules/home-gui/browser/shell-surface.js:88</x:v>
      </x:c>
      <x:c r="E38" s="3" t="str">
        <x:v>Expected behavior only</x:v>
      </x:c>
      <x:c r="F38" s="3" t="str">
        <x:v>Source commit 8e5eb88b; not live execution.</x:v>
      </x:c>
      <x:c r="G38" s="3"/>
      <x:c r="H38" s="3"/>
      <x:c r="I38" s="3"/>
      <x:c r="J38" s="3"/>
      <x:c r="K38" s="3"/>
      <x:c r="L38" s="3"/>
    </x:row>
    <x:row r="39" ht="42" customHeight="1">
      <x:c r="A39" s="3" t="str">
        <x:v>S-010</x:v>
      </x:c>
      <x:c r="B39" s="3" t="str">
        <x:v>Source</x:v>
      </x:c>
      <x:c r="C39" s="3" t="str">
        <x:v>home-gui-template.html:367</x:v>
      </x:c>
      <x:c r="D39" s="3" t="str">
        <x:v>capsules/home-gui/browser/home-gui-template.html:367</x:v>
      </x:c>
      <x:c r="E39" s="3" t="str">
        <x:v>Expected behavior only</x:v>
      </x:c>
      <x:c r="F39" s="3" t="str">
        <x:v>Source commit 8e5eb88b; not live execution.</x:v>
      </x:c>
      <x:c r="G39" s="3"/>
      <x:c r="H39" s="3"/>
      <x:c r="I39" s="3"/>
      <x:c r="J39" s="3"/>
      <x:c r="K39" s="3"/>
      <x:c r="L39" s="3"/>
    </x:row>
    <x:row r="40" ht="42" customHeight="1">
      <x:c r="A40" s="3" t="str">
        <x:v>S-011</x:v>
      </x:c>
      <x:c r="B40" s="3" t="str">
        <x:v>Source</x:v>
      </x:c>
      <x:c r="C40" s="3" t="str">
        <x:v>shell-surface.js:585</x:v>
      </x:c>
      <x:c r="D40" s="3" t="str">
        <x:v>capsules/home-gui/browser/shell-surface.js:585</x:v>
      </x:c>
      <x:c r="E40" s="3" t="str">
        <x:v>Expected behavior only</x:v>
      </x:c>
      <x:c r="F40" s="3" t="str">
        <x:v>Source commit 8e5eb88b; not live execution.</x:v>
      </x:c>
      <x:c r="G40" s="3"/>
      <x:c r="H40" s="3"/>
      <x:c r="I40" s="3"/>
      <x:c r="J40" s="3"/>
      <x:c r="K40" s="3"/>
      <x:c r="L40" s="3"/>
    </x:row>
    <x:row r="41" ht="42" customHeight="1">
      <x:c r="A41" s="3" t="str">
        <x:v>S-012</x:v>
      </x:c>
      <x:c r="B41" s="3" t="str">
        <x:v>Source</x:v>
      </x:c>
      <x:c r="C41" s="3" t="str">
        <x:v>home-gui-template.html:440</x:v>
      </x:c>
      <x:c r="D41" s="3" t="str">
        <x:v>capsules/home-gui/browser/home-gui-template.html:440</x:v>
      </x:c>
      <x:c r="E41" s="3" t="str">
        <x:v>Expected behavior only</x:v>
      </x:c>
      <x:c r="F41" s="3" t="str">
        <x:v>Source commit 8e5eb88b; not live execution.</x:v>
      </x:c>
      <x:c r="G41" s="3"/>
      <x:c r="H41" s="3"/>
      <x:c r="I41" s="3"/>
      <x:c r="J41" s="3"/>
      <x:c r="K41" s="3"/>
      <x:c r="L41" s="3"/>
    </x:row>
    <x:row r="42" ht="42" customHeight="1">
      <x:c r="A42" s="3" t="str">
        <x:v>S-013</x:v>
      </x:c>
      <x:c r="B42" s="3" t="str">
        <x:v>Source</x:v>
      </x:c>
      <x:c r="C42" s="3" t="str">
        <x:v>home-gui-template.html:105</x:v>
      </x:c>
      <x:c r="D42" s="3" t="str">
        <x:v>capsules/home-gui/browser/home-gui-template.html:105</x:v>
      </x:c>
      <x:c r="E42" s="3" t="str">
        <x:v>Expected behavior only</x:v>
      </x:c>
      <x:c r="F42" s="3" t="str">
        <x:v>Source commit 8e5eb88b; not live execution.</x:v>
      </x:c>
      <x:c r="G42" s="3"/>
      <x:c r="H42" s="3"/>
      <x:c r="I42" s="3"/>
      <x:c r="J42" s="3"/>
      <x:c r="K42" s="3"/>
      <x:c r="L42" s="3"/>
    </x:row>
    <x:row r="43" ht="42" customHeight="1">
      <x:c r="A43" s="3" t="str">
        <x:v>S-014</x:v>
      </x:c>
      <x:c r="B43" s="3" t="str">
        <x:v>Source</x:v>
      </x:c>
      <x:c r="C43" s="3" t="str">
        <x:v>home-gui-template.html:12</x:v>
      </x:c>
      <x:c r="D43" s="3" t="str">
        <x:v>capsules/home-gui/browser/home-gui-template.html:12</x:v>
      </x:c>
      <x:c r="E43" s="3" t="str">
        <x:v>Expected behavior only</x:v>
      </x:c>
      <x:c r="F43" s="3" t="str">
        <x:v>Source commit 8e5eb88b; not live execution.</x:v>
      </x:c>
      <x:c r="G43" s="3"/>
      <x:c r="H43" s="3"/>
      <x:c r="I43" s="3"/>
      <x:c r="J43" s="3"/>
      <x:c r="K43" s="3"/>
      <x:c r="L43" s="3"/>
    </x:row>
    <x:row r="44" ht="42" customHeight="1">
      <x:c r="A44" s="3" t="str">
        <x:v>S-015</x:v>
      </x:c>
      <x:c r="B44" s="3" t="str">
        <x:v>Source</x:v>
      </x:c>
      <x:c r="C44" s="3" t="str">
        <x:v>home-gui-template.html:40</x:v>
      </x:c>
      <x:c r="D44" s="3" t="str">
        <x:v>capsules/home-gui/browser/home-gui-template.html:40</x:v>
      </x:c>
      <x:c r="E44" s="3" t="str">
        <x:v>Expected behavior only</x:v>
      </x:c>
      <x:c r="F44" s="3" t="str">
        <x:v>Source commit 8e5eb88b; not live execution.</x:v>
      </x:c>
      <x:c r="G44" s="3"/>
      <x:c r="H44" s="3"/>
      <x:c r="I44" s="3"/>
      <x:c r="J44" s="3"/>
      <x:c r="K44" s="3"/>
      <x:c r="L44" s="3"/>
    </x:row>
    <x:row r="45" ht="42" customHeight="1">
      <x:c r="A45" s="3" t="str">
        <x:v>S-016</x:v>
      </x:c>
      <x:c r="B45" s="3" t="str">
        <x:v>Source</x:v>
      </x:c>
      <x:c r="C45" s="3" t="str">
        <x:v>shell-surface.js:1913</x:v>
      </x:c>
      <x:c r="D45" s="3" t="str">
        <x:v>capsules/home-gui/browser/shell-surface.js:1913</x:v>
      </x:c>
      <x:c r="E45" s="3" t="str">
        <x:v>Expected behavior only</x:v>
      </x:c>
      <x:c r="F45" s="3" t="str">
        <x:v>Source commit 8e5eb88b; not live execution.</x:v>
      </x:c>
      <x:c r="G45" s="3"/>
      <x:c r="H45" s="3"/>
      <x:c r="I45" s="3"/>
      <x:c r="J45" s="3"/>
      <x:c r="K45" s="3"/>
      <x:c r="L45" s="3"/>
    </x:row>
    <x:row r="46" ht="42" customHeight="1">
      <x:c r="A46" s="3" t="str">
        <x:v>S-017</x:v>
      </x:c>
      <x:c r="B46" s="3" t="str">
        <x:v>Source</x:v>
      </x:c>
      <x:c r="C46" s="3" t="str">
        <x:v>shell-surface.js:2018</x:v>
      </x:c>
      <x:c r="D46" s="3" t="str">
        <x:v>capsules/home-gui/browser/shell-surface.js:2018</x:v>
      </x:c>
      <x:c r="E46" s="3" t="str">
        <x:v>Expected behavior only</x:v>
      </x:c>
      <x:c r="F46" s="3" t="str">
        <x:v>Source commit 8e5eb88b; not live execution.</x:v>
      </x:c>
      <x:c r="G46" s="3"/>
      <x:c r="H46" s="3"/>
      <x:c r="I46" s="3"/>
      <x:c r="J46" s="3"/>
      <x:c r="K46" s="3"/>
      <x:c r="L46" s="3"/>
    </x:row>
    <x:row r="47" ht="42" customHeight="1">
      <x:c r="A47" s="3" t="str">
        <x:v>S-018</x:v>
      </x:c>
      <x:c r="B47" s="3" t="str">
        <x:v>Source</x:v>
      </x:c>
      <x:c r="C47" s="3" t="str">
        <x:v>shell-core.js:874</x:v>
      </x:c>
      <x:c r="D47" s="3" t="str">
        <x:v>capsules/home-gui/browser/shell-core.js:874</x:v>
      </x:c>
      <x:c r="E47" s="3" t="str">
        <x:v>Expected behavior only</x:v>
      </x:c>
      <x:c r="F47" s="3" t="str">
        <x:v>Source commit 8e5eb88b; not live execution.</x:v>
      </x:c>
      <x:c r="G47" s="3"/>
      <x:c r="H47" s="3"/>
      <x:c r="I47" s="3"/>
      <x:c r="J47" s="3"/>
      <x:c r="K47" s="3"/>
      <x:c r="L47" s="3"/>
    </x:row>
    <x:row r="48" ht="42" customHeight="1">
      <x:c r="A48" s="3" t="str">
        <x:v>S-019</x:v>
      </x:c>
      <x:c r="B48" s="3" t="str">
        <x:v>Source</x:v>
      </x:c>
      <x:c r="C48" s="3" t="str">
        <x:v>shell-surface.js:1901</x:v>
      </x:c>
      <x:c r="D48" s="3" t="str">
        <x:v>capsules/home-gui/browser/shell-surface.js:1901</x:v>
      </x:c>
      <x:c r="E48" s="3" t="str">
        <x:v>Expected behavior only</x:v>
      </x:c>
      <x:c r="F48" s="3" t="str">
        <x:v>Source commit 8e5eb88b; not live execution.</x:v>
      </x:c>
      <x:c r="G48" s="3"/>
      <x:c r="H48" s="3"/>
      <x:c r="I48" s="3"/>
      <x:c r="J48" s="3"/>
      <x:c r="K48" s="3"/>
      <x:c r="L48" s="3"/>
    </x:row>
    <x:row r="49" ht="42" customHeight="1">
      <x:c r="A49" s="3" t="str">
        <x:v>S-020</x:v>
      </x:c>
      <x:c r="B49" s="3" t="str">
        <x:v>Source</x:v>
      </x:c>
      <x:c r="C49" s="3" t="str">
        <x:v>shell-surface.js:1939</x:v>
      </x:c>
      <x:c r="D49" s="3" t="str">
        <x:v>capsules/home-gui/browser/shell-surface.js:1939</x:v>
      </x:c>
      <x:c r="E49" s="3" t="str">
        <x:v>Expected behavior only</x:v>
      </x:c>
      <x:c r="F49" s="3" t="str">
        <x:v>Source commit 8e5eb88b; not live execution.</x:v>
      </x:c>
      <x:c r="G49" s="3"/>
      <x:c r="H49" s="3"/>
      <x:c r="I49" s="3"/>
      <x:c r="J49" s="3"/>
      <x:c r="K49" s="3"/>
      <x:c r="L49" s="3"/>
    </x:row>
    <x:row r="50" ht="42" customHeight="1">
      <x:c r="A50" s="3" t="str">
        <x:v>S-021</x:v>
      </x:c>
      <x:c r="B50" s="3" t="str">
        <x:v>Source</x:v>
      </x:c>
      <x:c r="C50" s="3" t="str">
        <x:v>home-gui-template.html:206</x:v>
      </x:c>
      <x:c r="D50" s="3" t="str">
        <x:v>capsules/home-gui/browser/home-gui-template.html:206</x:v>
      </x:c>
      <x:c r="E50" s="3" t="str">
        <x:v>Expected behavior only</x:v>
      </x:c>
      <x:c r="F50" s="3" t="str">
        <x:v>Source commit 8e5eb88b; not live execution.</x:v>
      </x:c>
      <x:c r="G50" s="3"/>
      <x:c r="H50" s="3"/>
      <x:c r="I50" s="3"/>
      <x:c r="J50" s="3"/>
      <x:c r="K50" s="3"/>
      <x:c r="L50" s="3"/>
    </x:row>
    <x:row r="51" ht="42" customHeight="1">
      <x:c r="A51" s="3" t="str">
        <x:v>S-022</x:v>
      </x:c>
      <x:c r="B51" s="3" t="str">
        <x:v>Source</x:v>
      </x:c>
      <x:c r="C51" s="3" t="str">
        <x:v>home-gui-template.html:76</x:v>
      </x:c>
      <x:c r="D51" s="3" t="str">
        <x:v>capsules/home-gui/browser/home-gui-template.html:76</x:v>
      </x:c>
      <x:c r="E51" s="3" t="str">
        <x:v>Expected behavior only</x:v>
      </x:c>
      <x:c r="F51" s="3" t="str">
        <x:v>Source commit 8e5eb88b; not live execution.</x:v>
      </x:c>
      <x:c r="G51" s="3"/>
      <x:c r="H51" s="3"/>
      <x:c r="I51" s="3"/>
      <x:c r="J51" s="3"/>
      <x:c r="K51" s="3"/>
      <x:c r="L51" s="3"/>
    </x:row>
    <x:row r="52" ht="42" customHeight="1">
      <x:c r="A52" s="3" t="str">
        <x:v>S-023</x:v>
      </x:c>
      <x:c r="B52" s="3" t="str">
        <x:v>Source</x:v>
      </x:c>
      <x:c r="C52" s="3" t="str">
        <x:v>home-gui-template.html:126</x:v>
      </x:c>
      <x:c r="D52" s="3" t="str">
        <x:v>capsules/home-gui/browser/home-gui-template.html:126</x:v>
      </x:c>
      <x:c r="E52" s="3" t="str">
        <x:v>Expected behavior only</x:v>
      </x:c>
      <x:c r="F52" s="3" t="str">
        <x:v>Source commit 8e5eb88b; not live execution.</x:v>
      </x:c>
      <x:c r="G52" s="3"/>
      <x:c r="H52" s="3"/>
      <x:c r="I52" s="3"/>
      <x:c r="J52" s="3"/>
      <x:c r="K52" s="3"/>
      <x:c r="L52" s="3"/>
    </x:row>
    <x:row r="53" ht="42" customHeight="1">
      <x:c r="A53" s="3" t="str">
        <x:v>S-024</x:v>
      </x:c>
      <x:c r="B53" s="3" t="str">
        <x:v>Source</x:v>
      </x:c>
      <x:c r="C53" s="3" t="str">
        <x:v>system.js:1022</x:v>
      </x:c>
      <x:c r="D53" s="3" t="str">
        <x:v>capsules/system/browser/system.js:1022</x:v>
      </x:c>
      <x:c r="E53" s="3" t="str">
        <x:v>Expected behavior only</x:v>
      </x:c>
      <x:c r="F53" s="3" t="str">
        <x:v>Source commit 8e5eb88b; not live execution.</x:v>
      </x:c>
      <x:c r="G53" s="3"/>
      <x:c r="H53" s="3"/>
      <x:c r="I53" s="3"/>
      <x:c r="J53" s="3"/>
      <x:c r="K53" s="3"/>
      <x:c r="L53" s="3"/>
    </x:row>
    <x:row r="54" ht="42" customHeight="1">
      <x:c r="A54" s="3" t="str">
        <x:v>S-025</x:v>
      </x:c>
      <x:c r="B54" s="3" t="str">
        <x:v>Source</x:v>
      </x:c>
      <x:c r="C54" s="3" t="str">
        <x:v>system.js:186</x:v>
      </x:c>
      <x:c r="D54" s="3" t="str">
        <x:v>capsules/system/browser/system.js:186</x:v>
      </x:c>
      <x:c r="E54" s="3" t="str">
        <x:v>Expected behavior only</x:v>
      </x:c>
      <x:c r="F54" s="3" t="str">
        <x:v>Source commit 8e5eb88b; not live execution.</x:v>
      </x:c>
      <x:c r="G54" s="3"/>
      <x:c r="H54" s="3"/>
      <x:c r="I54" s="3"/>
      <x:c r="J54" s="3"/>
      <x:c r="K54" s="3"/>
      <x:c r="L54" s="3"/>
    </x:row>
    <x:row r="55" ht="42" customHeight="1">
      <x:c r="A55" s="3" t="str">
        <x:v>S-026</x:v>
      </x:c>
      <x:c r="B55" s="3" t="str">
        <x:v>Source</x:v>
      </x:c>
      <x:c r="C55" s="3" t="str">
        <x:v>shell-setup-sheet.js:267</x:v>
      </x:c>
      <x:c r="D55" s="3" t="str">
        <x:v>capsules/home-gui/browser/shell-setup-sheet.js:267</x:v>
      </x:c>
      <x:c r="E55" s="3" t="str">
        <x:v>Expected behavior only</x:v>
      </x:c>
      <x:c r="F55" s="3" t="str">
        <x:v>Source commit 8e5eb88b; not live execution.</x:v>
      </x:c>
      <x:c r="G55" s="3"/>
      <x:c r="H55" s="3"/>
      <x:c r="I55" s="3"/>
      <x:c r="J55" s="3"/>
      <x:c r="K55" s="3"/>
      <x:c r="L55" s="3"/>
    </x:row>
    <x:row r="56" ht="42" customHeight="1">
      <x:c r="A56" s="3" t="str">
        <x:v>S-027</x:v>
      </x:c>
      <x:c r="B56" s="3" t="str">
        <x:v>Source</x:v>
      </x:c>
      <x:c r="C56" s="3" t="str">
        <x:v>system.js:1981</x:v>
      </x:c>
      <x:c r="D56" s="3" t="str">
        <x:v>capsules/system/browser/system.js:1981</x:v>
      </x:c>
      <x:c r="E56" s="3" t="str">
        <x:v>Expected behavior only</x:v>
      </x:c>
      <x:c r="F56" s="3" t="str">
        <x:v>Source commit 8e5eb88b; not live execution.</x:v>
      </x:c>
      <x:c r="G56" s="3"/>
      <x:c r="H56" s="3"/>
      <x:c r="I56" s="3"/>
      <x:c r="J56" s="3"/>
      <x:c r="K56" s="3"/>
      <x:c r="L56" s="3"/>
    </x:row>
    <x:row r="57" ht="42" customHeight="1">
      <x:c r="A57" s="3" t="str">
        <x:v>S-028</x:v>
      </x:c>
      <x:c r="B57" s="3" t="str">
        <x:v>Source</x:v>
      </x:c>
      <x:c r="C57" s="3" t="str">
        <x:v>system.js:508</x:v>
      </x:c>
      <x:c r="D57" s="3" t="str">
        <x:v>capsules/system/browser/system.js:508</x:v>
      </x:c>
      <x:c r="E57" s="3" t="str">
        <x:v>Expected behavior only</x:v>
      </x:c>
      <x:c r="F57" s="3" t="str">
        <x:v>Source commit 8e5eb88b; not live execution.</x:v>
      </x:c>
      <x:c r="G57" s="3"/>
      <x:c r="H57" s="3"/>
      <x:c r="I57" s="3"/>
      <x:c r="J57" s="3"/>
      <x:c r="K57" s="3"/>
      <x:c r="L57" s="3"/>
    </x:row>
    <x:row r="58" ht="42" customHeight="1">
      <x:c r="A58" s="3" t="str">
        <x:v>S-029</x:v>
      </x:c>
      <x:c r="B58" s="3" t="str">
        <x:v>Source</x:v>
      </x:c>
      <x:c r="C58" s="3" t="str">
        <x:v>system.js:2210</x:v>
      </x:c>
      <x:c r="D58" s="3" t="str">
        <x:v>capsules/system/browser/system.js:2210</x:v>
      </x:c>
      <x:c r="E58" s="3" t="str">
        <x:v>Expected behavior only</x:v>
      </x:c>
      <x:c r="F58" s="3" t="str">
        <x:v>Source commit 8e5eb88b; not live execution.</x:v>
      </x:c>
      <x:c r="G58" s="3"/>
      <x:c r="H58" s="3"/>
      <x:c r="I58" s="3"/>
      <x:c r="J58" s="3"/>
      <x:c r="K58" s="3"/>
      <x:c r="L58" s="3"/>
    </x:row>
    <x:row r="59" ht="42" customHeight="1">
      <x:c r="A59" s="3" t="str">
        <x:v>S-030</x:v>
      </x:c>
      <x:c r="B59" s="3" t="str">
        <x:v>Source</x:v>
      </x:c>
      <x:c r="C59" s="3" t="str">
        <x:v>system.js:2237</x:v>
      </x:c>
      <x:c r="D59" s="3" t="str">
        <x:v>capsules/system/browser/system.js:2237</x:v>
      </x:c>
      <x:c r="E59" s="3" t="str">
        <x:v>Expected behavior only</x:v>
      </x:c>
      <x:c r="F59" s="3" t="str">
        <x:v>Source commit 8e5eb88b; not live execution.</x:v>
      </x:c>
      <x:c r="G59" s="3"/>
      <x:c r="H59" s="3"/>
      <x:c r="I59" s="3"/>
      <x:c r="J59" s="3"/>
      <x:c r="K59" s="3"/>
      <x:c r="L59" s="3"/>
    </x:row>
    <x:row r="60" ht="42" customHeight="1">
      <x:c r="A60" s="3" t="str">
        <x:v>S-031</x:v>
      </x:c>
      <x:c r="B60" s="3" t="str">
        <x:v>Source</x:v>
      </x:c>
      <x:c r="C60" s="3" t="str">
        <x:v>gateway_home_system.rs:3370</x:v>
      </x:c>
      <x:c r="D60" s="3" t="str">
        <x:v>elastos/crates/elastos-server/src/api/gateway_home_system.rs:3370</x:v>
      </x:c>
      <x:c r="E60" s="3" t="str">
        <x:v>Expected behavior only</x:v>
      </x:c>
      <x:c r="F60" s="3" t="str">
        <x:v>Source commit 8e5eb88b; not live execution.</x:v>
      </x:c>
      <x:c r="G60" s="3"/>
      <x:c r="H60" s="3"/>
      <x:c r="I60" s="3"/>
      <x:c r="J60" s="3"/>
      <x:c r="K60" s="3"/>
      <x:c r="L60" s="3"/>
    </x:row>
    <x:row r="61" ht="42" customHeight="1">
      <x:c r="A61" s="3" t="str">
        <x:v>S-032</x:v>
      </x:c>
      <x:c r="B61" s="3" t="str">
        <x:v>Source</x:v>
      </x:c>
      <x:c r="C61" s="3" t="str">
        <x:v>system.js:338</x:v>
      </x:c>
      <x:c r="D61" s="3" t="str">
        <x:v>capsules/system/browser/system.js:338</x:v>
      </x:c>
      <x:c r="E61" s="3" t="str">
        <x:v>Expected behavior only</x:v>
      </x:c>
      <x:c r="F61" s="3" t="str">
        <x:v>Source commit 8e5eb88b; not live execution.</x:v>
      </x:c>
      <x:c r="G61" s="3"/>
      <x:c r="H61" s="3"/>
      <x:c r="I61" s="3"/>
      <x:c r="J61" s="3"/>
      <x:c r="K61" s="3"/>
      <x:c r="L61" s="3"/>
    </x:row>
    <x:row r="62" ht="42" customHeight="1">
      <x:c r="A62" s="3" t="str">
        <x:v>S-033</x:v>
      </x:c>
      <x:c r="B62" s="3" t="str">
        <x:v>Source</x:v>
      </x:c>
      <x:c r="C62" s="3" t="str">
        <x:v>system.js:642</x:v>
      </x:c>
      <x:c r="D62" s="3" t="str">
        <x:v>capsules/system/browser/system.js:642</x:v>
      </x:c>
      <x:c r="E62" s="3" t="str">
        <x:v>Expected behavior only</x:v>
      </x:c>
      <x:c r="F62" s="3" t="str">
        <x:v>Source commit 8e5eb88b; not live execution.</x:v>
      </x:c>
      <x:c r="G62" s="3"/>
      <x:c r="H62" s="3"/>
      <x:c r="I62" s="3"/>
      <x:c r="J62" s="3"/>
      <x:c r="K62" s="3"/>
      <x:c r="L62" s="3"/>
    </x:row>
    <x:row r="63" ht="42" customHeight="1">
      <x:c r="A63" s="3" t="str">
        <x:v>S-034</x:v>
      </x:c>
      <x:c r="B63" s="3" t="str">
        <x:v>Source</x:v>
      </x:c>
      <x:c r="C63" s="3" t="str">
        <x:v>system.js:1100</x:v>
      </x:c>
      <x:c r="D63" s="3" t="str">
        <x:v>capsules/system/browser/system.js:1100</x:v>
      </x:c>
      <x:c r="E63" s="3" t="str">
        <x:v>Expected behavior only</x:v>
      </x:c>
      <x:c r="F63" s="3" t="str">
        <x:v>Source commit 8e5eb88b; not live execution.</x:v>
      </x:c>
      <x:c r="G63" s="3"/>
      <x:c r="H63" s="3"/>
      <x:c r="I63" s="3"/>
      <x:c r="J63" s="3"/>
      <x:c r="K63" s="3"/>
      <x:c r="L63" s="3"/>
    </x:row>
    <x:row r="64" ht="42" customHeight="1">
      <x:c r="A64" s="3" t="str">
        <x:v>S-035</x:v>
      </x:c>
      <x:c r="B64" s="3" t="str">
        <x:v>Source</x:v>
      </x:c>
      <x:c r="C64" s="3" t="str">
        <x:v>system.js:1689</x:v>
      </x:c>
      <x:c r="D64" s="3" t="str">
        <x:v>capsules/system/browser/system.js:1689</x:v>
      </x:c>
      <x:c r="E64" s="3" t="str">
        <x:v>Expected behavior only</x:v>
      </x:c>
      <x:c r="F64" s="3" t="str">
        <x:v>Source commit 8e5eb88b; not live execution.</x:v>
      </x:c>
      <x:c r="G64" s="3"/>
      <x:c r="H64" s="3"/>
      <x:c r="I64" s="3"/>
      <x:c r="J64" s="3"/>
      <x:c r="K64" s="3"/>
      <x:c r="L64" s="3"/>
    </x:row>
    <x:row r="65" ht="42" customHeight="1">
      <x:c r="A65" s="3" t="str">
        <x:v>S-036</x:v>
      </x:c>
      <x:c r="B65" s="3" t="str">
        <x:v>Source</x:v>
      </x:c>
      <x:c r="C65" s="3" t="str">
        <x:v>system.js:2811</x:v>
      </x:c>
      <x:c r="D65" s="3" t="str">
        <x:v>capsules/system/browser/system.js:2811</x:v>
      </x:c>
      <x:c r="E65" s="3" t="str">
        <x:v>Expected behavior only</x:v>
      </x:c>
      <x:c r="F65" s="3" t="str">
        <x:v>Source commit 8e5eb88b; not live execution.</x:v>
      </x:c>
      <x:c r="G65" s="3"/>
      <x:c r="H65" s="3"/>
      <x:c r="I65" s="3"/>
      <x:c r="J65" s="3"/>
      <x:c r="K65" s="3"/>
      <x:c r="L65" s="3"/>
    </x:row>
    <x:row r="66" ht="42" customHeight="1">
      <x:c r="A66" s="3" t="str">
        <x:v>S-037</x:v>
      </x:c>
      <x:c r="B66" s="3" t="str">
        <x:v>Source</x:v>
      </x:c>
      <x:c r="C66" s="3" t="str">
        <x:v>system.js:1280</x:v>
      </x:c>
      <x:c r="D66" s="3" t="str">
        <x:v>capsules/system/browser/system.js:1280</x:v>
      </x:c>
      <x:c r="E66" s="3" t="str">
        <x:v>Expected behavior only</x:v>
      </x:c>
      <x:c r="F66" s="3" t="str">
        <x:v>Source commit 8e5eb88b; not live execution.</x:v>
      </x:c>
      <x:c r="G66" s="3"/>
      <x:c r="H66" s="3"/>
      <x:c r="I66" s="3"/>
      <x:c r="J66" s="3"/>
      <x:c r="K66" s="3"/>
      <x:c r="L66" s="3"/>
    </x:row>
    <x:row r="67" ht="42" customHeight="1">
      <x:c r="A67" s="3" t="str">
        <x:v>S-038</x:v>
      </x:c>
      <x:c r="B67" s="3" t="str">
        <x:v>Source</x:v>
      </x:c>
      <x:c r="C67" s="3" t="str">
        <x:v>people.js:217</x:v>
      </x:c>
      <x:c r="D67" s="3" t="str">
        <x:v>capsules/people/browser/people.js:217</x:v>
      </x:c>
      <x:c r="E67" s="3" t="str">
        <x:v>Expected behavior only</x:v>
      </x:c>
      <x:c r="F67" s="3" t="str">
        <x:v>Source commit 8e5eb88b; not live execution.</x:v>
      </x:c>
      <x:c r="G67" s="3"/>
      <x:c r="H67" s="3"/>
      <x:c r="I67" s="3"/>
      <x:c r="J67" s="3"/>
      <x:c r="K67" s="3"/>
      <x:c r="L67" s="3"/>
    </x:row>
    <x:row r="68" ht="42" customHeight="1">
      <x:c r="A68" s="3" t="str">
        <x:v>S-039</x:v>
      </x:c>
      <x:c r="B68" s="3" t="str">
        <x:v>Source</x:v>
      </x:c>
      <x:c r="C68" s="3" t="str">
        <x:v>people.js:517</x:v>
      </x:c>
      <x:c r="D68" s="3" t="str">
        <x:v>capsules/people/browser/people.js:517</x:v>
      </x:c>
      <x:c r="E68" s="3" t="str">
        <x:v>Expected behavior only</x:v>
      </x:c>
      <x:c r="F68" s="3" t="str">
        <x:v>Source commit 8e5eb88b; not live execution.</x:v>
      </x:c>
      <x:c r="G68" s="3"/>
      <x:c r="H68" s="3"/>
      <x:c r="I68" s="3"/>
      <x:c r="J68" s="3"/>
      <x:c r="K68" s="3"/>
      <x:c r="L68" s="3"/>
    </x:row>
    <x:row r="69" ht="42" customHeight="1">
      <x:c r="A69" s="3" t="str">
        <x:v>S-040</x:v>
      </x:c>
      <x:c r="B69" s="3" t="str">
        <x:v>Source</x:v>
      </x:c>
      <x:c r="C69" s="3" t="str">
        <x:v>people.js:256</x:v>
      </x:c>
      <x:c r="D69" s="3" t="str">
        <x:v>capsules/people/browser/people.js:256</x:v>
      </x:c>
      <x:c r="E69" s="3" t="str">
        <x:v>Expected behavior only</x:v>
      </x:c>
      <x:c r="F69" s="3" t="str">
        <x:v>Source commit 8e5eb88b; not live execution.</x:v>
      </x:c>
      <x:c r="G69" s="3"/>
      <x:c r="H69" s="3"/>
      <x:c r="I69" s="3"/>
      <x:c r="J69" s="3"/>
      <x:c r="K69" s="3"/>
      <x:c r="L69" s="3"/>
    </x:row>
    <x:row r="70" ht="42" customHeight="1">
      <x:c r="A70" s="3" t="str">
        <x:v>S-041</x:v>
      </x:c>
      <x:c r="B70" s="3" t="str">
        <x:v>Source</x:v>
      </x:c>
      <x:c r="C70" s="3" t="str">
        <x:v>people.js:266</x:v>
      </x:c>
      <x:c r="D70" s="3" t="str">
        <x:v>capsules/people/browser/people.js:266</x:v>
      </x:c>
      <x:c r="E70" s="3" t="str">
        <x:v>Expected behavior only</x:v>
      </x:c>
      <x:c r="F70" s="3" t="str">
        <x:v>Source commit 8e5eb88b; not live execution.</x:v>
      </x:c>
      <x:c r="G70" s="3"/>
      <x:c r="H70" s="3"/>
      <x:c r="I70" s="3"/>
      <x:c r="J70" s="3"/>
      <x:c r="K70" s="3"/>
      <x:c r="L70" s="3"/>
    </x:row>
    <x:row r="71" ht="42" customHeight="1">
      <x:c r="A71" s="3" t="str">
        <x:v>S-042</x:v>
      </x:c>
      <x:c r="B71" s="3" t="str">
        <x:v>Source</x:v>
      </x:c>
      <x:c r="C71" s="3" t="str">
        <x:v>people.js:301</x:v>
      </x:c>
      <x:c r="D71" s="3" t="str">
        <x:v>capsules/people/browser/people.js:301</x:v>
      </x:c>
      <x:c r="E71" s="3" t="str">
        <x:v>Expected behavior only</x:v>
      </x:c>
      <x:c r="F71" s="3" t="str">
        <x:v>Source commit 8e5eb88b; not live execution.</x:v>
      </x:c>
      <x:c r="G71" s="3"/>
      <x:c r="H71" s="3"/>
      <x:c r="I71" s="3"/>
      <x:c r="J71" s="3"/>
      <x:c r="K71" s="3"/>
      <x:c r="L71" s="3"/>
    </x:row>
    <x:row r="72" ht="42" customHeight="1">
      <x:c r="A72" s="3" t="str">
        <x:v>S-043</x:v>
      </x:c>
      <x:c r="B72" s="3" t="str">
        <x:v>Source</x:v>
      </x:c>
      <x:c r="C72" s="3" t="str">
        <x:v>people.js:453</x:v>
      </x:c>
      <x:c r="D72" s="3" t="str">
        <x:v>capsules/people/browser/people.js:453</x:v>
      </x:c>
      <x:c r="E72" s="3" t="str">
        <x:v>Expected behavior only</x:v>
      </x:c>
      <x:c r="F72" s="3" t="str">
        <x:v>Source commit 8e5eb88b; not live execution.</x:v>
      </x:c>
      <x:c r="G72" s="3"/>
      <x:c r="H72" s="3"/>
      <x:c r="I72" s="3"/>
      <x:c r="J72" s="3"/>
      <x:c r="K72" s="3"/>
      <x:c r="L72" s="3"/>
    </x:row>
    <x:row r="73" ht="42" customHeight="1">
      <x:c r="A73" s="3" t="str">
        <x:v>S-044</x:v>
      </x:c>
      <x:c r="B73" s="3" t="str">
        <x:v>Source</x:v>
      </x:c>
      <x:c r="C73" s="3" t="str">
        <x:v>index.html:64</x:v>
      </x:c>
      <x:c r="D73" s="3" t="str">
        <x:v>capsules/chat-room/browser/index.html:64</x:v>
      </x:c>
      <x:c r="E73" s="3" t="str">
        <x:v>Expected behavior only</x:v>
      </x:c>
      <x:c r="F73" s="3" t="str">
        <x:v>Source commit 8e5eb88b; not live execution.</x:v>
      </x:c>
      <x:c r="G73" s="3"/>
      <x:c r="H73" s="3"/>
      <x:c r="I73" s="3"/>
      <x:c r="J73" s="3"/>
      <x:c r="K73" s="3"/>
      <x:c r="L73" s="3"/>
    </x:row>
    <x:row r="74" ht="42" customHeight="1">
      <x:c r="A74" s="3" t="str">
        <x:v>S-045</x:v>
      </x:c>
      <x:c r="B74" s="3" t="str">
        <x:v>Source</x:v>
      </x:c>
      <x:c r="C74" s="3" t="str">
        <x:v>index.html:47</x:v>
      </x:c>
      <x:c r="D74" s="3" t="str">
        <x:v>capsules/chat-room/browser/index.html:47</x:v>
      </x:c>
      <x:c r="E74" s="3" t="str">
        <x:v>Expected behavior only</x:v>
      </x:c>
      <x:c r="F74" s="3" t="str">
        <x:v>Source commit 8e5eb88b; not live execution.</x:v>
      </x:c>
      <x:c r="G74" s="3"/>
      <x:c r="H74" s="3"/>
      <x:c r="I74" s="3"/>
      <x:c r="J74" s="3"/>
      <x:c r="K74" s="3"/>
      <x:c r="L74" s="3"/>
    </x:row>
    <x:row r="75" ht="42" customHeight="1">
      <x:c r="A75" s="3" t="str">
        <x:v>S-046</x:v>
      </x:c>
      <x:c r="B75" s="3" t="str">
        <x:v>Source</x:v>
      </x:c>
      <x:c r="C75" s="3" t="str">
        <x:v>index.html:126</x:v>
      </x:c>
      <x:c r="D75" s="3" t="str">
        <x:v>capsules/chat-room/browser/index.html:126</x:v>
      </x:c>
      <x:c r="E75" s="3" t="str">
        <x:v>Expected behavior only</x:v>
      </x:c>
      <x:c r="F75" s="3" t="str">
        <x:v>Source commit 8e5eb88b; not live execution.</x:v>
      </x:c>
      <x:c r="G75" s="3"/>
      <x:c r="H75" s="3"/>
      <x:c r="I75" s="3"/>
      <x:c r="J75" s="3"/>
      <x:c r="K75" s="3"/>
      <x:c r="L75" s="3"/>
    </x:row>
    <x:row r="76" ht="42" customHeight="1">
      <x:c r="A76" s="3" t="str">
        <x:v>S-047</x:v>
      </x:c>
      <x:c r="B76" s="3" t="str">
        <x:v>Source</x:v>
      </x:c>
      <x:c r="C76" s="3" t="str">
        <x:v>index.html:99</x:v>
      </x:c>
      <x:c r="D76" s="3" t="str">
        <x:v>capsules/chat-room/browser/index.html:99</x:v>
      </x:c>
      <x:c r="E76" s="3" t="str">
        <x:v>Expected behavior only</x:v>
      </x:c>
      <x:c r="F76" s="3" t="str">
        <x:v>Source commit 8e5eb88b; not live execution.</x:v>
      </x:c>
      <x:c r="G76" s="3"/>
      <x:c r="H76" s="3"/>
      <x:c r="I76" s="3"/>
      <x:c r="J76" s="3"/>
      <x:c r="K76" s="3"/>
      <x:c r="L76" s="3"/>
    </x:row>
    <x:row r="77" ht="42" customHeight="1">
      <x:c r="A77" s="3" t="str">
        <x:v>S-048</x:v>
      </x:c>
      <x:c r="B77" s="3" t="str">
        <x:v>Source</x:v>
      </x:c>
      <x:c r="C77" s="3" t="str">
        <x:v>index.html:80</x:v>
      </x:c>
      <x:c r="D77" s="3" t="str">
        <x:v>capsules/chat-room/browser/index.html:80</x:v>
      </x:c>
      <x:c r="E77" s="3" t="str">
        <x:v>Expected behavior only</x:v>
      </x:c>
      <x:c r="F77" s="3" t="str">
        <x:v>Source commit 8e5eb88b; not live execution.</x:v>
      </x:c>
      <x:c r="G77" s="3"/>
      <x:c r="H77" s="3"/>
      <x:c r="I77" s="3"/>
      <x:c r="J77" s="3"/>
      <x:c r="K77" s="3"/>
      <x:c r="L77" s="3"/>
    </x:row>
    <x:row r="78" ht="42" customHeight="1">
      <x:c r="A78" s="3" t="str">
        <x:v>S-049</x:v>
      </x:c>
      <x:c r="B78" s="3" t="str">
        <x:v>Source</x:v>
      </x:c>
      <x:c r="C78" s="3" t="str">
        <x:v>index.html:74</x:v>
      </x:c>
      <x:c r="D78" s="3" t="str">
        <x:v>capsules/chat-room/browser/index.html:74</x:v>
      </x:c>
      <x:c r="E78" s="3" t="str">
        <x:v>Expected behavior only</x:v>
      </x:c>
      <x:c r="F78" s="3" t="str">
        <x:v>Source commit 8e5eb88b; not live execution.</x:v>
      </x:c>
      <x:c r="G78" s="3"/>
      <x:c r="H78" s="3"/>
      <x:c r="I78" s="3"/>
      <x:c r="J78" s="3"/>
      <x:c r="K78" s="3"/>
      <x:c r="L78" s="3"/>
    </x:row>
    <x:row r="79" ht="42" customHeight="1">
      <x:c r="A79" s="3" t="str">
        <x:v>S-050</x:v>
      </x:c>
      <x:c r="B79" s="3" t="str">
        <x:v>Source</x:v>
      </x:c>
      <x:c r="C79" s="3" t="str">
        <x:v>index.html:108</x:v>
      </x:c>
      <x:c r="D79" s="3" t="str">
        <x:v>capsules/chat-room/browser/index.html:108</x:v>
      </x:c>
      <x:c r="E79" s="3" t="str">
        <x:v>Expected behavior only</x:v>
      </x:c>
      <x:c r="F79" s="3" t="str">
        <x:v>Source commit 8e5eb88b; not live execution.</x:v>
      </x:c>
      <x:c r="G79" s="3"/>
      <x:c r="H79" s="3"/>
      <x:c r="I79" s="3"/>
      <x:c r="J79" s="3"/>
      <x:c r="K79" s="3"/>
      <x:c r="L79" s="3"/>
    </x:row>
    <x:row r="80" ht="42" customHeight="1">
      <x:c r="A80" s="3" t="str">
        <x:v>S-051</x:v>
      </x:c>
      <x:c r="B80" s="3" t="str">
        <x:v>Source</x:v>
      </x:c>
      <x:c r="C80" s="3" t="str">
        <x:v>index.html:872</x:v>
      </x:c>
      <x:c r="D80" s="3" t="str">
        <x:v>capsules/inbox/browser/index.html:872</x:v>
      </x:c>
      <x:c r="E80" s="3" t="str">
        <x:v>Expected behavior only</x:v>
      </x:c>
      <x:c r="F80" s="3" t="str">
        <x:v>Source commit 8e5eb88b; not live execution.</x:v>
      </x:c>
      <x:c r="G80" s="3"/>
      <x:c r="H80" s="3"/>
      <x:c r="I80" s="3"/>
      <x:c r="J80" s="3"/>
      <x:c r="K80" s="3"/>
      <x:c r="L80" s="3"/>
    </x:row>
    <x:row r="81" ht="42" customHeight="1">
      <x:c r="A81" s="3" t="str">
        <x:v>S-052</x:v>
      </x:c>
      <x:c r="B81" s="3" t="str">
        <x:v>Source</x:v>
      </x:c>
      <x:c r="C81" s="3" t="str">
        <x:v>index.html:968</x:v>
      </x:c>
      <x:c r="D81" s="3" t="str">
        <x:v>capsules/inbox/browser/index.html:968</x:v>
      </x:c>
      <x:c r="E81" s="3" t="str">
        <x:v>Expected behavior only</x:v>
      </x:c>
      <x:c r="F81" s="3" t="str">
        <x:v>Source commit 8e5eb88b; not live execution.</x:v>
      </x:c>
      <x:c r="G81" s="3"/>
      <x:c r="H81" s="3"/>
      <x:c r="I81" s="3"/>
      <x:c r="J81" s="3"/>
      <x:c r="K81" s="3"/>
      <x:c r="L81" s="3"/>
    </x:row>
    <x:row r="82" ht="42" customHeight="1">
      <x:c r="A82" s="3" t="str">
        <x:v>S-053</x:v>
      </x:c>
      <x:c r="B82" s="3" t="str">
        <x:v>Source</x:v>
      </x:c>
      <x:c r="C82" s="3" t="str">
        <x:v>index.html:1081</x:v>
      </x:c>
      <x:c r="D82" s="3" t="str">
        <x:v>capsules/inbox/browser/index.html:1081</x:v>
      </x:c>
      <x:c r="E82" s="3" t="str">
        <x:v>Expected behavior only</x:v>
      </x:c>
      <x:c r="F82" s="3" t="str">
        <x:v>Source commit 8e5eb88b; not live execution.</x:v>
      </x:c>
      <x:c r="G82" s="3"/>
      <x:c r="H82" s="3"/>
      <x:c r="I82" s="3"/>
      <x:c r="J82" s="3"/>
      <x:c r="K82" s="3"/>
      <x:c r="L82" s="3"/>
    </x:row>
    <x:row r="83" ht="42" customHeight="1">
      <x:c r="A83" s="3" t="str">
        <x:v>S-054</x:v>
      </x:c>
      <x:c r="B83" s="3" t="str">
        <x:v>Source</x:v>
      </x:c>
      <x:c r="C83" s="3" t="str">
        <x:v>index.html:987</x:v>
      </x:c>
      <x:c r="D83" s="3" t="str">
        <x:v>capsules/inbox/browser/index.html:987</x:v>
      </x:c>
      <x:c r="E83" s="3" t="str">
        <x:v>Expected behavior only</x:v>
      </x:c>
      <x:c r="F83" s="3" t="str">
        <x:v>Source commit 8e5eb88b; not live execution.</x:v>
      </x:c>
      <x:c r="G83" s="3"/>
      <x:c r="H83" s="3"/>
      <x:c r="I83" s="3"/>
      <x:c r="J83" s="3"/>
      <x:c r="K83" s="3"/>
      <x:c r="L83" s="3"/>
    </x:row>
    <x:row r="84" ht="42" customHeight="1">
      <x:c r="A84" s="3" t="str">
        <x:v>S-055</x:v>
      </x:c>
      <x:c r="B84" s="3" t="str">
        <x:v>Source</x:v>
      </x:c>
      <x:c r="C84" s="3" t="str">
        <x:v>index.html:1104</x:v>
      </x:c>
      <x:c r="D84" s="3" t="str">
        <x:v>capsules/inbox/browser/index.html:1104</x:v>
      </x:c>
      <x:c r="E84" s="3" t="str">
        <x:v>Expected behavior only</x:v>
      </x:c>
      <x:c r="F84" s="3" t="str">
        <x:v>Source commit 8e5eb88b; not live execution.</x:v>
      </x:c>
      <x:c r="G84" s="3"/>
      <x:c r="H84" s="3"/>
      <x:c r="I84" s="3"/>
      <x:c r="J84" s="3"/>
      <x:c r="K84" s="3"/>
      <x:c r="L84" s="3"/>
    </x:row>
    <x:row r="85" ht="42" customHeight="1">
      <x:c r="A85" s="3" t="str">
        <x:v>S-056</x:v>
      </x:c>
      <x:c r="B85" s="3" t="str">
        <x:v>Source</x:v>
      </x:c>
      <x:c r="C85" s="3" t="str">
        <x:v>index.html:997</x:v>
      </x:c>
      <x:c r="D85" s="3" t="str">
        <x:v>capsules/inbox/browser/index.html:997</x:v>
      </x:c>
      <x:c r="E85" s="3" t="str">
        <x:v>Expected behavior only</x:v>
      </x:c>
      <x:c r="F85" s="3" t="str">
        <x:v>Source commit 8e5eb88b; not live execution.</x:v>
      </x:c>
      <x:c r="G85" s="3"/>
      <x:c r="H85" s="3"/>
      <x:c r="I85" s="3"/>
      <x:c r="J85" s="3"/>
      <x:c r="K85" s="3"/>
      <x:c r="L85" s="3"/>
    </x:row>
    <x:row r="86" ht="42" customHeight="1">
      <x:c r="A86" s="3" t="str">
        <x:v>S-057</x:v>
      </x:c>
      <x:c r="B86" s="3" t="str">
        <x:v>Source</x:v>
      </x:c>
      <x:c r="C86" s="3" t="str">
        <x:v>index.html:1001</x:v>
      </x:c>
      <x:c r="D86" s="3" t="str">
        <x:v>capsules/inbox/browser/index.html:1001</x:v>
      </x:c>
      <x:c r="E86" s="3" t="str">
        <x:v>Expected behavior only</x:v>
      </x:c>
      <x:c r="F86" s="3" t="str">
        <x:v>Source commit 8e5eb88b; not live execution.</x:v>
      </x:c>
      <x:c r="G86" s="3"/>
      <x:c r="H86" s="3"/>
      <x:c r="I86" s="3"/>
      <x:c r="J86" s="3"/>
      <x:c r="K86" s="3"/>
      <x:c r="L86" s="3"/>
    </x:row>
    <x:row r="87" ht="42" customHeight="1">
      <x:c r="A87" s="3" t="str">
        <x:v>S-058</x:v>
      </x:c>
      <x:c r="B87" s="3" t="str">
        <x:v>Source</x:v>
      </x:c>
      <x:c r="C87" s="3" t="str">
        <x:v>app.js:662</x:v>
      </x:c>
      <x:c r="D87" s="3" t="str">
        <x:v>capsules/library/browser/src/app.js:662</x:v>
      </x:c>
      <x:c r="E87" s="3" t="str">
        <x:v>Expected behavior only</x:v>
      </x:c>
      <x:c r="F87" s="3" t="str">
        <x:v>Source commit 8e5eb88b; not live execution.</x:v>
      </x:c>
      <x:c r="G87" s="3"/>
      <x:c r="H87" s="3"/>
      <x:c r="I87" s="3"/>
      <x:c r="J87" s="3"/>
      <x:c r="K87" s="3"/>
      <x:c r="L87" s="3"/>
    </x:row>
    <x:row r="88" ht="42" customHeight="1">
      <x:c r="A88" s="3" t="str">
        <x:v>S-059</x:v>
      </x:c>
      <x:c r="B88" s="3" t="str">
        <x:v>Source</x:v>
      </x:c>
      <x:c r="C88" s="3" t="str">
        <x:v>app.js:1130</x:v>
      </x:c>
      <x:c r="D88" s="3" t="str">
        <x:v>capsules/library/browser/src/app.js:1130</x:v>
      </x:c>
      <x:c r="E88" s="3" t="str">
        <x:v>Expected behavior only</x:v>
      </x:c>
      <x:c r="F88" s="3" t="str">
        <x:v>Source commit 8e5eb88b; not live execution.</x:v>
      </x:c>
      <x:c r="G88" s="3"/>
      <x:c r="H88" s="3"/>
      <x:c r="I88" s="3"/>
      <x:c r="J88" s="3"/>
      <x:c r="K88" s="3"/>
      <x:c r="L88" s="3"/>
    </x:row>
    <x:row r="89" ht="42" customHeight="1">
      <x:c r="A89" s="3" t="str">
        <x:v>S-060</x:v>
      </x:c>
      <x:c r="B89" s="3" t="str">
        <x:v>Source</x:v>
      </x:c>
      <x:c r="C89" s="3" t="str">
        <x:v>actions.js:186</x:v>
      </x:c>
      <x:c r="D89" s="3" t="str">
        <x:v>capsules/library/browser/src/actions.js:186</x:v>
      </x:c>
      <x:c r="E89" s="3" t="str">
        <x:v>Expected behavior only</x:v>
      </x:c>
      <x:c r="F89" s="3" t="str">
        <x:v>Source commit 8e5eb88b; not live execution.</x:v>
      </x:c>
      <x:c r="G89" s="3"/>
      <x:c r="H89" s="3"/>
      <x:c r="I89" s="3"/>
      <x:c r="J89" s="3"/>
      <x:c r="K89" s="3"/>
      <x:c r="L89" s="3"/>
    </x:row>
    <x:row r="90" ht="42" customHeight="1">
      <x:c r="A90" s="3" t="str">
        <x:v>S-061</x:v>
      </x:c>
      <x:c r="B90" s="3" t="str">
        <x:v>Source</x:v>
      </x:c>
      <x:c r="C90" s="3" t="str">
        <x:v>actions.js:600</x:v>
      </x:c>
      <x:c r="D90" s="3" t="str">
        <x:v>capsules/library/browser/src/actions.js:600</x:v>
      </x:c>
      <x:c r="E90" s="3" t="str">
        <x:v>Expected behavior only</x:v>
      </x:c>
      <x:c r="F90" s="3" t="str">
        <x:v>Source commit 8e5eb88b; not live execution.</x:v>
      </x:c>
      <x:c r="G90" s="3"/>
      <x:c r="H90" s="3"/>
      <x:c r="I90" s="3"/>
      <x:c r="J90" s="3"/>
      <x:c r="K90" s="3"/>
      <x:c r="L90" s="3"/>
    </x:row>
    <x:row r="91" ht="42" customHeight="1">
      <x:c r="A91" s="3" t="str">
        <x:v>S-062</x:v>
      </x:c>
      <x:c r="B91" s="3" t="str">
        <x:v>Source</x:v>
      </x:c>
      <x:c r="C91" s="3" t="str">
        <x:v>actions.js:194</x:v>
      </x:c>
      <x:c r="D91" s="3" t="str">
        <x:v>capsules/library/browser/src/actions.js:194</x:v>
      </x:c>
      <x:c r="E91" s="3" t="str">
        <x:v>Expected behavior only</x:v>
      </x:c>
      <x:c r="F91" s="3" t="str">
        <x:v>Source commit 8e5eb88b; not live execution.</x:v>
      </x:c>
      <x:c r="G91" s="3"/>
      <x:c r="H91" s="3"/>
      <x:c r="I91" s="3"/>
      <x:c r="J91" s="3"/>
      <x:c r="K91" s="3"/>
      <x:c r="L91" s="3"/>
    </x:row>
    <x:row r="92" ht="42" customHeight="1">
      <x:c r="A92" s="3" t="str">
        <x:v>S-063</x:v>
      </x:c>
      <x:c r="B92" s="3" t="str">
        <x:v>Source</x:v>
      </x:c>
      <x:c r="C92" s="3" t="str">
        <x:v>events.js:188</x:v>
      </x:c>
      <x:c r="D92" s="3" t="str">
        <x:v>capsules/library/browser/src/events.js:188</x:v>
      </x:c>
      <x:c r="E92" s="3" t="str">
        <x:v>Expected behavior only</x:v>
      </x:c>
      <x:c r="F92" s="3" t="str">
        <x:v>Source commit 8e5eb88b; not live execution.</x:v>
      </x:c>
      <x:c r="G92" s="3"/>
      <x:c r="H92" s="3"/>
      <x:c r="I92" s="3"/>
      <x:c r="J92" s="3"/>
      <x:c r="K92" s="3"/>
      <x:c r="L92" s="3"/>
    </x:row>
    <x:row r="93" ht="42" customHeight="1">
      <x:c r="A93" s="3" t="str">
        <x:v>S-064</x:v>
      </x:c>
      <x:c r="B93" s="3" t="str">
        <x:v>Source</x:v>
      </x:c>
      <x:c r="C93" s="3" t="str">
        <x:v>events.js:155</x:v>
      </x:c>
      <x:c r="D93" s="3" t="str">
        <x:v>capsules/library/browser/src/events.js:155</x:v>
      </x:c>
      <x:c r="E93" s="3" t="str">
        <x:v>Expected behavior only</x:v>
      </x:c>
      <x:c r="F93" s="3" t="str">
        <x:v>Source commit 8e5eb88b; not live execution.</x:v>
      </x:c>
      <x:c r="G93" s="3"/>
      <x:c r="H93" s="3"/>
      <x:c r="I93" s="3"/>
      <x:c r="J93" s="3"/>
      <x:c r="K93" s="3"/>
      <x:c r="L93" s="3"/>
    </x:row>
    <x:row r="94" ht="42" customHeight="1">
      <x:c r="A94" s="3" t="str">
        <x:v>S-065</x:v>
      </x:c>
      <x:c r="B94" s="3" t="str">
        <x:v>Source</x:v>
      </x:c>
      <x:c r="C94" s="3" t="str">
        <x:v>app.js:954</x:v>
      </x:c>
      <x:c r="D94" s="3" t="str">
        <x:v>capsules/library/browser/src/app.js:954</x:v>
      </x:c>
      <x:c r="E94" s="3" t="str">
        <x:v>Expected behavior only</x:v>
      </x:c>
      <x:c r="F94" s="3" t="str">
        <x:v>Source commit 8e5eb88b; not live execution.</x:v>
      </x:c>
      <x:c r="G94" s="3"/>
      <x:c r="H94" s="3"/>
      <x:c r="I94" s="3"/>
      <x:c r="J94" s="3"/>
      <x:c r="K94" s="3"/>
      <x:c r="L94" s="3"/>
    </x:row>
    <x:row r="95" ht="42" customHeight="1">
      <x:c r="A95" s="3" t="str">
        <x:v>S-066</x:v>
      </x:c>
      <x:c r="B95" s="3" t="str">
        <x:v>Source</x:v>
      </x:c>
      <x:c r="C95" s="3" t="str">
        <x:v>preview.js:1</x:v>
      </x:c>
      <x:c r="D95" s="3" t="str">
        <x:v>capsules/library/browser/src/preview.js:1</x:v>
      </x:c>
      <x:c r="E95" s="3" t="str">
        <x:v>Expected behavior only</x:v>
      </x:c>
      <x:c r="F95" s="3" t="str">
        <x:v>Source commit 8e5eb88b; not live execution.</x:v>
      </x:c>
      <x:c r="G95" s="3"/>
      <x:c r="H95" s="3"/>
      <x:c r="I95" s="3"/>
      <x:c r="J95" s="3"/>
      <x:c r="K95" s="3"/>
      <x:c r="L95" s="3"/>
    </x:row>
    <x:row r="96" ht="42" customHeight="1">
      <x:c r="A96" s="3" t="str">
        <x:v>S-067</x:v>
      </x:c>
      <x:c r="B96" s="3" t="str">
        <x:v>Source</x:v>
      </x:c>
      <x:c r="C96" s="3" t="str">
        <x:v>app.js:1009</x:v>
      </x:c>
      <x:c r="D96" s="3" t="str">
        <x:v>capsules/library/browser/src/app.js:1009</x:v>
      </x:c>
      <x:c r="E96" s="3" t="str">
        <x:v>Expected behavior only</x:v>
      </x:c>
      <x:c r="F96" s="3" t="str">
        <x:v>Source commit 8e5eb88b; not live execution.</x:v>
      </x:c>
      <x:c r="G96" s="3"/>
      <x:c r="H96" s="3"/>
      <x:c r="I96" s="3"/>
      <x:c r="J96" s="3"/>
      <x:c r="K96" s="3"/>
      <x:c r="L96" s="3"/>
    </x:row>
    <x:row r="97" ht="42" customHeight="1">
      <x:c r="A97" s="3" t="str">
        <x:v>S-068</x:v>
      </x:c>
      <x:c r="B97" s="3" t="str">
        <x:v>Source</x:v>
      </x:c>
      <x:c r="C97" s="3" t="str">
        <x:v>actions.js:249</x:v>
      </x:c>
      <x:c r="D97" s="3" t="str">
        <x:v>capsules/library/browser/src/actions.js:249</x:v>
      </x:c>
      <x:c r="E97" s="3" t="str">
        <x:v>Expected behavior only</x:v>
      </x:c>
      <x:c r="F97" s="3" t="str">
        <x:v>Source commit 8e5eb88b; not live execution.</x:v>
      </x:c>
      <x:c r="G97" s="3"/>
      <x:c r="H97" s="3"/>
      <x:c r="I97" s="3"/>
      <x:c r="J97" s="3"/>
      <x:c r="K97" s="3"/>
      <x:c r="L97" s="3"/>
    </x:row>
    <x:row r="98" ht="42" customHeight="1">
      <x:c r="A98" s="3" t="str">
        <x:v>S-069</x:v>
      </x:c>
      <x:c r="B98" s="3" t="str">
        <x:v>Source</x:v>
      </x:c>
      <x:c r="C98" s="3" t="str">
        <x:v>actions.js:280</x:v>
      </x:c>
      <x:c r="D98" s="3" t="str">
        <x:v>capsules/library/browser/src/actions.js:280</x:v>
      </x:c>
      <x:c r="E98" s="3" t="str">
        <x:v>Expected behavior only</x:v>
      </x:c>
      <x:c r="F98" s="3" t="str">
        <x:v>Source commit 8e5eb88b; not live execution.</x:v>
      </x:c>
      <x:c r="G98" s="3"/>
      <x:c r="H98" s="3"/>
      <x:c r="I98" s="3"/>
      <x:c r="J98" s="3"/>
      <x:c r="K98" s="3"/>
      <x:c r="L98" s="3"/>
    </x:row>
    <x:row r="99" ht="42" customHeight="1">
      <x:c r="A99" s="3" t="str">
        <x:v>S-070</x:v>
      </x:c>
      <x:c r="B99" s="3" t="str">
        <x:v>Source</x:v>
      </x:c>
      <x:c r="C99" s="3" t="str">
        <x:v>actions.js:297</x:v>
      </x:c>
      <x:c r="D99" s="3" t="str">
        <x:v>capsules/library/browser/src/actions.js:297</x:v>
      </x:c>
      <x:c r="E99" s="3" t="str">
        <x:v>Expected behavior only</x:v>
      </x:c>
      <x:c r="F99" s="3" t="str">
        <x:v>Source commit 8e5eb88b; not live execution.</x:v>
      </x:c>
      <x:c r="G99" s="3"/>
      <x:c r="H99" s="3"/>
      <x:c r="I99" s="3"/>
      <x:c r="J99" s="3"/>
      <x:c r="K99" s="3"/>
      <x:c r="L99" s="3"/>
    </x:row>
    <x:row r="100" ht="42" customHeight="1">
      <x:c r="A100" s="3" t="str">
        <x:v>S-071</x:v>
      </x:c>
      <x:c r="B100" s="3" t="str">
        <x:v>Source</x:v>
      </x:c>
      <x:c r="C100" s="3" t="str">
        <x:v>app.js:1055</x:v>
      </x:c>
      <x:c r="D100" s="3" t="str">
        <x:v>capsules/library/browser/src/app.js:1055</x:v>
      </x:c>
      <x:c r="E100" s="3" t="str">
        <x:v>Expected behavior only</x:v>
      </x:c>
      <x:c r="F100" s="3" t="str">
        <x:v>Source commit 8e5eb88b; not live execution.</x:v>
      </x:c>
      <x:c r="G100" s="3"/>
      <x:c r="H100" s="3"/>
      <x:c r="I100" s="3"/>
      <x:c r="J100" s="3"/>
      <x:c r="K100" s="3"/>
      <x:c r="L100" s="3"/>
    </x:row>
    <x:row r="101" ht="42" customHeight="1">
      <x:c r="A101" s="3" t="str">
        <x:v>S-072</x:v>
      </x:c>
      <x:c r="B101" s="3" t="str">
        <x:v>Source</x:v>
      </x:c>
      <x:c r="C101" s="3" t="str">
        <x:v>actions.js:339</x:v>
      </x:c>
      <x:c r="D101" s="3" t="str">
        <x:v>capsules/library/browser/src/actions.js:339</x:v>
      </x:c>
      <x:c r="E101" s="3" t="str">
        <x:v>Expected behavior only</x:v>
      </x:c>
      <x:c r="F101" s="3" t="str">
        <x:v>Source commit 8e5eb88b; not live execution.</x:v>
      </x:c>
      <x:c r="G101" s="3"/>
      <x:c r="H101" s="3"/>
      <x:c r="I101" s="3"/>
      <x:c r="J101" s="3"/>
      <x:c r="K101" s="3"/>
      <x:c r="L101" s="3"/>
    </x:row>
    <x:row r="102" ht="42" customHeight="1">
      <x:c r="A102" s="3" t="str">
        <x:v>S-073</x:v>
      </x:c>
      <x:c r="B102" s="3" t="str">
        <x:v>Source</x:v>
      </x:c>
      <x:c r="C102" s="3" t="str">
        <x:v>app.js:1000</x:v>
      </x:c>
      <x:c r="D102" s="3" t="str">
        <x:v>capsules/library/browser/src/app.js:1000</x:v>
      </x:c>
      <x:c r="E102" s="3" t="str">
        <x:v>Expected behavior only</x:v>
      </x:c>
      <x:c r="F102" s="3" t="str">
        <x:v>Source commit 8e5eb88b; not live execution.</x:v>
      </x:c>
      <x:c r="G102" s="3"/>
      <x:c r="H102" s="3"/>
      <x:c r="I102" s="3"/>
      <x:c r="J102" s="3"/>
      <x:c r="K102" s="3"/>
      <x:c r="L102" s="3"/>
    </x:row>
    <x:row r="103" ht="42" customHeight="1">
      <x:c r="A103" s="3" t="str">
        <x:v>S-074</x:v>
      </x:c>
      <x:c r="B103" s="3" t="str">
        <x:v>Source</x:v>
      </x:c>
      <x:c r="C103" s="3" t="str">
        <x:v>actions.js:424</x:v>
      </x:c>
      <x:c r="D103" s="3" t="str">
        <x:v>capsules/library/browser/src/actions.js:424</x:v>
      </x:c>
      <x:c r="E103" s="3" t="str">
        <x:v>Expected behavior only</x:v>
      </x:c>
      <x:c r="F103" s="3" t="str">
        <x:v>Source commit 8e5eb88b; not live execution.</x:v>
      </x:c>
      <x:c r="G103" s="3"/>
      <x:c r="H103" s="3"/>
      <x:c r="I103" s="3"/>
      <x:c r="J103" s="3"/>
      <x:c r="K103" s="3"/>
      <x:c r="L103" s="3"/>
    </x:row>
    <x:row r="104" ht="42" customHeight="1">
      <x:c r="A104" s="3" t="str">
        <x:v>S-075</x:v>
      </x:c>
      <x:c r="B104" s="3" t="str">
        <x:v>Source</x:v>
      </x:c>
      <x:c r="C104" s="3" t="str">
        <x:v>dialog.js:930</x:v>
      </x:c>
      <x:c r="D104" s="3" t="str">
        <x:v>capsules/library/browser/src/dialog.js:930</x:v>
      </x:c>
      <x:c r="E104" s="3" t="str">
        <x:v>Expected behavior only</x:v>
      </x:c>
      <x:c r="F104" s="3" t="str">
        <x:v>Source commit 8e5eb88b; not live execution.</x:v>
      </x:c>
      <x:c r="G104" s="3"/>
      <x:c r="H104" s="3"/>
      <x:c r="I104" s="3"/>
      <x:c r="J104" s="3"/>
      <x:c r="K104" s="3"/>
      <x:c r="L104" s="3"/>
    </x:row>
    <x:row r="105" ht="42" customHeight="1">
      <x:c r="A105" s="3" t="str">
        <x:v>S-076</x:v>
      </x:c>
      <x:c r="B105" s="3" t="str">
        <x:v>Source</x:v>
      </x:c>
      <x:c r="C105" s="3" t="str">
        <x:v>actions.js:403</x:v>
      </x:c>
      <x:c r="D105" s="3" t="str">
        <x:v>capsules/library/browser/src/actions.js:403</x:v>
      </x:c>
      <x:c r="E105" s="3" t="str">
        <x:v>Expected behavior only</x:v>
      </x:c>
      <x:c r="F105" s="3" t="str">
        <x:v>Source commit 8e5eb88b; not live execution.</x:v>
      </x:c>
      <x:c r="G105" s="3"/>
      <x:c r="H105" s="3"/>
      <x:c r="I105" s="3"/>
      <x:c r="J105" s="3"/>
      <x:c r="K105" s="3"/>
      <x:c r="L105" s="3"/>
    </x:row>
    <x:row r="106" ht="42" customHeight="1">
      <x:c r="A106" s="3" t="str">
        <x:v>S-077</x:v>
      </x:c>
      <x:c r="B106" s="3" t="str">
        <x:v>Source</x:v>
      </x:c>
      <x:c r="C106" s="3" t="str">
        <x:v>app.js:1013</x:v>
      </x:c>
      <x:c r="D106" s="3" t="str">
        <x:v>capsules/library/browser/src/app.js:1013</x:v>
      </x:c>
      <x:c r="E106" s="3" t="str">
        <x:v>Expected behavior only</x:v>
      </x:c>
      <x:c r="F106" s="3" t="str">
        <x:v>Source commit 8e5eb88b; not live execution.</x:v>
      </x:c>
      <x:c r="G106" s="3"/>
      <x:c r="H106" s="3"/>
      <x:c r="I106" s="3"/>
      <x:c r="J106" s="3"/>
      <x:c r="K106" s="3"/>
      <x:c r="L106" s="3"/>
    </x:row>
    <x:row r="107" ht="42" customHeight="1">
      <x:c r="A107" s="3" t="str">
        <x:v>S-078</x:v>
      </x:c>
      <x:c r="B107" s="3" t="str">
        <x:v>Source</x:v>
      </x:c>
      <x:c r="C107" s="3" t="str">
        <x:v>model.js:162</x:v>
      </x:c>
      <x:c r="D107" s="3" t="str">
        <x:v>capsules/library/browser/src/model.js:162</x:v>
      </x:c>
      <x:c r="E107" s="3" t="str">
        <x:v>Expected behavior only</x:v>
      </x:c>
      <x:c r="F107" s="3" t="str">
        <x:v>Source commit 8e5eb88b; not live execution.</x:v>
      </x:c>
      <x:c r="G107" s="3"/>
      <x:c r="H107" s="3"/>
      <x:c r="I107" s="3"/>
      <x:c r="J107" s="3"/>
      <x:c r="K107" s="3"/>
      <x:c r="L107" s="3"/>
    </x:row>
    <x:row r="108" ht="42" customHeight="1">
      <x:c r="A108" s="3" t="str">
        <x:v>S-079</x:v>
      </x:c>
      <x:c r="B108" s="3" t="str">
        <x:v>Source</x:v>
      </x:c>
      <x:c r="C108" s="3" t="str">
        <x:v>actions.js:389</x:v>
      </x:c>
      <x:c r="D108" s="3" t="str">
        <x:v>capsules/library/browser/src/actions.js:389</x:v>
      </x:c>
      <x:c r="E108" s="3" t="str">
        <x:v>Expected behavior only</x:v>
      </x:c>
      <x:c r="F108" s="3" t="str">
        <x:v>Source commit 8e5eb88b; not live execution.</x:v>
      </x:c>
      <x:c r="G108" s="3"/>
      <x:c r="H108" s="3"/>
      <x:c r="I108" s="3"/>
      <x:c r="J108" s="3"/>
      <x:c r="K108" s="3"/>
      <x:c r="L108" s="3"/>
    </x:row>
    <x:row r="109" ht="42" customHeight="1">
      <x:c r="A109" s="3" t="str">
        <x:v>S-080</x:v>
      </x:c>
      <x:c r="B109" s="3" t="str">
        <x:v>Source</x:v>
      </x:c>
      <x:c r="C109" s="3" t="str">
        <x:v>dialog.js:882</x:v>
      </x:c>
      <x:c r="D109" s="3" t="str">
        <x:v>capsules/library/browser/src/dialog.js:882</x:v>
      </x:c>
      <x:c r="E109" s="3" t="str">
        <x:v>Expected behavior only</x:v>
      </x:c>
      <x:c r="F109" s="3" t="str">
        <x:v>Source commit 8e5eb88b; not live execution.</x:v>
      </x:c>
      <x:c r="G109" s="3"/>
      <x:c r="H109" s="3"/>
      <x:c r="I109" s="3"/>
      <x:c r="J109" s="3"/>
      <x:c r="K109" s="3"/>
      <x:c r="L109" s="3"/>
    </x:row>
    <x:row r="110" ht="42" customHeight="1">
      <x:c r="A110" s="3" t="str">
        <x:v>S-081</x:v>
      </x:c>
      <x:c r="B110" s="3" t="str">
        <x:v>Source</x:v>
      </x:c>
      <x:c r="C110" s="3" t="str">
        <x:v>actions.js:346</x:v>
      </x:c>
      <x:c r="D110" s="3" t="str">
        <x:v>capsules/library/browser/src/actions.js:346</x:v>
      </x:c>
      <x:c r="E110" s="3" t="str">
        <x:v>Expected behavior only</x:v>
      </x:c>
      <x:c r="F110" s="3" t="str">
        <x:v>Source commit 8e5eb88b; not live execution.</x:v>
      </x:c>
      <x:c r="G110" s="3"/>
      <x:c r="H110" s="3"/>
      <x:c r="I110" s="3"/>
      <x:c r="J110" s="3"/>
      <x:c r="K110" s="3"/>
      <x:c r="L110" s="3"/>
    </x:row>
    <x:row r="111" ht="42" customHeight="1">
      <x:c r="A111" s="3" t="str">
        <x:v>S-082</x:v>
      </x:c>
      <x:c r="B111" s="3" t="str">
        <x:v>Source</x:v>
      </x:c>
      <x:c r="C111" s="3" t="str">
        <x:v>gateway_provider_proxy.rs:3241</x:v>
      </x:c>
      <x:c r="D111" s="3" t="str">
        <x:v>elastos/crates/elastos-server/src/api/gateway_provider_proxy.rs:3241</x:v>
      </x:c>
      <x:c r="E111" s="3" t="str">
        <x:v>Expected behavior only</x:v>
      </x:c>
      <x:c r="F111" s="3" t="str">
        <x:v>Source commit 8e5eb88b; not live execution.</x:v>
      </x:c>
      <x:c r="G111" s="3"/>
      <x:c r="H111" s="3"/>
      <x:c r="I111" s="3"/>
      <x:c r="J111" s="3"/>
      <x:c r="K111" s="3"/>
      <x:c r="L111" s="3"/>
    </x:row>
    <x:row r="112" ht="42" customHeight="1">
      <x:c r="A112" s="3" t="str">
        <x:v>S-083</x:v>
      </x:c>
      <x:c r="B112" s="3" t="str">
        <x:v>Source</x:v>
      </x:c>
      <x:c r="C112" s="3" t="str">
        <x:v>library.rs:2025</x:v>
      </x:c>
      <x:c r="D112" s="3" t="str">
        <x:v>elastos/crates/elastos-server/src/library.rs:2025</x:v>
      </x:c>
      <x:c r="E112" s="3" t="str">
        <x:v>Expected behavior only</x:v>
      </x:c>
      <x:c r="F112" s="3" t="str">
        <x:v>Source commit 8e5eb88b; not live execution.</x:v>
      </x:c>
      <x:c r="G112" s="3"/>
      <x:c r="H112" s="3"/>
      <x:c r="I112" s="3"/>
      <x:c r="J112" s="3"/>
      <x:c r="K112" s="3"/>
      <x:c r="L112" s="3"/>
    </x:row>
    <x:row r="113" ht="42" customHeight="1">
      <x:c r="A113" s="3" t="str">
        <x:v>S-084</x:v>
      </x:c>
      <x:c r="B113" s="3" t="str">
        <x:v>Source</x:v>
      </x:c>
      <x:c r="C113" s="3" t="str">
        <x:v>library.rs:1883</x:v>
      </x:c>
      <x:c r="D113" s="3" t="str">
        <x:v>elastos/crates/elastos-server/src/library.rs:1883</x:v>
      </x:c>
      <x:c r="E113" s="3" t="str">
        <x:v>Expected behavior only</x:v>
      </x:c>
      <x:c r="F113" s="3" t="str">
        <x:v>Source commit 8e5eb88b; not live execution.</x:v>
      </x:c>
      <x:c r="G113" s="3"/>
      <x:c r="H113" s="3"/>
      <x:c r="I113" s="3"/>
      <x:c r="J113" s="3"/>
      <x:c r="K113" s="3"/>
      <x:c r="L113" s="3"/>
    </x:row>
    <x:row r="114" ht="42" customHeight="1">
      <x:c r="A114" s="3" t="str">
        <x:v>S-085</x:v>
      </x:c>
      <x:c r="B114" s="3" t="str">
        <x:v>Source</x:v>
      </x:c>
      <x:c r="C114" s="3" t="str">
        <x:v>gateway_provider_proxy.rs:1538</x:v>
      </x:c>
      <x:c r="D114" s="3" t="str">
        <x:v>elastos/crates/elastos-server/src/api/gateway_provider_proxy.rs:1538</x:v>
      </x:c>
      <x:c r="E114" s="3" t="str">
        <x:v>Expected behavior only</x:v>
      </x:c>
      <x:c r="F114" s="3" t="str">
        <x:v>Source commit 8e5eb88b; not live execution.</x:v>
      </x:c>
      <x:c r="G114" s="3"/>
      <x:c r="H114" s="3"/>
      <x:c r="I114" s="3"/>
      <x:c r="J114" s="3"/>
      <x:c r="K114" s="3"/>
      <x:c r="L114" s="3"/>
    </x:row>
    <x:row r="115" ht="42" customHeight="1">
      <x:c r="A115" s="3" t="str">
        <x:v>S-086</x:v>
      </x:c>
      <x:c r="B115" s="3" t="str">
        <x:v>Source</x:v>
      </x:c>
      <x:c r="C115" s="3" t="str">
        <x:v>actions.js:57</x:v>
      </x:c>
      <x:c r="D115" s="3" t="str">
        <x:v>capsules/library/browser/src/actions.js:57</x:v>
      </x:c>
      <x:c r="E115" s="3" t="str">
        <x:v>Expected behavior only</x:v>
      </x:c>
      <x:c r="F115" s="3" t="str">
        <x:v>Source commit 8e5eb88b; not live execution.</x:v>
      </x:c>
      <x:c r="G115" s="3"/>
      <x:c r="H115" s="3"/>
      <x:c r="I115" s="3"/>
      <x:c r="J115" s="3"/>
      <x:c r="K115" s="3"/>
      <x:c r="L115" s="3"/>
    </x:row>
    <x:row r="116" ht="42" customHeight="1">
      <x:c r="A116" s="3" t="str">
        <x:v>S-087</x:v>
      </x:c>
      <x:c r="B116" s="3" t="str">
        <x:v>Source</x:v>
      </x:c>
      <x:c r="C116" s="3" t="str">
        <x:v>protected_content_runtime.rs:5498</x:v>
      </x:c>
      <x:c r="D116" s="3" t="str">
        <x:v>elastos/crates/elastos-server/src/protected_content_runtime.rs:5498</x:v>
      </x:c>
      <x:c r="E116" s="3" t="str">
        <x:v>Expected behavior only</x:v>
      </x:c>
      <x:c r="F116" s="3" t="str">
        <x:v>Source commit 8e5eb88b; not live execution.</x:v>
      </x:c>
      <x:c r="G116" s="3"/>
      <x:c r="H116" s="3"/>
      <x:c r="I116" s="3"/>
      <x:c r="J116" s="3"/>
      <x:c r="K116" s="3"/>
      <x:c r="L116" s="3"/>
    </x:row>
    <x:row r="117" ht="42" customHeight="1">
      <x:c r="A117" s="3" t="str">
        <x:v>S-088</x:v>
      </x:c>
      <x:c r="B117" s="3" t="str">
        <x:v>Source</x:v>
      </x:c>
      <x:c r="C117" s="3" t="str">
        <x:v>actions.js:452</x:v>
      </x:c>
      <x:c r="D117" s="3" t="str">
        <x:v>capsules/library/browser/src/actions.js:452</x:v>
      </x:c>
      <x:c r="E117" s="3" t="str">
        <x:v>Expected behavior only</x:v>
      </x:c>
      <x:c r="F117" s="3" t="str">
        <x:v>Source commit 8e5eb88b; not live execution.</x:v>
      </x:c>
      <x:c r="G117" s="3"/>
      <x:c r="H117" s="3"/>
      <x:c r="I117" s="3"/>
      <x:c r="J117" s="3"/>
      <x:c r="K117" s="3"/>
      <x:c r="L117" s="3"/>
    </x:row>
    <x:row r="118" ht="42" customHeight="1">
      <x:c r="A118" s="3" t="str">
        <x:v>S-089</x:v>
      </x:c>
      <x:c r="B118" s="3" t="str">
        <x:v>Source</x:v>
      </x:c>
      <x:c r="C118" s="3" t="str">
        <x:v>actions.js:617</x:v>
      </x:c>
      <x:c r="D118" s="3" t="str">
        <x:v>capsules/library/browser/src/actions.js:617</x:v>
      </x:c>
      <x:c r="E118" s="3" t="str">
        <x:v>Expected behavior only</x:v>
      </x:c>
      <x:c r="F118" s="3" t="str">
        <x:v>Source commit 8e5eb88b; not live execution.</x:v>
      </x:c>
      <x:c r="G118" s="3"/>
      <x:c r="H118" s="3"/>
      <x:c r="I118" s="3"/>
      <x:c r="J118" s="3"/>
      <x:c r="K118" s="3"/>
      <x:c r="L118" s="3"/>
    </x:row>
    <x:row r="119" ht="42" customHeight="1">
      <x:c r="A119" s="3" t="str">
        <x:v>S-090</x:v>
      </x:c>
      <x:c r="B119" s="3" t="str">
        <x:v>Source</x:v>
      </x:c>
      <x:c r="C119" s="3" t="str">
        <x:v>app.js:592</x:v>
      </x:c>
      <x:c r="D119" s="3" t="str">
        <x:v>capsules/library/browser/src/app.js:592</x:v>
      </x:c>
      <x:c r="E119" s="3" t="str">
        <x:v>Expected behavior only</x:v>
      </x:c>
      <x:c r="F119" s="3" t="str">
        <x:v>Source commit 8e5eb88b; not live execution.</x:v>
      </x:c>
      <x:c r="G119" s="3"/>
      <x:c r="H119" s="3"/>
      <x:c r="I119" s="3"/>
      <x:c r="J119" s="3"/>
      <x:c r="K119" s="3"/>
      <x:c r="L119" s="3"/>
    </x:row>
    <x:row r="120" ht="42" customHeight="1">
      <x:c r="A120" s="3" t="str">
        <x:v>S-091</x:v>
      </x:c>
      <x:c r="B120" s="3" t="str">
        <x:v>Source</x:v>
      </x:c>
      <x:c r="C120" s="3" t="str">
        <x:v>index.html:1135</x:v>
      </x:c>
      <x:c r="D120" s="3" t="str">
        <x:v>capsules/documents/browser/index.html:1135</x:v>
      </x:c>
      <x:c r="E120" s="3" t="str">
        <x:v>Expected behavior only</x:v>
      </x:c>
      <x:c r="F120" s="3" t="str">
        <x:v>Source commit 8e5eb88b; not live execution.</x:v>
      </x:c>
      <x:c r="G120" s="3"/>
      <x:c r="H120" s="3"/>
      <x:c r="I120" s="3"/>
      <x:c r="J120" s="3"/>
      <x:c r="K120" s="3"/>
      <x:c r="L120" s="3"/>
    </x:row>
    <x:row r="121" ht="42" customHeight="1">
      <x:c r="A121" s="3" t="str">
        <x:v>S-092</x:v>
      </x:c>
      <x:c r="B121" s="3" t="str">
        <x:v>Source</x:v>
      </x:c>
      <x:c r="C121" s="3" t="str">
        <x:v>index.html:1657</x:v>
      </x:c>
      <x:c r="D121" s="3" t="str">
        <x:v>capsules/documents/browser/index.html:1657</x:v>
      </x:c>
      <x:c r="E121" s="3" t="str">
        <x:v>Expected behavior only</x:v>
      </x:c>
      <x:c r="F121" s="3" t="str">
        <x:v>Source commit 8e5eb88b; not live execution.</x:v>
      </x:c>
      <x:c r="G121" s="3"/>
      <x:c r="H121" s="3"/>
      <x:c r="I121" s="3"/>
      <x:c r="J121" s="3"/>
      <x:c r="K121" s="3"/>
      <x:c r="L121" s="3"/>
    </x:row>
    <x:row r="122" ht="42" customHeight="1">
      <x:c r="A122" s="3" t="str">
        <x:v>S-093</x:v>
      </x:c>
      <x:c r="B122" s="3" t="str">
        <x:v>Source</x:v>
      </x:c>
      <x:c r="C122" s="3" t="str">
        <x:v>index.html:2132</x:v>
      </x:c>
      <x:c r="D122" s="3" t="str">
        <x:v>capsules/documents/browser/index.html:2132</x:v>
      </x:c>
      <x:c r="E122" s="3" t="str">
        <x:v>Expected behavior only</x:v>
      </x:c>
      <x:c r="F122" s="3" t="str">
        <x:v>Source commit 8e5eb88b; not live execution.</x:v>
      </x:c>
      <x:c r="G122" s="3"/>
      <x:c r="H122" s="3"/>
      <x:c r="I122" s="3"/>
      <x:c r="J122" s="3"/>
      <x:c r="K122" s="3"/>
      <x:c r="L122" s="3"/>
    </x:row>
    <x:row r="123" ht="42" customHeight="1">
      <x:c r="A123" s="3" t="str">
        <x:v>S-094</x:v>
      </x:c>
      <x:c r="B123" s="3" t="str">
        <x:v>Source</x:v>
      </x:c>
      <x:c r="C123" s="3" t="str">
        <x:v>index.html:2661</x:v>
      </x:c>
      <x:c r="D123" s="3" t="str">
        <x:v>capsules/documents/browser/index.html:2661</x:v>
      </x:c>
      <x:c r="E123" s="3" t="str">
        <x:v>Expected behavior only</x:v>
      </x:c>
      <x:c r="F123" s="3" t="str">
        <x:v>Source commit 8e5eb88b; not live execution.</x:v>
      </x:c>
      <x:c r="G123" s="3"/>
      <x:c r="H123" s="3"/>
      <x:c r="I123" s="3"/>
      <x:c r="J123" s="3"/>
      <x:c r="K123" s="3"/>
      <x:c r="L123" s="3"/>
    </x:row>
    <x:row r="124" ht="42" customHeight="1">
      <x:c r="A124" s="3" t="str">
        <x:v>S-095</x:v>
      </x:c>
      <x:c r="B124" s="3" t="str">
        <x:v>Source</x:v>
      </x:c>
      <x:c r="C124" s="3" t="str">
        <x:v>index.html:2021</x:v>
      </x:c>
      <x:c r="D124" s="3" t="str">
        <x:v>capsules/documents/browser/index.html:2021</x:v>
      </x:c>
      <x:c r="E124" s="3" t="str">
        <x:v>Expected behavior only</x:v>
      </x:c>
      <x:c r="F124" s="3" t="str">
        <x:v>Source commit 8e5eb88b; not live execution.</x:v>
      </x:c>
      <x:c r="G124" s="3"/>
      <x:c r="H124" s="3"/>
      <x:c r="I124" s="3"/>
      <x:c r="J124" s="3"/>
      <x:c r="K124" s="3"/>
      <x:c r="L124" s="3"/>
    </x:row>
    <x:row r="125" ht="42" customHeight="1">
      <x:c r="A125" s="3" t="str">
        <x:v>S-096</x:v>
      </x:c>
      <x:c r="B125" s="3" t="str">
        <x:v>Source</x:v>
      </x:c>
      <x:c r="C125" s="3" t="str">
        <x:v>index.html:2055</x:v>
      </x:c>
      <x:c r="D125" s="3" t="str">
        <x:v>capsules/documents/browser/index.html:2055</x:v>
      </x:c>
      <x:c r="E125" s="3" t="str">
        <x:v>Expected behavior only</x:v>
      </x:c>
      <x:c r="F125" s="3" t="str">
        <x:v>Source commit 8e5eb88b; not live execution.</x:v>
      </x:c>
      <x:c r="G125" s="3"/>
      <x:c r="H125" s="3"/>
      <x:c r="I125" s="3"/>
      <x:c r="J125" s="3"/>
      <x:c r="K125" s="3"/>
      <x:c r="L125" s="3"/>
    </x:row>
    <x:row r="126" ht="42" customHeight="1">
      <x:c r="A126" s="3" t="str">
        <x:v>S-097</x:v>
      </x:c>
      <x:c r="B126" s="3" t="str">
        <x:v>Source</x:v>
      </x:c>
      <x:c r="C126" s="3" t="str">
        <x:v>index.html:2200</x:v>
      </x:c>
      <x:c r="D126" s="3" t="str">
        <x:v>capsules/documents/browser/index.html:2200</x:v>
      </x:c>
      <x:c r="E126" s="3" t="str">
        <x:v>Expected behavior only</x:v>
      </x:c>
      <x:c r="F126" s="3" t="str">
        <x:v>Source commit 8e5eb88b; not live execution.</x:v>
      </x:c>
      <x:c r="G126" s="3"/>
      <x:c r="H126" s="3"/>
      <x:c r="I126" s="3"/>
      <x:c r="J126" s="3"/>
      <x:c r="K126" s="3"/>
      <x:c r="L126" s="3"/>
    </x:row>
    <x:row r="127" ht="42" customHeight="1">
      <x:c r="A127" s="3" t="str">
        <x:v>S-098</x:v>
      </x:c>
      <x:c r="B127" s="3" t="str">
        <x:v>Source</x:v>
      </x:c>
      <x:c r="C127" s="3" t="str">
        <x:v>index.html:2812</x:v>
      </x:c>
      <x:c r="D127" s="3" t="str">
        <x:v>capsules/documents/browser/index.html:2812</x:v>
      </x:c>
      <x:c r="E127" s="3" t="str">
        <x:v>Expected behavior only</x:v>
      </x:c>
      <x:c r="F127" s="3" t="str">
        <x:v>Source commit 8e5eb88b; not live execution.</x:v>
      </x:c>
      <x:c r="G127" s="3"/>
      <x:c r="H127" s="3"/>
      <x:c r="I127" s="3"/>
      <x:c r="J127" s="3"/>
      <x:c r="K127" s="3"/>
      <x:c r="L127" s="3"/>
    </x:row>
    <x:row r="128" ht="42" customHeight="1">
      <x:c r="A128" s="3" t="str">
        <x:v>S-099</x:v>
      </x:c>
      <x:c r="B128" s="3" t="str">
        <x:v>Source</x:v>
      </x:c>
      <x:c r="C128" s="3" t="str">
        <x:v>index.html:1818</x:v>
      </x:c>
      <x:c r="D128" s="3" t="str">
        <x:v>capsules/documents/browser/index.html:1818</x:v>
      </x:c>
      <x:c r="E128" s="3" t="str">
        <x:v>Expected behavior only</x:v>
      </x:c>
      <x:c r="F128" s="3" t="str">
        <x:v>Source commit 8e5eb88b; not live execution.</x:v>
      </x:c>
      <x:c r="G128" s="3"/>
      <x:c r="H128" s="3"/>
      <x:c r="I128" s="3"/>
      <x:c r="J128" s="3"/>
      <x:c r="K128" s="3"/>
      <x:c r="L128" s="3"/>
    </x:row>
    <x:row r="129" ht="42" customHeight="1">
      <x:c r="A129" s="3" t="str">
        <x:v>S-100</x:v>
      </x:c>
      <x:c r="B129" s="3" t="str">
        <x:v>Source</x:v>
      </x:c>
      <x:c r="C129" s="3" t="str">
        <x:v>index.html:2487</x:v>
      </x:c>
      <x:c r="D129" s="3" t="str">
        <x:v>capsules/documents/browser/index.html:2487</x:v>
      </x:c>
      <x:c r="E129" s="3" t="str">
        <x:v>Expected behavior only</x:v>
      </x:c>
      <x:c r="F129" s="3" t="str">
        <x:v>Source commit 8e5eb88b; not live execution.</x:v>
      </x:c>
      <x:c r="G129" s="3"/>
      <x:c r="H129" s="3"/>
      <x:c r="I129" s="3"/>
      <x:c r="J129" s="3"/>
      <x:c r="K129" s="3"/>
      <x:c r="L129" s="3"/>
    </x:row>
    <x:row r="130" ht="42" customHeight="1">
      <x:c r="A130" s="3" t="str">
        <x:v>S-101</x:v>
      </x:c>
      <x:c r="B130" s="3" t="str">
        <x:v>Source</x:v>
      </x:c>
      <x:c r="C130" s="3" t="str">
        <x:v>index.html:1738</x:v>
      </x:c>
      <x:c r="D130" s="3" t="str">
        <x:v>capsules/documents/browser/index.html:1738</x:v>
      </x:c>
      <x:c r="E130" s="3" t="str">
        <x:v>Expected behavior only</x:v>
      </x:c>
      <x:c r="F130" s="3" t="str">
        <x:v>Source commit 8e5eb88b; not live execution.</x:v>
      </x:c>
      <x:c r="G130" s="3"/>
      <x:c r="H130" s="3"/>
      <x:c r="I130" s="3"/>
      <x:c r="J130" s="3"/>
      <x:c r="K130" s="3"/>
      <x:c r="L130" s="3"/>
    </x:row>
    <x:row r="131" ht="42" customHeight="1">
      <x:c r="A131" s="3" t="str">
        <x:v>S-102</x:v>
      </x:c>
      <x:c r="B131" s="3" t="str">
        <x:v>Source</x:v>
      </x:c>
      <x:c r="C131" s="3" t="str">
        <x:v>index.html:598</x:v>
      </x:c>
      <x:c r="D131" s="3" t="str">
        <x:v>capsules/archive-manager/browser/index.html:598</x:v>
      </x:c>
      <x:c r="E131" s="3" t="str">
        <x:v>Expected behavior only</x:v>
      </x:c>
      <x:c r="F131" s="3" t="str">
        <x:v>Source commit 8e5eb88b; not live execution.</x:v>
      </x:c>
      <x:c r="G131" s="3"/>
      <x:c r="H131" s="3"/>
      <x:c r="I131" s="3"/>
      <x:c r="J131" s="3"/>
      <x:c r="K131" s="3"/>
      <x:c r="L131" s="3"/>
    </x:row>
    <x:row r="132" ht="42" customHeight="1">
      <x:c r="A132" s="3" t="str">
        <x:v>S-103</x:v>
      </x:c>
      <x:c r="B132" s="3" t="str">
        <x:v>Source</x:v>
      </x:c>
      <x:c r="C132" s="3" t="str">
        <x:v>index.html:602</x:v>
      </x:c>
      <x:c r="D132" s="3" t="str">
        <x:v>capsules/archive-manager/browser/index.html:602</x:v>
      </x:c>
      <x:c r="E132" s="3" t="str">
        <x:v>Expected behavior only</x:v>
      </x:c>
      <x:c r="F132" s="3" t="str">
        <x:v>Source commit 8e5eb88b; not live execution.</x:v>
      </x:c>
      <x:c r="G132" s="3"/>
      <x:c r="H132" s="3"/>
      <x:c r="I132" s="3"/>
      <x:c r="J132" s="3"/>
      <x:c r="K132" s="3"/>
      <x:c r="L132" s="3"/>
    </x:row>
    <x:row r="133" ht="42" customHeight="1">
      <x:c r="A133" s="3" t="str">
        <x:v>S-104</x:v>
      </x:c>
      <x:c r="B133" s="3" t="str">
        <x:v>Source</x:v>
      </x:c>
      <x:c r="C133" s="3" t="str">
        <x:v>index.html:618</x:v>
      </x:c>
      <x:c r="D133" s="3" t="str">
        <x:v>capsules/archive-manager/browser/index.html:618</x:v>
      </x:c>
      <x:c r="E133" s="3" t="str">
        <x:v>Expected behavior only</x:v>
      </x:c>
      <x:c r="F133" s="3" t="str">
        <x:v>Source commit 8e5eb88b; not live execution.</x:v>
      </x:c>
      <x:c r="G133" s="3"/>
      <x:c r="H133" s="3"/>
      <x:c r="I133" s="3"/>
      <x:c r="J133" s="3"/>
      <x:c r="K133" s="3"/>
      <x:c r="L133" s="3"/>
    </x:row>
    <x:row r="134" ht="42" customHeight="1">
      <x:c r="A134" s="3" t="str">
        <x:v>S-105</x:v>
      </x:c>
      <x:c r="B134" s="3" t="str">
        <x:v>Source</x:v>
      </x:c>
      <x:c r="C134" s="3" t="str">
        <x:v>index.html:664</x:v>
      </x:c>
      <x:c r="D134" s="3" t="str">
        <x:v>capsules/archive-manager/browser/index.html:664</x:v>
      </x:c>
      <x:c r="E134" s="3" t="str">
        <x:v>Expected behavior only</x:v>
      </x:c>
      <x:c r="F134" s="3" t="str">
        <x:v>Source commit 8e5eb88b; not live execution.</x:v>
      </x:c>
      <x:c r="G134" s="3"/>
      <x:c r="H134" s="3"/>
      <x:c r="I134" s="3"/>
      <x:c r="J134" s="3"/>
      <x:c r="K134" s="3"/>
      <x:c r="L134" s="3"/>
    </x:row>
    <x:row r="135" ht="42" customHeight="1">
      <x:c r="A135" s="3" t="str">
        <x:v>S-106</x:v>
      </x:c>
      <x:c r="B135" s="3" t="str">
        <x:v>Source</x:v>
      </x:c>
      <x:c r="C135" s="3" t="str">
        <x:v>index.html:794</x:v>
      </x:c>
      <x:c r="D135" s="3" t="str">
        <x:v>capsules/archive-manager/browser/index.html:794</x:v>
      </x:c>
      <x:c r="E135" s="3" t="str">
        <x:v>Expected behavior only</x:v>
      </x:c>
      <x:c r="F135" s="3" t="str">
        <x:v>Source commit 8e5eb88b; not live execution.</x:v>
      </x:c>
      <x:c r="G135" s="3"/>
      <x:c r="H135" s="3"/>
      <x:c r="I135" s="3"/>
      <x:c r="J135" s="3"/>
      <x:c r="K135" s="3"/>
      <x:c r="L135" s="3"/>
    </x:row>
    <x:row r="136" ht="42" customHeight="1">
      <x:c r="A136" s="3" t="str">
        <x:v>S-107</x:v>
      </x:c>
      <x:c r="B136" s="3" t="str">
        <x:v>Source</x:v>
      </x:c>
      <x:c r="C136" s="3" t="str">
        <x:v>index.html:671</x:v>
      </x:c>
      <x:c r="D136" s="3" t="str">
        <x:v>capsules/archive-manager/browser/index.html:671</x:v>
      </x:c>
      <x:c r="E136" s="3" t="str">
        <x:v>Expected behavior only</x:v>
      </x:c>
      <x:c r="F136" s="3" t="str">
        <x:v>Source commit 8e5eb88b; not live execution.</x:v>
      </x:c>
      <x:c r="G136" s="3"/>
      <x:c r="H136" s="3"/>
      <x:c r="I136" s="3"/>
      <x:c r="J136" s="3"/>
      <x:c r="K136" s="3"/>
      <x:c r="L136" s="3"/>
    </x:row>
    <x:row r="137" ht="42" customHeight="1">
      <x:c r="A137" s="3" t="str">
        <x:v>S-108</x:v>
      </x:c>
      <x:c r="B137" s="3" t="str">
        <x:v>Source</x:v>
      </x:c>
      <x:c r="C137" s="3" t="str">
        <x:v>marketplace.js:47</x:v>
      </x:c>
      <x:c r="D137" s="3" t="str">
        <x:v>capsules/marketplace/browser/marketplace.js:47</x:v>
      </x:c>
      <x:c r="E137" s="3" t="str">
        <x:v>Expected behavior only</x:v>
      </x:c>
      <x:c r="F137" s="3" t="str">
        <x:v>Source commit 8e5eb88b; not live execution.</x:v>
      </x:c>
      <x:c r="G137" s="3"/>
      <x:c r="H137" s="3"/>
      <x:c r="I137" s="3"/>
      <x:c r="J137" s="3"/>
      <x:c r="K137" s="3"/>
      <x:c r="L137" s="3"/>
    </x:row>
    <x:row r="138" ht="42" customHeight="1">
      <x:c r="A138" s="3" t="str">
        <x:v>S-109</x:v>
      </x:c>
      <x:c r="B138" s="3" t="str">
        <x:v>Source</x:v>
      </x:c>
      <x:c r="C138" s="3" t="str">
        <x:v>marketplace.js:476</x:v>
      </x:c>
      <x:c r="D138" s="3" t="str">
        <x:v>capsules/marketplace/browser/marketplace.js:476</x:v>
      </x:c>
      <x:c r="E138" s="3" t="str">
        <x:v>Expected behavior only</x:v>
      </x:c>
      <x:c r="F138" s="3" t="str">
        <x:v>Source commit 8e5eb88b; not live execution.</x:v>
      </x:c>
      <x:c r="G138" s="3"/>
      <x:c r="H138" s="3"/>
      <x:c r="I138" s="3"/>
      <x:c r="J138" s="3"/>
      <x:c r="K138" s="3"/>
      <x:c r="L138" s="3"/>
    </x:row>
    <x:row r="139" ht="42" customHeight="1">
      <x:c r="A139" s="3" t="str">
        <x:v>S-110</x:v>
      </x:c>
      <x:c r="B139" s="3" t="str">
        <x:v>Source</x:v>
      </x:c>
      <x:c r="C139" s="3" t="str">
        <x:v>marketplace.js:827</x:v>
      </x:c>
      <x:c r="D139" s="3" t="str">
        <x:v>capsules/marketplace/browser/marketplace.js:827</x:v>
      </x:c>
      <x:c r="E139" s="3" t="str">
        <x:v>Expected behavior only</x:v>
      </x:c>
      <x:c r="F139" s="3" t="str">
        <x:v>Source commit 8e5eb88b; not live execution.</x:v>
      </x:c>
      <x:c r="G139" s="3"/>
      <x:c r="H139" s="3"/>
      <x:c r="I139" s="3"/>
      <x:c r="J139" s="3"/>
      <x:c r="K139" s="3"/>
      <x:c r="L139" s="3"/>
    </x:row>
    <x:row r="140" ht="42" customHeight="1">
      <x:c r="A140" s="3" t="str">
        <x:v>S-111</x:v>
      </x:c>
      <x:c r="B140" s="3" t="str">
        <x:v>Source</x:v>
      </x:c>
      <x:c r="C140" s="3" t="str">
        <x:v>marketplace.js:797</x:v>
      </x:c>
      <x:c r="D140" s="3" t="str">
        <x:v>capsules/marketplace/browser/marketplace.js:797</x:v>
      </x:c>
      <x:c r="E140" s="3" t="str">
        <x:v>Expected behavior only</x:v>
      </x:c>
      <x:c r="F140" s="3" t="str">
        <x:v>Source commit 8e5eb88b; not live execution.</x:v>
      </x:c>
      <x:c r="G140" s="3"/>
      <x:c r="H140" s="3"/>
      <x:c r="I140" s="3"/>
      <x:c r="J140" s="3"/>
      <x:c r="K140" s="3"/>
      <x:c r="L140" s="3"/>
    </x:row>
    <x:row r="141" ht="42" customHeight="1">
      <x:c r="A141" s="3" t="str">
        <x:v>S-112</x:v>
      </x:c>
      <x:c r="B141" s="3" t="str">
        <x:v>Source</x:v>
      </x:c>
      <x:c r="C141" s="3" t="str">
        <x:v>marketplace.js:524</x:v>
      </x:c>
      <x:c r="D141" s="3" t="str">
        <x:v>capsules/marketplace/browser/marketplace.js:524</x:v>
      </x:c>
      <x:c r="E141" s="3" t="str">
        <x:v>Expected behavior only</x:v>
      </x:c>
      <x:c r="F141" s="3" t="str">
        <x:v>Source commit 8e5eb88b; not live execution.</x:v>
      </x:c>
      <x:c r="G141" s="3"/>
      <x:c r="H141" s="3"/>
      <x:c r="I141" s="3"/>
      <x:c r="J141" s="3"/>
      <x:c r="K141" s="3"/>
      <x:c r="L141" s="3"/>
    </x:row>
    <x:row r="142" ht="42" customHeight="1">
      <x:c r="A142" s="3" t="str">
        <x:v>S-113</x:v>
      </x:c>
      <x:c r="B142" s="3" t="str">
        <x:v>Source</x:v>
      </x:c>
      <x:c r="C142" s="3" t="str">
        <x:v>marketplace.js:735</x:v>
      </x:c>
      <x:c r="D142" s="3" t="str">
        <x:v>capsules/marketplace/browser/marketplace.js:735</x:v>
      </x:c>
      <x:c r="E142" s="3" t="str">
        <x:v>Expected behavior only</x:v>
      </x:c>
      <x:c r="F142" s="3" t="str">
        <x:v>Source commit 8e5eb88b; not live execution.</x:v>
      </x:c>
      <x:c r="G142" s="3"/>
      <x:c r="H142" s="3"/>
      <x:c r="I142" s="3"/>
      <x:c r="J142" s="3"/>
      <x:c r="K142" s="3"/>
      <x:c r="L142" s="3"/>
    </x:row>
    <x:row r="143" ht="42" customHeight="1">
      <x:c r="A143" s="3" t="str">
        <x:v>S-114</x:v>
      </x:c>
      <x:c r="B143" s="3" t="str">
        <x:v>Source</x:v>
      </x:c>
      <x:c r="C143" s="3" t="str">
        <x:v>marketplace.js:760</x:v>
      </x:c>
      <x:c r="D143" s="3" t="str">
        <x:v>capsules/marketplace/browser/marketplace.js:760</x:v>
      </x:c>
      <x:c r="E143" s="3" t="str">
        <x:v>Expected behavior only</x:v>
      </x:c>
      <x:c r="F143" s="3" t="str">
        <x:v>Source commit 8e5eb88b; not live execution.</x:v>
      </x:c>
      <x:c r="G143" s="3"/>
      <x:c r="H143" s="3"/>
      <x:c r="I143" s="3"/>
      <x:c r="J143" s="3"/>
      <x:c r="K143" s="3"/>
      <x:c r="L143" s="3"/>
    </x:row>
    <x:row r="144" ht="42" customHeight="1">
      <x:c r="A144" s="3" t="str">
        <x:v>S-115</x:v>
      </x:c>
      <x:c r="B144" s="3" t="str">
        <x:v>Source</x:v>
      </x:c>
      <x:c r="C144" s="3" t="str">
        <x:v>marketplace.js:764</x:v>
      </x:c>
      <x:c r="D144" s="3" t="str">
        <x:v>capsules/marketplace/browser/marketplace.js:764</x:v>
      </x:c>
      <x:c r="E144" s="3" t="str">
        <x:v>Expected behavior only</x:v>
      </x:c>
      <x:c r="F144" s="3" t="str">
        <x:v>Source commit 8e5eb88b; not live execution.</x:v>
      </x:c>
      <x:c r="G144" s="3"/>
      <x:c r="H144" s="3"/>
      <x:c r="I144" s="3"/>
      <x:c r="J144" s="3"/>
      <x:c r="K144" s="3"/>
      <x:c r="L144" s="3"/>
    </x:row>
    <x:row r="145" ht="42" customHeight="1">
      <x:c r="A145" s="3" t="str">
        <x:v>S-116</x:v>
      </x:c>
      <x:c r="B145" s="3" t="str">
        <x:v>Source</x:v>
      </x:c>
      <x:c r="C145" s="3" t="str">
        <x:v>protected_content_runtime.rs:4820</x:v>
      </x:c>
      <x:c r="D145" s="3" t="str">
        <x:v>elastos/crates/elastos-server/src/protected_content_runtime.rs:4820</x:v>
      </x:c>
      <x:c r="E145" s="3" t="str">
        <x:v>Expected behavior only</x:v>
      </x:c>
      <x:c r="F145" s="3" t="str">
        <x:v>Source commit 8e5eb88b; not live execution.</x:v>
      </x:c>
      <x:c r="G145" s="3"/>
      <x:c r="H145" s="3"/>
      <x:c r="I145" s="3"/>
      <x:c r="J145" s="3"/>
      <x:c r="K145" s="3"/>
      <x:c r="L145" s="3"/>
    </x:row>
    <x:row r="146" ht="42" customHeight="1">
      <x:c r="A146" s="3" t="str">
        <x:v>S-117</x:v>
      </x:c>
      <x:c r="B146" s="3" t="str">
        <x:v>Source</x:v>
      </x:c>
      <x:c r="C146" s="3" t="str">
        <x:v>index.html:1</x:v>
      </x:c>
      <x:c r="D146" s="3" t="str">
        <x:v>capsules/elacity-player/browser/index.html:1</x:v>
      </x:c>
      <x:c r="E146" s="3" t="str">
        <x:v>Expected behavior only</x:v>
      </x:c>
      <x:c r="F146" s="3" t="str">
        <x:v>Source commit 8e5eb88b; not live execution.</x:v>
      </x:c>
      <x:c r="G146" s="3"/>
      <x:c r="H146" s="3"/>
      <x:c r="I146" s="3"/>
      <x:c r="J146" s="3"/>
      <x:c r="K146" s="3"/>
      <x:c r="L146" s="3"/>
    </x:row>
    <x:row r="147" ht="42" customHeight="1">
      <x:c r="A147" s="3" t="str">
        <x:v>S-118</x:v>
      </x:c>
      <x:c r="B147" s="3" t="str">
        <x:v>Source</x:v>
      </x:c>
      <x:c r="C147" s="3" t="str">
        <x:v>library.rs:1919</x:v>
      </x:c>
      <x:c r="D147" s="3" t="str">
        <x:v>elastos/crates/elastos-server/src/library.rs:1919</x:v>
      </x:c>
      <x:c r="E147" s="3" t="str">
        <x:v>Expected behavior only</x:v>
      </x:c>
      <x:c r="F147" s="3" t="str">
        <x:v>Source commit 8e5eb88b; not live execution.</x:v>
      </x:c>
      <x:c r="G147" s="3"/>
      <x:c r="H147" s="3"/>
      <x:c r="I147" s="3"/>
      <x:c r="J147" s="3"/>
      <x:c r="K147" s="3"/>
      <x:c r="L147" s="3"/>
    </x:row>
    <x:row r="148" ht="42" customHeight="1">
      <x:c r="A148" s="3" t="str">
        <x:v>S-119</x:v>
      </x:c>
      <x:c r="B148" s="3" t="str">
        <x:v>Source</x:v>
      </x:c>
      <x:c r="C148" s="3" t="str">
        <x:v>wallet.js:596</x:v>
      </x:c>
      <x:c r="D148" s="3" t="str">
        <x:v>capsules/wallet/browser/wallet.js:596</x:v>
      </x:c>
      <x:c r="E148" s="3" t="str">
        <x:v>Expected behavior only</x:v>
      </x:c>
      <x:c r="F148" s="3" t="str">
        <x:v>Source commit 8e5eb88b; not live execution.</x:v>
      </x:c>
      <x:c r="G148" s="3"/>
      <x:c r="H148" s="3"/>
      <x:c r="I148" s="3"/>
      <x:c r="J148" s="3"/>
      <x:c r="K148" s="3"/>
      <x:c r="L148" s="3"/>
    </x:row>
    <x:row r="149" ht="42" customHeight="1">
      <x:c r="A149" s="3" t="str">
        <x:v>S-120</x:v>
      </x:c>
      <x:c r="B149" s="3" t="str">
        <x:v>Source</x:v>
      </x:c>
      <x:c r="C149" s="3" t="str">
        <x:v>index.html:1</x:v>
      </x:c>
      <x:c r="D149" s="3" t="str">
        <x:v>capsules/wallet/browser/index.html:1</x:v>
      </x:c>
      <x:c r="E149" s="3" t="str">
        <x:v>Expected behavior only</x:v>
      </x:c>
      <x:c r="F149" s="3" t="str">
        <x:v>Source commit 8e5eb88b; not live execution.</x:v>
      </x:c>
      <x:c r="G149" s="3"/>
      <x:c r="H149" s="3"/>
      <x:c r="I149" s="3"/>
      <x:c r="J149" s="3"/>
      <x:c r="K149" s="3"/>
      <x:c r="L149" s="3"/>
    </x:row>
    <x:row r="150" ht="42" customHeight="1">
      <x:c r="A150" s="3" t="str">
        <x:v>S-121</x:v>
      </x:c>
      <x:c r="B150" s="3" t="str">
        <x:v>Source</x:v>
      </x:c>
      <x:c r="C150" s="3" t="str">
        <x:v>wallet-create-account-flow.js:31</x:v>
      </x:c>
      <x:c r="D150" s="3" t="str">
        <x:v>capsules/wallet/browser/wallet-create-account-flow.js:31</x:v>
      </x:c>
      <x:c r="E150" s="3" t="str">
        <x:v>Expected behavior only</x:v>
      </x:c>
      <x:c r="F150" s="3" t="str">
        <x:v>Source commit 8e5eb88b; not live execution.</x:v>
      </x:c>
      <x:c r="G150" s="3"/>
      <x:c r="H150" s="3"/>
      <x:c r="I150" s="3"/>
      <x:c r="J150" s="3"/>
      <x:c r="K150" s="3"/>
      <x:c r="L150" s="3"/>
    </x:row>
    <x:row r="151" ht="42" customHeight="1">
      <x:c r="A151" s="3" t="str">
        <x:v>S-122</x:v>
      </x:c>
      <x:c r="B151" s="3" t="str">
        <x:v>Source</x:v>
      </x:c>
      <x:c r="C151" s="3" t="str">
        <x:v>wallet-create-account-flow.js:136</x:v>
      </x:c>
      <x:c r="D151" s="3" t="str">
        <x:v>capsules/wallet/browser/wallet-create-account-flow.js:136</x:v>
      </x:c>
      <x:c r="E151" s="3" t="str">
        <x:v>Expected behavior only</x:v>
      </x:c>
      <x:c r="F151" s="3" t="str">
        <x:v>Source commit 8e5eb88b; not live execution.</x:v>
      </x:c>
      <x:c r="G151" s="3"/>
      <x:c r="H151" s="3"/>
      <x:c r="I151" s="3"/>
      <x:c r="J151" s="3"/>
      <x:c r="K151" s="3"/>
      <x:c r="L151" s="3"/>
    </x:row>
    <x:row r="152" ht="42" customHeight="1">
      <x:c r="A152" s="3" t="str">
        <x:v>S-123</x:v>
      </x:c>
      <x:c r="B152" s="3" t="str">
        <x:v>Source</x:v>
      </x:c>
      <x:c r="C152" s="3" t="str">
        <x:v>wallet-account-actions.js:52</x:v>
      </x:c>
      <x:c r="D152" s="3" t="str">
        <x:v>capsules/wallet/browser/wallet-account-actions.js:52</x:v>
      </x:c>
      <x:c r="E152" s="3" t="str">
        <x:v>Expected behavior only</x:v>
      </x:c>
      <x:c r="F152" s="3" t="str">
        <x:v>Source commit 8e5eb88b; not live execution.</x:v>
      </x:c>
      <x:c r="G152" s="3"/>
      <x:c r="H152" s="3"/>
      <x:c r="I152" s="3"/>
      <x:c r="J152" s="3"/>
      <x:c r="K152" s="3"/>
      <x:c r="L152" s="3"/>
    </x:row>
    <x:row r="153" ht="42" customHeight="1">
      <x:c r="A153" s="3" t="str">
        <x:v>S-124</x:v>
      </x:c>
      <x:c r="B153" s="3" t="str">
        <x:v>Source</x:v>
      </x:c>
      <x:c r="C153" s="3" t="str">
        <x:v>wallet-account-actions.js:272</x:v>
      </x:c>
      <x:c r="D153" s="3" t="str">
        <x:v>capsules/wallet/browser/wallet-account-actions.js:272</x:v>
      </x:c>
      <x:c r="E153" s="3" t="str">
        <x:v>Expected behavior only</x:v>
      </x:c>
      <x:c r="F153" s="3" t="str">
        <x:v>Source commit 8e5eb88b; not live execution.</x:v>
      </x:c>
      <x:c r="G153" s="3"/>
      <x:c r="H153" s="3"/>
      <x:c r="I153" s="3"/>
      <x:c r="J153" s="3"/>
      <x:c r="K153" s="3"/>
      <x:c r="L153" s="3"/>
    </x:row>
    <x:row r="154" ht="42" customHeight="1">
      <x:c r="A154" s="3" t="str">
        <x:v>S-125</x:v>
      </x:c>
      <x:c r="B154" s="3" t="str">
        <x:v>Source</x:v>
      </x:c>
      <x:c r="C154" s="3" t="str">
        <x:v>wallet-account-actions.js:99</x:v>
      </x:c>
      <x:c r="D154" s="3" t="str">
        <x:v>capsules/wallet/browser/wallet-account-actions.js:99</x:v>
      </x:c>
      <x:c r="E154" s="3" t="str">
        <x:v>Expected behavior only</x:v>
      </x:c>
      <x:c r="F154" s="3" t="str">
        <x:v>Source commit 8e5eb88b; not live execution.</x:v>
      </x:c>
      <x:c r="G154" s="3"/>
      <x:c r="H154" s="3"/>
      <x:c r="I154" s="3"/>
      <x:c r="J154" s="3"/>
      <x:c r="K154" s="3"/>
      <x:c r="L154" s="3"/>
    </x:row>
    <x:row r="155" ht="42" customHeight="1">
      <x:c r="A155" s="3" t="str">
        <x:v>S-126</x:v>
      </x:c>
      <x:c r="B155" s="3" t="str">
        <x:v>Source</x:v>
      </x:c>
      <x:c r="C155" s="3" t="str">
        <x:v>wallet-receive-flow.js:50</x:v>
      </x:c>
      <x:c r="D155" s="3" t="str">
        <x:v>capsules/wallet/browser/wallet-receive-flow.js:50</x:v>
      </x:c>
      <x:c r="E155" s="3" t="str">
        <x:v>Expected behavior only</x:v>
      </x:c>
      <x:c r="F155" s="3" t="str">
        <x:v>Source commit 8e5eb88b; not live execution.</x:v>
      </x:c>
      <x:c r="G155" s="3"/>
      <x:c r="H155" s="3"/>
      <x:c r="I155" s="3"/>
      <x:c r="J155" s="3"/>
      <x:c r="K155" s="3"/>
      <x:c r="L155" s="3"/>
    </x:row>
    <x:row r="156" ht="42" customHeight="1">
      <x:c r="A156" s="3" t="str">
        <x:v>S-127</x:v>
      </x:c>
      <x:c r="B156" s="3" t="str">
        <x:v>Source</x:v>
      </x:c>
      <x:c r="C156" s="3" t="str">
        <x:v>wallet-send-flow.js:30</x:v>
      </x:c>
      <x:c r="D156" s="3" t="str">
        <x:v>capsules/wallet/browser/wallet-send-flow.js:30</x:v>
      </x:c>
      <x:c r="E156" s="3" t="str">
        <x:v>Expected behavior only</x:v>
      </x:c>
      <x:c r="F156" s="3" t="str">
        <x:v>Source commit 8e5eb88b; not live execution.</x:v>
      </x:c>
      <x:c r="G156" s="3"/>
      <x:c r="H156" s="3"/>
      <x:c r="I156" s="3"/>
      <x:c r="J156" s="3"/>
      <x:c r="K156" s="3"/>
      <x:c r="L156" s="3"/>
    </x:row>
    <x:row r="157" ht="42" customHeight="1">
      <x:c r="A157" s="3" t="str">
        <x:v>S-128</x:v>
      </x:c>
      <x:c r="B157" s="3" t="str">
        <x:v>Source</x:v>
      </x:c>
      <x:c r="C157" s="3" t="str">
        <x:v>wallet-send-flow.js:188</x:v>
      </x:c>
      <x:c r="D157" s="3" t="str">
        <x:v>capsules/wallet/browser/wallet-send-flow.js:188</x:v>
      </x:c>
      <x:c r="E157" s="3" t="str">
        <x:v>Expected behavior only</x:v>
      </x:c>
      <x:c r="F157" s="3" t="str">
        <x:v>Source commit 8e5eb88b; not live execution.</x:v>
      </x:c>
      <x:c r="G157" s="3"/>
      <x:c r="H157" s="3"/>
      <x:c r="I157" s="3"/>
      <x:c r="J157" s="3"/>
      <x:c r="K157" s="3"/>
      <x:c r="L157" s="3"/>
    </x:row>
    <x:row r="158" ht="42" customHeight="1">
      <x:c r="A158" s="3" t="str">
        <x:v>S-129</x:v>
      </x:c>
      <x:c r="B158" s="3" t="str">
        <x:v>Source</x:v>
      </x:c>
      <x:c r="C158" s="3" t="str">
        <x:v>wallet-send-flow.js:129</x:v>
      </x:c>
      <x:c r="D158" s="3" t="str">
        <x:v>capsules/wallet/browser/wallet-send-flow.js:129</x:v>
      </x:c>
      <x:c r="E158" s="3" t="str">
        <x:v>Expected behavior only</x:v>
      </x:c>
      <x:c r="F158" s="3" t="str">
        <x:v>Source commit 8e5eb88b; not live execution.</x:v>
      </x:c>
      <x:c r="G158" s="3"/>
      <x:c r="H158" s="3"/>
      <x:c r="I158" s="3"/>
      <x:c r="J158" s="3"/>
      <x:c r="K158" s="3"/>
      <x:c r="L158" s="3"/>
    </x:row>
    <x:row r="159" ht="42" customHeight="1">
      <x:c r="A159" s="3" t="str">
        <x:v>S-130</x:v>
      </x:c>
      <x:c r="B159" s="3" t="str">
        <x:v>Source</x:v>
      </x:c>
      <x:c r="C159" s="3" t="str">
        <x:v>wallet-send-flow.js:233</x:v>
      </x:c>
      <x:c r="D159" s="3" t="str">
        <x:v>capsules/wallet/browser/wallet-send-flow.js:233</x:v>
      </x:c>
      <x:c r="E159" s="3" t="str">
        <x:v>Expected behavior only</x:v>
      </x:c>
      <x:c r="F159" s="3" t="str">
        <x:v>Source commit 8e5eb88b; not live execution.</x:v>
      </x:c>
      <x:c r="G159" s="3"/>
      <x:c r="H159" s="3"/>
      <x:c r="I159" s="3"/>
      <x:c r="J159" s="3"/>
      <x:c r="K159" s="3"/>
      <x:c r="L159" s="3"/>
    </x:row>
    <x:row r="160" ht="42" customHeight="1">
      <x:c r="A160" s="3" t="str">
        <x:v>S-131</x:v>
      </x:c>
      <x:c r="B160" s="3" t="str">
        <x:v>Source</x:v>
      </x:c>
      <x:c r="C160" s="3" t="str">
        <x:v>wallet-activity.js:1</x:v>
      </x:c>
      <x:c r="D160" s="3" t="str">
        <x:v>capsules/wallet/browser/wallet-activity.js:1</x:v>
      </x:c>
      <x:c r="E160" s="3" t="str">
        <x:v>Expected behavior only</x:v>
      </x:c>
      <x:c r="F160" s="3" t="str">
        <x:v>Source commit 8e5eb88b; not live execution.</x:v>
      </x:c>
      <x:c r="G160" s="3"/>
      <x:c r="H160" s="3"/>
      <x:c r="I160" s="3"/>
      <x:c r="J160" s="3"/>
      <x:c r="K160" s="3"/>
      <x:c r="L160" s="3"/>
    </x:row>
    <x:row r="161" ht="42" customHeight="1">
      <x:c r="A161" s="3" t="str">
        <x:v>S-132</x:v>
      </x:c>
      <x:c r="B161" s="3" t="str">
        <x:v>Source</x:v>
      </x:c>
      <x:c r="C161" s="3" t="str">
        <x:v>wallet-requests.js:46</x:v>
      </x:c>
      <x:c r="D161" s="3" t="str">
        <x:v>capsules/wallet/browser/wallet-requests.js:46</x:v>
      </x:c>
      <x:c r="E161" s="3" t="str">
        <x:v>Expected behavior only</x:v>
      </x:c>
      <x:c r="F161" s="3" t="str">
        <x:v>Source commit 8e5eb88b; not live execution.</x:v>
      </x:c>
      <x:c r="G161" s="3"/>
      <x:c r="H161" s="3"/>
      <x:c r="I161" s="3"/>
      <x:c r="J161" s="3"/>
      <x:c r="K161" s="3"/>
      <x:c r="L161" s="3"/>
    </x:row>
    <x:row r="162" ht="42" customHeight="1">
      <x:c r="A162" s="3" t="str">
        <x:v>S-133</x:v>
      </x:c>
      <x:c r="B162" s="3" t="str">
        <x:v>Source</x:v>
      </x:c>
      <x:c r="C162" s="3" t="str">
        <x:v>wallet-account-actions.js:206</x:v>
      </x:c>
      <x:c r="D162" s="3" t="str">
        <x:v>capsules/wallet/browser/wallet-account-actions.js:206</x:v>
      </x:c>
      <x:c r="E162" s="3" t="str">
        <x:v>Expected behavior only</x:v>
      </x:c>
      <x:c r="F162" s="3" t="str">
        <x:v>Source commit 8e5eb88b; not live execution.</x:v>
      </x:c>
      <x:c r="G162" s="3"/>
      <x:c r="H162" s="3"/>
      <x:c r="I162" s="3"/>
      <x:c r="J162" s="3"/>
      <x:c r="K162" s="3"/>
      <x:c r="L162" s="3"/>
    </x:row>
    <x:row r="163" ht="42" customHeight="1">
      <x:c r="A163" s="3" t="str">
        <x:v>S-134</x:v>
      </x:c>
      <x:c r="B163" s="3" t="str">
        <x:v>Source</x:v>
      </x:c>
      <x:c r="C163" s="3" t="str">
        <x:v>wallet-account-actions.js:163</x:v>
      </x:c>
      <x:c r="D163" s="3" t="str">
        <x:v>capsules/wallet/browser/wallet-account-actions.js:163</x:v>
      </x:c>
      <x:c r="E163" s="3" t="str">
        <x:v>Expected behavior only</x:v>
      </x:c>
      <x:c r="F163" s="3" t="str">
        <x:v>Source commit 8e5eb88b; not live execution.</x:v>
      </x:c>
      <x:c r="G163" s="3"/>
      <x:c r="H163" s="3"/>
      <x:c r="I163" s="3"/>
      <x:c r="J163" s="3"/>
      <x:c r="K163" s="3"/>
      <x:c r="L163" s="3"/>
    </x:row>
    <x:row r="164" ht="42" customHeight="1">
      <x:c r="A164" s="3" t="str">
        <x:v>S-135</x:v>
      </x:c>
      <x:c r="B164" s="3" t="str">
        <x:v>Source</x:v>
      </x:c>
      <x:c r="C164" s="3" t="str">
        <x:v>index.html:1</x:v>
      </x:c>
      <x:c r="D164" s="3" t="str">
        <x:v>capsules/wallet-metamask/browser/index.html:1</x:v>
      </x:c>
      <x:c r="E164" s="3" t="str">
        <x:v>Expected behavior only</x:v>
      </x:c>
      <x:c r="F164" s="3" t="str">
        <x:v>Source commit 8e5eb88b; not live execution.</x:v>
      </x:c>
      <x:c r="G164" s="3"/>
      <x:c r="H164" s="3"/>
      <x:c r="I164" s="3"/>
      <x:c r="J164" s="3"/>
      <x:c r="K164" s="3"/>
      <x:c r="L164" s="3"/>
    </x:row>
    <x:row r="165" ht="42" customHeight="1">
      <x:c r="A165" s="3" t="str">
        <x:v>S-136</x:v>
      </x:c>
      <x:c r="B165" s="3" t="str">
        <x:v>Source</x:v>
      </x:c>
      <x:c r="C165" s="3" t="str">
        <x:v>index.html:1</x:v>
      </x:c>
      <x:c r="D165" s="3" t="str">
        <x:v>capsules/wallet-unisat/browser/index.html:1</x:v>
      </x:c>
      <x:c r="E165" s="3" t="str">
        <x:v>Expected behavior only</x:v>
      </x:c>
      <x:c r="F165" s="3" t="str">
        <x:v>Source commit 8e5eb88b; not live execution.</x:v>
      </x:c>
      <x:c r="G165" s="3"/>
      <x:c r="H165" s="3"/>
      <x:c r="I165" s="3"/>
      <x:c r="J165" s="3"/>
      <x:c r="K165" s="3"/>
      <x:c r="L165" s="3"/>
    </x:row>
    <x:row r="166" ht="42" customHeight="1">
      <x:c r="A166" s="3" t="str">
        <x:v>S-137</x:v>
      </x:c>
      <x:c r="B166" s="3" t="str">
        <x:v>Source</x:v>
      </x:c>
      <x:c r="C166" s="3" t="str">
        <x:v>index.html:1</x:v>
      </x:c>
      <x:c r="D166" s="3" t="str">
        <x:v>capsules/wallet-walletconnect/browser/index.html:1</x:v>
      </x:c>
      <x:c r="E166" s="3" t="str">
        <x:v>Expected behavior only</x:v>
      </x:c>
      <x:c r="F166" s="3" t="str">
        <x:v>Source commit 8e5eb88b; not live execution.</x:v>
      </x:c>
      <x:c r="G166" s="3"/>
      <x:c r="H166" s="3"/>
      <x:c r="I166" s="3"/>
      <x:c r="J166" s="3"/>
      <x:c r="K166" s="3"/>
      <x:c r="L166" s="3"/>
    </x:row>
    <x:row r="167" ht="42" customHeight="1">
      <x:c r="A167" s="3" t="str">
        <x:v>S-138</x:v>
      </x:c>
      <x:c r="B167" s="3" t="str">
        <x:v>Source</x:v>
      </x:c>
      <x:c r="C167" s="3" t="str">
        <x:v>services.js:93</x:v>
      </x:c>
      <x:c r="D167" s="3" t="str">
        <x:v>capsules/services/browser/services.js:93</x:v>
      </x:c>
      <x:c r="E167" s="3" t="str">
        <x:v>Expected behavior only</x:v>
      </x:c>
      <x:c r="F167" s="3" t="str">
        <x:v>Source commit 8e5eb88b; not live execution.</x:v>
      </x:c>
      <x:c r="G167" s="3"/>
      <x:c r="H167" s="3"/>
      <x:c r="I167" s="3"/>
      <x:c r="J167" s="3"/>
      <x:c r="K167" s="3"/>
      <x:c r="L167" s="3"/>
    </x:row>
    <x:row r="168" ht="42" customHeight="1">
      <x:c r="A168" s="3" t="str">
        <x:v>S-139</x:v>
      </x:c>
      <x:c r="B168" s="3" t="str">
        <x:v>Source</x:v>
      </x:c>
      <x:c r="C168" s="3" t="str">
        <x:v>services.js:201</x:v>
      </x:c>
      <x:c r="D168" s="3" t="str">
        <x:v>capsules/services/browser/services.js:201</x:v>
      </x:c>
      <x:c r="E168" s="3" t="str">
        <x:v>Expected behavior only</x:v>
      </x:c>
      <x:c r="F168" s="3" t="str">
        <x:v>Source commit 8e5eb88b; not live execution.</x:v>
      </x:c>
      <x:c r="G168" s="3"/>
      <x:c r="H168" s="3"/>
      <x:c r="I168" s="3"/>
      <x:c r="J168" s="3"/>
      <x:c r="K168" s="3"/>
      <x:c r="L168" s="3"/>
    </x:row>
    <x:row r="169" ht="42" customHeight="1">
      <x:c r="A169" s="3" t="str">
        <x:v>S-140</x:v>
      </x:c>
      <x:c r="B169" s="3" t="str">
        <x:v>Source</x:v>
      </x:c>
      <x:c r="C169" s="3" t="str">
        <x:v>services.js:245</x:v>
      </x:c>
      <x:c r="D169" s="3" t="str">
        <x:v>capsules/services/browser/services.js:245</x:v>
      </x:c>
      <x:c r="E169" s="3" t="str">
        <x:v>Expected behavior only</x:v>
      </x:c>
      <x:c r="F169" s="3" t="str">
        <x:v>Source commit 8e5eb88b; not live execution.</x:v>
      </x:c>
      <x:c r="G169" s="3"/>
      <x:c r="H169" s="3"/>
      <x:c r="I169" s="3"/>
      <x:c r="J169" s="3"/>
      <x:c r="K169" s="3"/>
      <x:c r="L169" s="3"/>
    </x:row>
    <x:row r="170" ht="42" customHeight="1">
      <x:c r="A170" s="3" t="str">
        <x:v>S-141</x:v>
      </x:c>
      <x:c r="B170" s="3" t="str">
        <x:v>Source</x:v>
      </x:c>
      <x:c r="C170" s="3" t="str">
        <x:v>services.js:435</x:v>
      </x:c>
      <x:c r="D170" s="3" t="str">
        <x:v>capsules/services/browser/services.js:435</x:v>
      </x:c>
      <x:c r="E170" s="3" t="str">
        <x:v>Expected behavior only</x:v>
      </x:c>
      <x:c r="F170" s="3" t="str">
        <x:v>Source commit 8e5eb88b; not live execution.</x:v>
      </x:c>
      <x:c r="G170" s="3"/>
      <x:c r="H170" s="3"/>
      <x:c r="I170" s="3"/>
      <x:c r="J170" s="3"/>
      <x:c r="K170" s="3"/>
      <x:c r="L170" s="3"/>
    </x:row>
    <x:row r="171" ht="42" customHeight="1">
      <x:c r="A171" s="3" t="str">
        <x:v>S-142</x:v>
      </x:c>
      <x:c r="B171" s="3" t="str">
        <x:v>Source</x:v>
      </x:c>
      <x:c r="C171" s="3" t="str">
        <x:v>services.js:466</x:v>
      </x:c>
      <x:c r="D171" s="3" t="str">
        <x:v>capsules/services/browser/services.js:466</x:v>
      </x:c>
      <x:c r="E171" s="3" t="str">
        <x:v>Expected behavior only</x:v>
      </x:c>
      <x:c r="F171" s="3" t="str">
        <x:v>Source commit 8e5eb88b; not live execution.</x:v>
      </x:c>
      <x:c r="G171" s="3"/>
      <x:c r="H171" s="3"/>
      <x:c r="I171" s="3"/>
      <x:c r="J171" s="3"/>
      <x:c r="K171" s="3"/>
      <x:c r="L171" s="3"/>
    </x:row>
    <x:row r="172" ht="42" customHeight="1">
      <x:c r="A172" s="3" t="str">
        <x:v>S-143</x:v>
      </x:c>
      <x:c r="B172" s="3" t="str">
        <x:v>Source</x:v>
      </x:c>
      <x:c r="C172" s="3" t="str">
        <x:v>TASKS.md:408</x:v>
      </x:c>
      <x:c r="D172" s="3" t="str">
        <x:v>TASKS.md:408</x:v>
      </x:c>
      <x:c r="E172" s="3" t="str">
        <x:v>Expected behavior only</x:v>
      </x:c>
      <x:c r="F172" s="3" t="str">
        <x:v>Source commit 8e5eb88b; not live execution.</x:v>
      </x:c>
      <x:c r="G172" s="3"/>
      <x:c r="H172" s="3"/>
      <x:c r="I172" s="3"/>
      <x:c r="J172" s="3"/>
      <x:c r="K172" s="3"/>
      <x:c r="L172" s="3"/>
    </x:row>
    <x:row r="173" ht="42" customHeight="1">
      <x:c r="A173" s="3" t="str">
        <x:v>S-144</x:v>
      </x:c>
      <x:c r="B173" s="3" t="str">
        <x:v>Source</x:v>
      </x:c>
      <x:c r="C173" s="3" t="str">
        <x:v>assistant.js:1629</x:v>
      </x:c>
      <x:c r="D173" s="3" t="str">
        <x:v>capsules/assistant/browser/assistant.js:1629</x:v>
      </x:c>
      <x:c r="E173" s="3" t="str">
        <x:v>Expected behavior only</x:v>
      </x:c>
      <x:c r="F173" s="3" t="str">
        <x:v>Source commit 8e5eb88b; not live execution.</x:v>
      </x:c>
      <x:c r="G173" s="3"/>
      <x:c r="H173" s="3"/>
      <x:c r="I173" s="3"/>
      <x:c r="J173" s="3"/>
      <x:c r="K173" s="3"/>
      <x:c r="L173" s="3"/>
    </x:row>
    <x:row r="174" ht="42" customHeight="1">
      <x:c r="A174" s="3" t="str">
        <x:v>S-145</x:v>
      </x:c>
      <x:c r="B174" s="3" t="str">
        <x:v>Source</x:v>
      </x:c>
      <x:c r="C174" s="3" t="str">
        <x:v>assistant.js:1542</x:v>
      </x:c>
      <x:c r="D174" s="3" t="str">
        <x:v>capsules/assistant/browser/assistant.js:1542</x:v>
      </x:c>
      <x:c r="E174" s="3" t="str">
        <x:v>Expected behavior only</x:v>
      </x:c>
      <x:c r="F174" s="3" t="str">
        <x:v>Source commit 8e5eb88b; not live execution.</x:v>
      </x:c>
      <x:c r="G174" s="3"/>
      <x:c r="H174" s="3"/>
      <x:c r="I174" s="3"/>
      <x:c r="J174" s="3"/>
      <x:c r="K174" s="3"/>
      <x:c r="L174" s="3"/>
    </x:row>
    <x:row r="175" ht="42" customHeight="1">
      <x:c r="A175" s="3" t="str">
        <x:v>S-146</x:v>
      </x:c>
      <x:c r="B175" s="3" t="str">
        <x:v>Source</x:v>
      </x:c>
      <x:c r="C175" s="3" t="str">
        <x:v>assistant.js:131</x:v>
      </x:c>
      <x:c r="D175" s="3" t="str">
        <x:v>capsules/assistant/browser/assistant.js:131</x:v>
      </x:c>
      <x:c r="E175" s="3" t="str">
        <x:v>Expected behavior only</x:v>
      </x:c>
      <x:c r="F175" s="3" t="str">
        <x:v>Source commit 8e5eb88b; not live execution.</x:v>
      </x:c>
      <x:c r="G175" s="3"/>
      <x:c r="H175" s="3"/>
      <x:c r="I175" s="3"/>
      <x:c r="J175" s="3"/>
      <x:c r="K175" s="3"/>
      <x:c r="L175" s="3"/>
    </x:row>
    <x:row r="176" ht="42" customHeight="1">
      <x:c r="A176" s="3" t="str">
        <x:v>S-147</x:v>
      </x:c>
      <x:c r="B176" s="3" t="str">
        <x:v>Source</x:v>
      </x:c>
      <x:c r="C176" s="3" t="str">
        <x:v>assistant.js:1733</x:v>
      </x:c>
      <x:c r="D176" s="3" t="str">
        <x:v>capsules/assistant/browser/assistant.js:1733</x:v>
      </x:c>
      <x:c r="E176" s="3" t="str">
        <x:v>Expected behavior only</x:v>
      </x:c>
      <x:c r="F176" s="3" t="str">
        <x:v>Source commit 8e5eb88b; not live execution.</x:v>
      </x:c>
      <x:c r="G176" s="3"/>
      <x:c r="H176" s="3"/>
      <x:c r="I176" s="3"/>
      <x:c r="J176" s="3"/>
      <x:c r="K176" s="3"/>
      <x:c r="L176" s="3"/>
    </x:row>
    <x:row r="177" ht="42" customHeight="1">
      <x:c r="A177" s="3" t="str">
        <x:v>S-148</x:v>
      </x:c>
      <x:c r="B177" s="3" t="str">
        <x:v>Source</x:v>
      </x:c>
      <x:c r="C177" s="3" t="str">
        <x:v>assistant.js:393</x:v>
      </x:c>
      <x:c r="D177" s="3" t="str">
        <x:v>capsules/assistant/browser/assistant.js:393</x:v>
      </x:c>
      <x:c r="E177" s="3" t="str">
        <x:v>Expected behavior only</x:v>
      </x:c>
      <x:c r="F177" s="3" t="str">
        <x:v>Source commit 8e5eb88b; not live execution.</x:v>
      </x:c>
      <x:c r="G177" s="3"/>
      <x:c r="H177" s="3"/>
      <x:c r="I177" s="3"/>
      <x:c r="J177" s="3"/>
      <x:c r="K177" s="3"/>
      <x:c r="L177" s="3"/>
    </x:row>
    <x:row r="178" ht="42" customHeight="1">
      <x:c r="A178" s="3" t="str">
        <x:v>S-149</x:v>
      </x:c>
      <x:c r="B178" s="3" t="str">
        <x:v>Source</x:v>
      </x:c>
      <x:c r="C178" s="3" t="str">
        <x:v>assistant.js:216</x:v>
      </x:c>
      <x:c r="D178" s="3" t="str">
        <x:v>capsules/assistant/browser/assistant.js:216</x:v>
      </x:c>
      <x:c r="E178" s="3" t="str">
        <x:v>Expected behavior only</x:v>
      </x:c>
      <x:c r="F178" s="3" t="str">
        <x:v>Source commit 8e5eb88b; not live execution.</x:v>
      </x:c>
      <x:c r="G178" s="3"/>
      <x:c r="H178" s="3"/>
      <x:c r="I178" s="3"/>
      <x:c r="J178" s="3"/>
      <x:c r="K178" s="3"/>
      <x:c r="L178" s="3"/>
    </x:row>
    <x:row r="179" ht="42" customHeight="1">
      <x:c r="A179" s="3" t="str">
        <x:v>S-150</x:v>
      </x:c>
      <x:c r="B179" s="3" t="str">
        <x:v>Source</x:v>
      </x:c>
      <x:c r="C179" s="3" t="str">
        <x:v>assistant.js:1297</x:v>
      </x:c>
      <x:c r="D179" s="3" t="str">
        <x:v>capsules/assistant/browser/assistant.js:1297</x:v>
      </x:c>
      <x:c r="E179" s="3" t="str">
        <x:v>Expected behavior only</x:v>
      </x:c>
      <x:c r="F179" s="3" t="str">
        <x:v>Source commit 8e5eb88b; not live execution.</x:v>
      </x:c>
      <x:c r="G179" s="3"/>
      <x:c r="H179" s="3"/>
      <x:c r="I179" s="3"/>
      <x:c r="J179" s="3"/>
      <x:c r="K179" s="3"/>
      <x:c r="L179" s="3"/>
    </x:row>
    <x:row r="180" ht="42" customHeight="1">
      <x:c r="A180" s="3" t="str">
        <x:v>S-151</x:v>
      </x:c>
      <x:c r="B180" s="3" t="str">
        <x:v>Source</x:v>
      </x:c>
      <x:c r="C180" s="3" t="str">
        <x:v>assistant.js:1702</x:v>
      </x:c>
      <x:c r="D180" s="3" t="str">
        <x:v>capsules/assistant/browser/assistant.js:1702</x:v>
      </x:c>
      <x:c r="E180" s="3" t="str">
        <x:v>Expected behavior only</x:v>
      </x:c>
      <x:c r="F180" s="3" t="str">
        <x:v>Source commit 8e5eb88b; not live execution.</x:v>
      </x:c>
      <x:c r="G180" s="3"/>
      <x:c r="H180" s="3"/>
      <x:c r="I180" s="3"/>
      <x:c r="J180" s="3"/>
      <x:c r="K180" s="3"/>
      <x:c r="L180" s="3"/>
    </x:row>
    <x:row r="181" ht="42" customHeight="1">
      <x:c r="A181" s="3" t="str">
        <x:v>S-152</x:v>
      </x:c>
      <x:c r="B181" s="3" t="str">
        <x:v>Source</x:v>
      </x:c>
      <x:c r="C181" s="3" t="str">
        <x:v>assistant.js:279</x:v>
      </x:c>
      <x:c r="D181" s="3" t="str">
        <x:v>capsules/assistant/browser/assistant.js:279</x:v>
      </x:c>
      <x:c r="E181" s="3" t="str">
        <x:v>Expected behavior only</x:v>
      </x:c>
      <x:c r="F181" s="3" t="str">
        <x:v>Source commit 8e5eb88b; not live execution.</x:v>
      </x:c>
      <x:c r="G181" s="3"/>
      <x:c r="H181" s="3"/>
      <x:c r="I181" s="3"/>
      <x:c r="J181" s="3"/>
      <x:c r="K181" s="3"/>
      <x:c r="L181" s="3"/>
    </x:row>
    <x:row r="182" ht="42" customHeight="1">
      <x:c r="A182" s="3" t="str">
        <x:v>S-153</x:v>
      </x:c>
      <x:c r="B182" s="3" t="str">
        <x:v>Source</x:v>
      </x:c>
      <x:c r="C182" s="3" t="str">
        <x:v>assistant.js:336</x:v>
      </x:c>
      <x:c r="D182" s="3" t="str">
        <x:v>capsules/assistant/browser/assistant.js:336</x:v>
      </x:c>
      <x:c r="E182" s="3" t="str">
        <x:v>Expected behavior only</x:v>
      </x:c>
      <x:c r="F182" s="3" t="str">
        <x:v>Source commit 8e5eb88b; not live execution.</x:v>
      </x:c>
      <x:c r="G182" s="3"/>
      <x:c r="H182" s="3"/>
      <x:c r="I182" s="3"/>
      <x:c r="J182" s="3"/>
      <x:c r="K182" s="3"/>
      <x:c r="L182" s="3"/>
    </x:row>
    <x:row r="183" ht="42" customHeight="1">
      <x:c r="A183" s="3" t="str">
        <x:v>S-154</x:v>
      </x:c>
      <x:c r="B183" s="3" t="str">
        <x:v>Source</x:v>
      </x:c>
      <x:c r="C183" s="3" t="str">
        <x:v>config.rs:36</x:v>
      </x:c>
      <x:c r="D183" s="3" t="str">
        <x:v>capsules/model-provider/src/config.rs:36</x:v>
      </x:c>
      <x:c r="E183" s="3" t="str">
        <x:v>Expected behavior only</x:v>
      </x:c>
      <x:c r="F183" s="3" t="str">
        <x:v>Source commit 8e5eb88b; not live execution.</x:v>
      </x:c>
      <x:c r="G183" s="3"/>
      <x:c r="H183" s="3"/>
      <x:c r="I183" s="3"/>
      <x:c r="J183" s="3"/>
      <x:c r="K183" s="3"/>
      <x:c r="L183" s="3"/>
    </x:row>
    <x:row r="184" ht="42" customHeight="1">
      <x:c r="A184" s="3" t="str">
        <x:v>S-155</x:v>
      </x:c>
      <x:c r="B184" s="3" t="str">
        <x:v>Source</x:v>
      </x:c>
      <x:c r="C184" s="3" t="str">
        <x:v>execution.rs:135</x:v>
      </x:c>
      <x:c r="D184" s="3" t="str">
        <x:v>capsules/model-provider/src/execution.rs:135</x:v>
      </x:c>
      <x:c r="E184" s="3" t="str">
        <x:v>Expected behavior only</x:v>
      </x:c>
      <x:c r="F184" s="3" t="str">
        <x:v>Source commit 8e5eb88b; not live execution.</x:v>
      </x:c>
      <x:c r="G184" s="3"/>
      <x:c r="H184" s="3"/>
      <x:c r="I184" s="3"/>
      <x:c r="J184" s="3"/>
      <x:c r="K184" s="3"/>
      <x:c r="L184" s="3"/>
    </x:row>
    <x:row r="185" ht="42" customHeight="1">
      <x:c r="A185" s="3" t="str">
        <x:v>S-156</x:v>
      </x:c>
      <x:c r="B185" s="3" t="str">
        <x:v>Source</x:v>
      </x:c>
      <x:c r="C185" s="3" t="str">
        <x:v>server_infra.rs:889</x:v>
      </x:c>
      <x:c r="D185" s="3" t="str">
        <x:v>elastos/crates/elastos-server/src/server_infra.rs:889</x:v>
      </x:c>
      <x:c r="E185" s="3" t="str">
        <x:v>Expected behavior only</x:v>
      </x:c>
      <x:c r="F185" s="3" t="str">
        <x:v>Source commit 8e5eb88b; not live execution.</x:v>
      </x:c>
      <x:c r="G185" s="3"/>
      <x:c r="H185" s="3"/>
      <x:c r="I185" s="3"/>
      <x:c r="J185" s="3"/>
      <x:c r="K185" s="3"/>
      <x:c r="L185" s="3"/>
    </x:row>
    <x:row r="186" ht="42" customHeight="1">
      <x:c r="A186" s="3" t="str">
        <x:v>S-157</x:v>
      </x:c>
      <x:c r="B186" s="3" t="str">
        <x:v>Source</x:v>
      </x:c>
      <x:c r="C186" s="3" t="str">
        <x:v>setup-source-home.sh:1655</x:v>
      </x:c>
      <x:c r="D186" s="3" t="str">
        <x:v>scripts/setup-source-home.sh:1655</x:v>
      </x:c>
      <x:c r="E186" s="3" t="str">
        <x:v>Expected behavior only</x:v>
      </x:c>
      <x:c r="F186" s="3" t="str">
        <x:v>Source commit 8e5eb88b; not live execution.</x:v>
      </x:c>
      <x:c r="G186" s="3"/>
      <x:c r="H186" s="3"/>
      <x:c r="I186" s="3"/>
      <x:c r="J186" s="3"/>
      <x:c r="K186" s="3"/>
      <x:c r="L186" s="3"/>
    </x:row>
    <x:row r="187" ht="42" customHeight="1">
      <x:c r="A187" s="3" t="str">
        <x:v>S-158</x:v>
      </x:c>
      <x:c r="B187" s="3" t="str">
        <x:v>Source</x:v>
      </x:c>
      <x:c r="C187" s="3" t="str">
        <x:v>config.rs:64</x:v>
      </x:c>
      <x:c r="D187" s="3" t="str">
        <x:v>capsules/model-provider/src/config.rs:64</x:v>
      </x:c>
      <x:c r="E187" s="3" t="str">
        <x:v>Expected behavior only</x:v>
      </x:c>
      <x:c r="F187" s="3" t="str">
        <x:v>Source commit 8e5eb88b; not live execution.</x:v>
      </x:c>
      <x:c r="G187" s="3"/>
      <x:c r="H187" s="3"/>
      <x:c r="I187" s="3"/>
      <x:c r="J187" s="3"/>
      <x:c r="K187" s="3"/>
      <x:c r="L187" s="3"/>
    </x:row>
    <x:row r="188" ht="42" customHeight="1">
      <x:c r="A188" s="3" t="str">
        <x:v>S-159</x:v>
      </x:c>
      <x:c r="B188" s="3" t="str">
        <x:v>Source</x:v>
      </x:c>
      <x:c r="C188" s="3" t="str">
        <x:v>state.md:361</x:v>
      </x:c>
      <x:c r="D188" s="3" t="str">
        <x:v>state.md:361</x:v>
      </x:c>
      <x:c r="E188" s="3" t="str">
        <x:v>Expected behavior only</x:v>
      </x:c>
      <x:c r="F188" s="3" t="str">
        <x:v>Source commit 8e5eb88b; not live execution.</x:v>
      </x:c>
      <x:c r="G188" s="3"/>
      <x:c r="H188" s="3"/>
      <x:c r="I188" s="3"/>
      <x:c r="J188" s="3"/>
      <x:c r="K188" s="3"/>
      <x:c r="L188" s="3"/>
    </x:row>
    <x:row r="189" ht="42" customHeight="1">
      <x:c r="A189" s="3" t="str">
        <x:v>S-160</x:v>
      </x:c>
      <x:c r="B189" s="3" t="str">
        <x:v>Source</x:v>
      </x:c>
      <x:c r="C189" s="3" t="str">
        <x:v>server_infra.rs:162</x:v>
      </x:c>
      <x:c r="D189" s="3" t="str">
        <x:v>elastos/crates/elastos-server/src/server_infra.rs:162</x:v>
      </x:c>
      <x:c r="E189" s="3" t="str">
        <x:v>Expected behavior only</x:v>
      </x:c>
      <x:c r="F189" s="3" t="str">
        <x:v>Source commit 8e5eb88b; not live execution.</x:v>
      </x:c>
      <x:c r="G189" s="3"/>
      <x:c r="H189" s="3"/>
      <x:c r="I189" s="3"/>
      <x:c r="J189" s="3"/>
      <x:c r="K189" s="3"/>
      <x:c r="L189" s="3"/>
    </x:row>
    <x:row r="190" ht="42" customHeight="1">
      <x:c r="A190" s="3" t="str">
        <x:v>S-161</x:v>
      </x:c>
      <x:c r="B190" s="3" t="str">
        <x:v>Source</x:v>
      </x:c>
      <x:c r="C190" s="3" t="str">
        <x:v>PRINCIPLES.md:1</x:v>
      </x:c>
      <x:c r="D190" s="3" t="str">
        <x:v>PRINCIPLES.md:1</x:v>
      </x:c>
      <x:c r="E190" s="3" t="str">
        <x:v>Expected behavior only</x:v>
      </x:c>
      <x:c r="F190" s="3" t="str">
        <x:v>Source commit 8e5eb88b; not live execution.</x:v>
      </x:c>
      <x:c r="G190" s="3"/>
      <x:c r="H190" s="3"/>
      <x:c r="I190" s="3"/>
      <x:c r="J190" s="3"/>
      <x:c r="K190" s="3"/>
      <x:c r="L190" s="3"/>
    </x:row>
    <x:row r="191" ht="42" customHeight="1">
      <x:c r="A191" s="3" t="str">
        <x:v>S-162</x:v>
      </x:c>
      <x:c r="B191" s="3" t="str">
        <x:v>Source</x:v>
      </x:c>
      <x:c r="C191" s="3" t="str">
        <x:v>config.rs:111</x:v>
      </x:c>
      <x:c r="D191" s="3" t="str">
        <x:v>capsules/model-provider/src/config.rs:111</x:v>
      </x:c>
      <x:c r="E191" s="3" t="str">
        <x:v>Expected behavior only</x:v>
      </x:c>
      <x:c r="F191" s="3" t="str">
        <x:v>Source commit 8e5eb88b; not live execution.</x:v>
      </x:c>
      <x:c r="G191" s="3"/>
      <x:c r="H191" s="3"/>
      <x:c r="I191" s="3"/>
      <x:c r="J191" s="3"/>
      <x:c r="K191" s="3"/>
      <x:c r="L191" s="3"/>
    </x:row>
    <x:row r="192" ht="42" customHeight="1">
      <x:c r="A192" s="3" t="str">
        <x:v>S-163</x:v>
      </x:c>
      <x:c r="B192" s="3" t="str">
        <x:v>Source</x:v>
      </x:c>
      <x:c r="C192" s="3" t="str">
        <x:v>browser.js:820</x:v>
      </x:c>
      <x:c r="D192" s="3" t="str">
        <x:v>capsules/browser/browser/browser.js:820</x:v>
      </x:c>
      <x:c r="E192" s="3" t="str">
        <x:v>Expected behavior only</x:v>
      </x:c>
      <x:c r="F192" s="3" t="str">
        <x:v>Source commit 8e5eb88b; not live execution.</x:v>
      </x:c>
      <x:c r="G192" s="3"/>
      <x:c r="H192" s="3"/>
      <x:c r="I192" s="3"/>
      <x:c r="J192" s="3"/>
      <x:c r="K192" s="3"/>
      <x:c r="L192" s="3"/>
    </x:row>
    <x:row r="193" ht="42" customHeight="1">
      <x:c r="A193" s="3" t="str">
        <x:v>S-164</x:v>
      </x:c>
      <x:c r="B193" s="3" t="str">
        <x:v>Source</x:v>
      </x:c>
      <x:c r="C193" s="3" t="str">
        <x:v>browser.js:1255</x:v>
      </x:c>
      <x:c r="D193" s="3" t="str">
        <x:v>capsules/browser/browser/browser.js:1255</x:v>
      </x:c>
      <x:c r="E193" s="3" t="str">
        <x:v>Expected behavior only</x:v>
      </x:c>
      <x:c r="F193" s="3" t="str">
        <x:v>Source commit 8e5eb88b; not live execution.</x:v>
      </x:c>
      <x:c r="G193" s="3"/>
      <x:c r="H193" s="3"/>
      <x:c r="I193" s="3"/>
      <x:c r="J193" s="3"/>
      <x:c r="K193" s="3"/>
      <x:c r="L193" s="3"/>
    </x:row>
    <x:row r="194" ht="42" customHeight="1">
      <x:c r="A194" s="3" t="str">
        <x:v>S-165</x:v>
      </x:c>
      <x:c r="B194" s="3" t="str">
        <x:v>Source</x:v>
      </x:c>
      <x:c r="C194" s="3" t="str">
        <x:v>browser.js:1475</x:v>
      </x:c>
      <x:c r="D194" s="3" t="str">
        <x:v>capsules/browser/browser/browser.js:1475</x:v>
      </x:c>
      <x:c r="E194" s="3" t="str">
        <x:v>Expected behavior only</x:v>
      </x:c>
      <x:c r="F194" s="3" t="str">
        <x:v>Source commit 8e5eb88b; not live execution.</x:v>
      </x:c>
      <x:c r="G194" s="3"/>
      <x:c r="H194" s="3"/>
      <x:c r="I194" s="3"/>
      <x:c r="J194" s="3"/>
      <x:c r="K194" s="3"/>
      <x:c r="L194" s="3"/>
    </x:row>
    <x:row r="195" ht="42" customHeight="1">
      <x:c r="A195" s="3" t="str">
        <x:v>S-166</x:v>
      </x:c>
      <x:c r="B195" s="3" t="str">
        <x:v>Source</x:v>
      </x:c>
      <x:c r="C195" s="3" t="str">
        <x:v>browser.js:1335</x:v>
      </x:c>
      <x:c r="D195" s="3" t="str">
        <x:v>capsules/browser/browser/browser.js:1335</x:v>
      </x:c>
      <x:c r="E195" s="3" t="str">
        <x:v>Expected behavior only</x:v>
      </x:c>
      <x:c r="F195" s="3" t="str">
        <x:v>Source commit 8e5eb88b; not live execution.</x:v>
      </x:c>
      <x:c r="G195" s="3"/>
      <x:c r="H195" s="3"/>
      <x:c r="I195" s="3"/>
      <x:c r="J195" s="3"/>
      <x:c r="K195" s="3"/>
      <x:c r="L195" s="3"/>
    </x:row>
    <x:row r="196" ht="42" customHeight="1">
      <x:c r="A196" s="3" t="str">
        <x:v>S-167</x:v>
      </x:c>
      <x:c r="B196" s="3" t="str">
        <x:v>Source</x:v>
      </x:c>
      <x:c r="C196" s="3" t="str">
        <x:v>browser.js:1467</x:v>
      </x:c>
      <x:c r="D196" s="3" t="str">
        <x:v>capsules/browser/browser/browser.js:1467</x:v>
      </x:c>
      <x:c r="E196" s="3" t="str">
        <x:v>Expected behavior only</x:v>
      </x:c>
      <x:c r="F196" s="3" t="str">
        <x:v>Source commit 8e5eb88b; not live execution.</x:v>
      </x:c>
      <x:c r="G196" s="3"/>
      <x:c r="H196" s="3"/>
      <x:c r="I196" s="3"/>
      <x:c r="J196" s="3"/>
      <x:c r="K196" s="3"/>
      <x:c r="L196" s="3"/>
    </x:row>
    <x:row r="197" ht="42" customHeight="1">
      <x:c r="A197" s="3" t="str">
        <x:v>S-168</x:v>
      </x:c>
      <x:c r="B197" s="3" t="str">
        <x:v>Source</x:v>
      </x:c>
      <x:c r="C197" s="3" t="str">
        <x:v>browser-clipboard.js:1</x:v>
      </x:c>
      <x:c r="D197" s="3" t="str">
        <x:v>capsules/browser/browser/browser-clipboard.js:1</x:v>
      </x:c>
      <x:c r="E197" s="3" t="str">
        <x:v>Expected behavior only</x:v>
      </x:c>
      <x:c r="F197" s="3" t="str">
        <x:v>Source commit 8e5eb88b; not live execution.</x:v>
      </x:c>
      <x:c r="G197" s="3"/>
      <x:c r="H197" s="3"/>
      <x:c r="I197" s="3"/>
      <x:c r="J197" s="3"/>
      <x:c r="K197" s="3"/>
      <x:c r="L197" s="3"/>
    </x:row>
    <x:row r="198" ht="42" customHeight="1">
      <x:c r="A198" s="3" t="str">
        <x:v>S-169</x:v>
      </x:c>
      <x:c r="B198" s="3" t="str">
        <x:v>Source</x:v>
      </x:c>
      <x:c r="C198" s="3" t="str">
        <x:v>browser.js:1065</x:v>
      </x:c>
      <x:c r="D198" s="3" t="str">
        <x:v>capsules/browser/browser/browser.js:1065</x:v>
      </x:c>
      <x:c r="E198" s="3" t="str">
        <x:v>Expected behavior only</x:v>
      </x:c>
      <x:c r="F198" s="3" t="str">
        <x:v>Source commit 8e5eb88b; not live execution.</x:v>
      </x:c>
      <x:c r="G198" s="3"/>
      <x:c r="H198" s="3"/>
      <x:c r="I198" s="3"/>
      <x:c r="J198" s="3"/>
      <x:c r="K198" s="3"/>
      <x:c r="L198" s="3"/>
    </x:row>
    <x:row r="199" ht="42" customHeight="1">
      <x:c r="A199" s="3" t="str">
        <x:v>S-170</x:v>
      </x:c>
      <x:c r="B199" s="3" t="str">
        <x:v>Source</x:v>
      </x:c>
      <x:c r="C199" s="3" t="str">
        <x:v>capsule.json:1</x:v>
      </x:c>
      <x:c r="D199" s="3" t="str">
        <x:v>capsules/browser/capsule.json:1</x:v>
      </x:c>
      <x:c r="E199" s="3" t="str">
        <x:v>Expected behavior only</x:v>
      </x:c>
      <x:c r="F199" s="3" t="str">
        <x:v>Source commit 8e5eb88b; not live execution.</x:v>
      </x:c>
      <x:c r="G199" s="3"/>
      <x:c r="H199" s="3"/>
      <x:c r="I199" s="3"/>
      <x:c r="J199" s="3"/>
      <x:c r="K199" s="3"/>
      <x:c r="L199" s="3"/>
    </x:row>
    <x:row r="200" ht="42" customHeight="1">
      <x:c r="A200" s="3" t="str">
        <x:v>S-171</x:v>
      </x:c>
      <x:c r="B200" s="3" t="str">
        <x:v>Source</x:v>
      </x:c>
      <x:c r="C200" s="3" t="str">
        <x:v>index.html:1</x:v>
      </x:c>
      <x:c r="D200" s="3" t="str">
        <x:v>capsules/browser/browser/index.html:1</x:v>
      </x:c>
      <x:c r="E200" s="3" t="str">
        <x:v>Expected behavior only</x:v>
      </x:c>
      <x:c r="F200" s="3" t="str">
        <x:v>Source commit 8e5eb88b; not live execution.</x:v>
      </x:c>
      <x:c r="G200" s="3"/>
      <x:c r="H200" s="3"/>
      <x:c r="I200" s="3"/>
      <x:c r="J200" s="3"/>
      <x:c r="K200" s="3"/>
      <x:c r="L200" s="3"/>
    </x:row>
    <x:row r="201" ht="42" customHeight="1">
      <x:c r="A201" s="3" t="str">
        <x:v>S-172</x:v>
      </x:c>
      <x:c r="B201" s="3" t="str">
        <x:v>Source</x:v>
      </x:c>
      <x:c r="C201" s="3" t="str">
        <x:v>browser.js:497</x:v>
      </x:c>
      <x:c r="D201" s="3" t="str">
        <x:v>capsules/browser/browser/browser.js:497</x:v>
      </x:c>
      <x:c r="E201" s="3" t="str">
        <x:v>Expected behavior only</x:v>
      </x:c>
      <x:c r="F201" s="3" t="str">
        <x:v>Source commit 8e5eb88b; not live execution.</x:v>
      </x:c>
      <x:c r="G201" s="3"/>
      <x:c r="H201" s="3"/>
      <x:c r="I201" s="3"/>
      <x:c r="J201" s="3"/>
      <x:c r="K201" s="3"/>
      <x:c r="L201" s="3"/>
    </x:row>
    <x:row r="202" ht="42" customHeight="1">
      <x:c r="A202" s="3" t="str">
        <x:v>S-173</x:v>
      </x:c>
      <x:c r="B202" s="3" t="str">
        <x:v>Source</x:v>
      </x:c>
      <x:c r="C202" s="3" t="str">
        <x:v>browser.js:204</x:v>
      </x:c>
      <x:c r="D202" s="3" t="str">
        <x:v>capsules/browser/browser/browser.js:204</x:v>
      </x:c>
      <x:c r="E202" s="3" t="str">
        <x:v>Expected behavior only</x:v>
      </x:c>
      <x:c r="F202" s="3" t="str">
        <x:v>Source commit 8e5eb88b; not live execution.</x:v>
      </x:c>
      <x:c r="G202" s="3"/>
      <x:c r="H202" s="3"/>
      <x:c r="I202" s="3"/>
      <x:c r="J202" s="3"/>
      <x:c r="K202" s="3"/>
      <x:c r="L202" s="3"/>
    </x:row>
    <x:row r="203" ht="42" customHeight="1">
      <x:c r="A203" s="3" t="str">
        <x:v>S-174</x:v>
      </x:c>
      <x:c r="B203" s="3" t="str">
        <x:v>Source</x:v>
      </x:c>
      <x:c r="C203" s="3" t="str">
        <x:v>TASKS.md:1</x:v>
      </x:c>
      <x:c r="D203" s="3" t="str">
        <x:v>TASKS.md:1</x:v>
      </x:c>
      <x:c r="E203" s="3" t="str">
        <x:v>Expected behavior only</x:v>
      </x:c>
      <x:c r="F203" s="3" t="str">
        <x:v>Source commit 8e5eb88b; not live execution.</x:v>
      </x:c>
      <x:c r="G203" s="3"/>
      <x:c r="H203" s="3"/>
      <x:c r="I203" s="3"/>
      <x:c r="J203" s="3"/>
      <x:c r="K203" s="3"/>
      <x:c r="L203" s="3"/>
    </x:row>
    <x:row r="204" ht="42" customHeight="1">
      <x:c r="A204" s="3" t="str">
        <x:v>S-175</x:v>
      </x:c>
      <x:c r="B204" s="3" t="str">
        <x:v>Source</x:v>
      </x:c>
      <x:c r="C204" s="3" t="str">
        <x:v>index.html:1</x:v>
      </x:c>
      <x:c r="D204" s="3" t="str">
        <x:v>capsules/gba-emulator/browser/index.html:1</x:v>
      </x:c>
      <x:c r="E204" s="3" t="str">
        <x:v>Expected behavior only</x:v>
      </x:c>
      <x:c r="F204" s="3" t="str">
        <x:v>Source commit 8e5eb88b; not live execution.</x:v>
      </x:c>
      <x:c r="G204" s="3"/>
      <x:c r="H204" s="3"/>
      <x:c r="I204" s="3"/>
      <x:c r="J204" s="3"/>
      <x:c r="K204" s="3"/>
      <x:c r="L204" s="3"/>
    </x:row>
    <x:row r="205" ht="42" customHeight="1">
      <x:c r="A205" s="3" t="str">
        <x:v>S-176</x:v>
      </x:c>
      <x:c r="B205" s="3" t="str">
        <x:v>Source</x:v>
      </x:c>
      <x:c r="C205" s="3" t="str">
        <x:v>capsule.json:1</x:v>
      </x:c>
      <x:c r="D205" s="3" t="str">
        <x:v>capsules/gba-nonogram/capsule.json:1</x:v>
      </x:c>
      <x:c r="E205" s="3" t="str">
        <x:v>Expected behavior only</x:v>
      </x:c>
      <x:c r="F205" s="3" t="str">
        <x:v>Source commit 8e5eb88b; not live execution.</x:v>
      </x:c>
      <x:c r="G205" s="3"/>
      <x:c r="H205" s="3"/>
      <x:c r="I205" s="3"/>
      <x:c r="J205" s="3"/>
      <x:c r="K205" s="3"/>
      <x:c r="L205" s="3"/>
    </x:row>
    <x:row r="206" ht="42" customHeight="1">
      <x:c r="A206" s="3" t="str">
        <x:v>S-177</x:v>
      </x:c>
      <x:c r="B206" s="3" t="str">
        <x:v>Source</x:v>
      </x:c>
      <x:c r="C206" s="3" t="str">
        <x:v>capsule.json:1</x:v>
      </x:c>
      <x:c r="D206" s="3" t="str">
        <x:v>capsules/gba-ucity/capsule.json:1</x:v>
      </x:c>
      <x:c r="E206" s="3" t="str">
        <x:v>Expected behavior only</x:v>
      </x:c>
      <x:c r="F206" s="3" t="str">
        <x:v>Source commit 8e5eb88b; not live execution.</x:v>
      </x:c>
      <x:c r="G206" s="3"/>
      <x:c r="H206" s="3"/>
      <x:c r="I206" s="3"/>
      <x:c r="J206" s="3"/>
      <x:c r="K206" s="3"/>
      <x:c r="L206" s="3"/>
    </x:row>
    <x:row r="207" ht="42" customHeight="1">
      <x:c r="A207" s="3" t="str">
        <x:v>S-178</x:v>
      </x:c>
      <x:c r="B207" s="3" t="str">
        <x:v>Source</x:v>
      </x:c>
      <x:c r="C207" s="3" t="str">
        <x:v>commands.json:1</x:v>
      </x:c>
      <x:c r="D207" s="3" t="str">
        <x:v>capsules/home-cli/browser/commands.json:1</x:v>
      </x:c>
      <x:c r="E207" s="3" t="str">
        <x:v>Expected behavior only</x:v>
      </x:c>
      <x:c r="F207" s="3" t="str">
        <x:v>Source commit 8e5eb88b; not live execution.</x:v>
      </x:c>
      <x:c r="G207" s="3"/>
      <x:c r="H207" s="3"/>
      <x:c r="I207" s="3"/>
      <x:c r="J207" s="3"/>
      <x:c r="K207" s="3"/>
      <x:c r="L207" s="3"/>
    </x:row>
    <x:row r="208" ht="42" customHeight="1">
      <x:c r="A208" s="3" t="str">
        <x:v>S-179</x:v>
      </x:c>
      <x:c r="B208" s="3" t="str">
        <x:v>Source</x:v>
      </x:c>
      <x:c r="C208" s="3" t="str">
        <x:v>commands.json:14</x:v>
      </x:c>
      <x:c r="D208" s="3" t="str">
        <x:v>capsules/home-cli/browser/commands.json:14</x:v>
      </x:c>
      <x:c r="E208" s="3" t="str">
        <x:v>Expected behavior only</x:v>
      </x:c>
      <x:c r="F208" s="3" t="str">
        <x:v>Source commit 8e5eb88b; not live execution.</x:v>
      </x:c>
      <x:c r="G208" s="3"/>
      <x:c r="H208" s="3"/>
      <x:c r="I208" s="3"/>
      <x:c r="J208" s="3"/>
      <x:c r="K208" s="3"/>
      <x:c r="L208" s="3"/>
    </x:row>
    <x:row r="209" ht="42" customHeight="1">
      <x:c r="A209" s="3" t="str">
        <x:v>S-180</x:v>
      </x:c>
      <x:c r="B209" s="3" t="str">
        <x:v>Source</x:v>
      </x:c>
      <x:c r="C209" s="3" t="str">
        <x:v>commands.json:74</x:v>
      </x:c>
      <x:c r="D209" s="3" t="str">
        <x:v>capsules/home-cli/browser/commands.json:74</x:v>
      </x:c>
      <x:c r="E209" s="3" t="str">
        <x:v>Expected behavior only</x:v>
      </x:c>
      <x:c r="F209" s="3" t="str">
        <x:v>Source commit 8e5eb88b; not live execution.</x:v>
      </x:c>
      <x:c r="G209" s="3"/>
      <x:c r="H209" s="3"/>
      <x:c r="I209" s="3"/>
      <x:c r="J209" s="3"/>
      <x:c r="K209" s="3"/>
      <x:c r="L209" s="3"/>
    </x:row>
    <x:row r="210" ht="42" customHeight="1">
      <x:c r="A210" s="3" t="str">
        <x:v>S-181</x:v>
      </x:c>
      <x:c r="B210" s="3" t="str">
        <x:v>Source</x:v>
      </x:c>
      <x:c r="C210" s="3" t="str">
        <x:v>commands.json:49</x:v>
      </x:c>
      <x:c r="D210" s="3" t="str">
        <x:v>capsules/home-cli/browser/commands.json:49</x:v>
      </x:c>
      <x:c r="E210" s="3" t="str">
        <x:v>Expected behavior only</x:v>
      </x:c>
      <x:c r="F210" s="3" t="str">
        <x:v>Source commit 8e5eb88b; not live execution.</x:v>
      </x:c>
      <x:c r="G210" s="3"/>
      <x:c r="H210" s="3"/>
      <x:c r="I210" s="3"/>
      <x:c r="J210" s="3"/>
      <x:c r="K210" s="3"/>
      <x:c r="L210" s="3"/>
    </x:row>
    <x:row r="211" ht="42" customHeight="1">
      <x:c r="A211" s="3" t="str">
        <x:v>S-182</x:v>
      </x:c>
      <x:c r="B211" s="3" t="str">
        <x:v>Source</x:v>
      </x:c>
      <x:c r="C211" s="3" t="str">
        <x:v>commands.json:119</x:v>
      </x:c>
      <x:c r="D211" s="3" t="str">
        <x:v>capsules/home-cli/browser/commands.json:119</x:v>
      </x:c>
      <x:c r="E211" s="3" t="str">
        <x:v>Expected behavior only</x:v>
      </x:c>
      <x:c r="F211" s="3" t="str">
        <x:v>Source commit 8e5eb88b; not live execution.</x:v>
      </x:c>
      <x:c r="G211" s="3"/>
      <x:c r="H211" s="3"/>
      <x:c r="I211" s="3"/>
      <x:c r="J211" s="3"/>
      <x:c r="K211" s="3"/>
      <x:c r="L211" s="3"/>
    </x:row>
    <x:row r="212" ht="42" customHeight="1">
      <x:c r="A212" s="3" t="str">
        <x:v>S-183</x:v>
      </x:c>
      <x:c r="B212" s="3" t="str">
        <x:v>Source</x:v>
      </x:c>
      <x:c r="C212" s="3" t="str">
        <x:v>components.json:1</x:v>
      </x:c>
      <x:c r="D212" s="3" t="str">
        <x:v>components.json:1</x:v>
      </x:c>
      <x:c r="E212" s="3" t="str">
        <x:v>Expected behavior only</x:v>
      </x:c>
      <x:c r="F212" s="3" t="str">
        <x:v>Source commit 8e5eb88b; not live execution.</x:v>
      </x:c>
      <x:c r="G212" s="3"/>
      <x:c r="H212" s="3"/>
      <x:c r="I212" s="3"/>
      <x:c r="J212" s="3"/>
      <x:c r="K212" s="3"/>
      <x:c r="L212" s="3"/>
    </x:row>
    <x:row r="213" ht="42" customHeight="1">
      <x:c r="A213" s="3" t="str">
        <x:v>S-184</x:v>
      </x:c>
      <x:c r="B213" s="3" t="str">
        <x:v>Source</x:v>
      </x:c>
      <x:c r="C213" s="3" t="str">
        <x:v>content.rs:1</x:v>
      </x:c>
      <x:c r="D213" s="3" t="str">
        <x:v>elastos/crates/elastos-server/src/content.rs:1</x:v>
      </x:c>
      <x:c r="E213" s="3" t="str">
        <x:v>Expected behavior only</x:v>
      </x:c>
      <x:c r="F213" s="3" t="str">
        <x:v>Source commit 8e5eb88b; not live execution.</x:v>
      </x:c>
      <x:c r="G213" s="3"/>
      <x:c r="H213" s="3"/>
      <x:c r="I213" s="3"/>
      <x:c r="J213" s="3"/>
      <x:c r="K213" s="3"/>
      <x:c r="L213" s="3"/>
    </x:row>
    <x:row r="214" ht="42" customHeight="1">
      <x:c r="A214" s="3" t="str">
        <x:v>S-185</x:v>
      </x:c>
      <x:c r="B214" s="3" t="str">
        <x:v>Source</x:v>
      </x:c>
      <x:c r="C214" s="3" t="str">
        <x:v>capsule.json:1</x:v>
      </x:c>
      <x:c r="D214" s="3" t="str">
        <x:v>capsules/webspace-provider/capsule.json:1</x:v>
      </x:c>
      <x:c r="E214" s="3" t="str">
        <x:v>Expected behavior only</x:v>
      </x:c>
      <x:c r="F214" s="3" t="str">
        <x:v>Source commit 8e5eb88b; not live execution.</x:v>
      </x:c>
      <x:c r="G214" s="3"/>
      <x:c r="H214" s="3"/>
      <x:c r="I214" s="3"/>
      <x:c r="J214" s="3"/>
      <x:c r="K214" s="3"/>
      <x:c r="L214" s="3"/>
    </x:row>
    <x:row r="215" ht="42" customHeight="1">
      <x:c r="A215" s="3" t="str">
        <x:v>S-186</x:v>
      </x:c>
      <x:c r="B215" s="3" t="str">
        <x:v>Source</x:v>
      </x:c>
      <x:c r="C215" s="3" t="str">
        <x:v>auth_gateway.rs:1607</x:v>
      </x:c>
      <x:c r="D215" s="3" t="str">
        <x:v>elastos/crates/elastos-server/src/api/auth_gateway.rs:1607</x:v>
      </x:c>
      <x:c r="E215" s="3" t="str">
        <x:v>Expected behavior only</x:v>
      </x:c>
      <x:c r="F215" s="3" t="str">
        <x:v>Source commit 8e5eb88b; not live execution.</x:v>
      </x:c>
      <x:c r="G215" s="3"/>
      <x:c r="H215" s="3"/>
      <x:c r="I215" s="3"/>
      <x:c r="J215" s="3"/>
      <x:c r="K215" s="3"/>
      <x:c r="L215" s="3"/>
    </x:row>
    <x:row r="216" ht="42" customHeight="1">
      <x:c r="A216" s="3" t="str">
        <x:v>S-187</x:v>
      </x:c>
      <x:c r="B216" s="3" t="str">
        <x:v>Source</x:v>
      </x:c>
      <x:c r="C216" s="3" t="str">
        <x:v>collaboration_profile_authority.rs:282</x:v>
      </x:c>
      <x:c r="D216" s="3" t="str">
        <x:v>elastos/crates/elastos-server/src/collaboration_profile_authority.rs:282</x:v>
      </x:c>
      <x:c r="E216" s="3" t="str">
        <x:v>Expected behavior only</x:v>
      </x:c>
      <x:c r="F216" s="3" t="str">
        <x:v>Source commit 8e5eb88b; not live execution.</x:v>
      </x:c>
      <x:c r="G216" s="3"/>
      <x:c r="H216" s="3"/>
      <x:c r="I216" s="3"/>
      <x:c r="J216" s="3"/>
      <x:c r="K216" s="3"/>
      <x:c r="L216" s="3"/>
    </x:row>
    <x:row r="217" ht="42" customHeight="1">
      <x:c r="A217" s="3" t="str">
        <x:v>S-188</x:v>
      </x:c>
      <x:c r="B217" s="3" t="str">
        <x:v>Source</x:v>
      </x:c>
      <x:c r="C217" s="3" t="str">
        <x:v>collaboration_profile_authority.rs:1030</x:v>
      </x:c>
      <x:c r="D217" s="3" t="str">
        <x:v>elastos/crates/elastos-server/src/collaboration_profile_authority.rs:1030</x:v>
      </x:c>
      <x:c r="E217" s="3" t="str">
        <x:v>Expected behavior only</x:v>
      </x:c>
      <x:c r="F217" s="3" t="str">
        <x:v>Source commit 8e5eb88b; not live execution.</x:v>
      </x:c>
      <x:c r="G217" s="3"/>
      <x:c r="H217" s="3"/>
      <x:c r="I217" s="3"/>
      <x:c r="J217" s="3"/>
      <x:c r="K217" s="3"/>
      <x:c r="L217" s="3"/>
    </x:row>
    <x:row r="218" ht="42" customHeight="1">
      <x:c r="A218" s="3" t="str">
        <x:v>S-189</x:v>
      </x:c>
      <x:c r="B218" s="3" t="str">
        <x:v>Source</x:v>
      </x:c>
      <x:c r="C218" s="3" t="str">
        <x:v>system.js:2480</x:v>
      </x:c>
      <x:c r="D218" s="3" t="str">
        <x:v>capsules/system/browser/system.js:2480</x:v>
      </x:c>
      <x:c r="E218" s="3" t="str">
        <x:v>Expected behavior only</x:v>
      </x:c>
      <x:c r="F218" s="3" t="str">
        <x:v>Source commit 8e5eb88b; not live execution.</x:v>
      </x:c>
      <x:c r="G218" s="3"/>
      <x:c r="H218" s="3"/>
      <x:c r="I218" s="3"/>
      <x:c r="J218" s="3"/>
      <x:c r="K218" s="3"/>
      <x:c r="L218" s="3"/>
    </x:row>
    <x:row r="219" ht="42" customHeight="1">
      <x:c r="A219" s="3" t="str">
        <x:v>S-190</x:v>
      </x:c>
      <x:c r="B219" s="3" t="str">
        <x:v>Source</x:v>
      </x:c>
      <x:c r="C219" s="3" t="str">
        <x:v>shell-setup-sheet.js:99</x:v>
      </x:c>
      <x:c r="D219" s="3" t="str">
        <x:v>capsules/home-gui/browser/shell-setup-sheet.js:99</x:v>
      </x:c>
      <x:c r="E219" s="3" t="str">
        <x:v>Expected behavior only</x:v>
      </x:c>
      <x:c r="F219" s="3" t="str">
        <x:v>Source commit 8e5eb88b; not live execution.</x:v>
      </x:c>
      <x:c r="G219" s="3"/>
      <x:c r="H219" s="3"/>
      <x:c r="I219" s="3"/>
      <x:c r="J219" s="3"/>
      <x:c r="K219" s="3"/>
      <x:c r="L219" s="3"/>
    </x:row>
    <x:row r="220" ht="42" customHeight="1">
      <x:c r="A220" s="3" t="str">
        <x:v>S-191</x:v>
      </x:c>
      <x:c r="B220" s="3" t="str">
        <x:v>Source</x:v>
      </x:c>
      <x:c r="C220" s="3" t="str">
        <x:v>bridge.rs:101</x:v>
      </x:c>
      <x:c r="D220" s="3" t="str">
        <x:v>elastos/crates/elastos-runtime/src/provider/bridge.rs:101</x:v>
      </x:c>
      <x:c r="E220" s="3" t="str">
        <x:v>Expected behavior only</x:v>
      </x:c>
      <x:c r="F220" s="3" t="str">
        <x:v>Source commit 8e5eb88b; not live execution.</x:v>
      </x:c>
      <x:c r="G220" s="3"/>
      <x:c r="H220" s="3"/>
      <x:c r="I220" s="3"/>
      <x:c r="J220" s="3"/>
      <x:c r="K220" s="3"/>
      <x:c r="L220" s="3"/>
    </x:row>
    <x:row r="221" ht="42" customHeight="1">
      <x:c r="A221" s="3" t="str">
        <x:v>S-192</x:v>
      </x:c>
      <x:c r="B221" s="3" t="str">
        <x:v>Source</x:v>
      </x:c>
      <x:c r="C221" s="3" t="str">
        <x:v>index.html:35</x:v>
      </x:c>
      <x:c r="D221" s="3" t="str">
        <x:v>capsules/system/browser/index.html:35</x:v>
      </x:c>
      <x:c r="E221" s="3" t="str">
        <x:v>Expected behavior only</x:v>
      </x:c>
      <x:c r="F221" s="3" t="str">
        <x:v>Source commit 8e5eb88b; not live execution.</x:v>
      </x:c>
      <x:c r="G221" s="3"/>
      <x:c r="H221" s="3"/>
      <x:c r="I221" s="3"/>
      <x:c r="J221" s="3"/>
      <x:c r="K221" s="3"/>
      <x:c r="L221" s="3"/>
    </x:row>
    <x:row r="222" ht="42" customHeight="1">
      <x:c r="A222" s="3" t="str">
        <x:v>S-193</x:v>
      </x:c>
      <x:c r="B222" s="3" t="str">
        <x:v>Source</x:v>
      </x:c>
      <x:c r="C222" s="3" t="str">
        <x:v>shell-setup-sheet.js:253</x:v>
      </x:c>
      <x:c r="D222" s="3" t="str">
        <x:v>capsules/home-gui/browser/shell-setup-sheet.js:253</x:v>
      </x:c>
      <x:c r="E222" s="3" t="str">
        <x:v>Expected behavior only</x:v>
      </x:c>
      <x:c r="F222" s="3" t="str">
        <x:v>Source commit 8e5eb88b; not live execution.</x:v>
      </x:c>
      <x:c r="G222" s="3"/>
      <x:c r="H222" s="3"/>
      <x:c r="I222" s="3"/>
      <x:c r="J222" s="3"/>
      <x:c r="K222" s="3"/>
      <x:c r="L222" s="3"/>
    </x:row>
    <x:row r="223" ht="42" customHeight="1">
      <x:c r="A223" s="3" t="str">
        <x:v>S-194</x:v>
      </x:c>
      <x:c r="B223" s="3" t="str">
        <x:v>Source</x:v>
      </x:c>
      <x:c r="C223" s="3" t="str">
        <x:v>index.html:46</x:v>
      </x:c>
      <x:c r="D223" s="3" t="str">
        <x:v>capsules/people/browser/index.html:46</x:v>
      </x:c>
      <x:c r="E223" s="3" t="str">
        <x:v>Expected behavior only</x:v>
      </x:c>
      <x:c r="F223" s="3" t="str">
        <x:v>Source commit 8e5eb88b; not live execution.</x:v>
      </x:c>
      <x:c r="G223" s="3"/>
      <x:c r="H223" s="3"/>
      <x:c r="I223" s="3"/>
      <x:c r="J223" s="3"/>
      <x:c r="K223" s="3"/>
      <x:c r="L223" s="3"/>
    </x:row>
    <x:row r="224" ht="42" customHeight="1">
      <x:c r="A224" s="3" t="str">
        <x:v>S-195</x:v>
      </x:c>
      <x:c r="B224" s="3" t="str">
        <x:v>Source</x:v>
      </x:c>
      <x:c r="C224" s="3" t="str">
        <x:v>gateway_home_runtime.rs:194</x:v>
      </x:c>
      <x:c r="D224" s="3" t="str">
        <x:v>elastos/crates/elastos-server/src/api/gateway_home_runtime.rs:194</x:v>
      </x:c>
      <x:c r="E224" s="3" t="str">
        <x:v>Expected behavior only</x:v>
      </x:c>
      <x:c r="F224" s="3" t="str">
        <x:v>Source commit 8e5eb88b; not live execution.</x:v>
      </x:c>
      <x:c r="G224" s="3"/>
      <x:c r="H224" s="3"/>
      <x:c r="I224" s="3"/>
      <x:c r="J224" s="3"/>
      <x:c r="K224" s="3"/>
      <x:c r="L224" s="3"/>
    </x:row>
    <x:row r="225" ht="42" customHeight="1">
      <x:c r="A225" s="3" t="str">
        <x:v>S-196</x:v>
      </x:c>
      <x:c r="B225" s="3" t="str">
        <x:v>Source</x:v>
      </x:c>
      <x:c r="C225" s="3" t="str">
        <x:v>gateway_home_runtime.rs:315</x:v>
      </x:c>
      <x:c r="D225" s="3" t="str">
        <x:v>elastos/crates/elastos-server/src/api/gateway_home_runtime.rs:315</x:v>
      </x:c>
      <x:c r="E225" s="3" t="str">
        <x:v>Expected behavior only</x:v>
      </x:c>
      <x:c r="F225" s="3" t="str">
        <x:v>Source commit 8e5eb88b; not live execution.</x:v>
      </x:c>
      <x:c r="G225" s="3"/>
      <x:c r="H225" s="3"/>
      <x:c r="I225" s="3"/>
      <x:c r="J225" s="3"/>
      <x:c r="K225" s="3"/>
      <x:c r="L225" s="3"/>
    </x:row>
    <x:row r="226" ht="42" customHeight="1">
      <x:c r="A226" s="3" t="str">
        <x:v>S-197</x:v>
      </x:c>
      <x:c r="B226" s="3" t="str">
        <x:v>Source</x:v>
      </x:c>
      <x:c r="C226" s="3" t="str">
        <x:v>browser_capsules.rs:105</x:v>
      </x:c>
      <x:c r="D226" s="3" t="str">
        <x:v>elastos/crates/elastos-server/src/api/browser_capsules.rs:105</x:v>
      </x:c>
      <x:c r="E226" s="3" t="str">
        <x:v>Expected behavior only</x:v>
      </x:c>
      <x:c r="F226" s="3" t="str">
        <x:v>Source commit 8e5eb88b; not live execution.</x:v>
      </x:c>
      <x:c r="G226" s="3"/>
      <x:c r="H226" s="3"/>
      <x:c r="I226" s="3"/>
      <x:c r="J226" s="3"/>
      <x:c r="K226" s="3"/>
      <x:c r="L226" s="3"/>
    </x:row>
    <x:row r="227" ht="42" customHeight="1">
      <x:c r="A227" s="3" t="str">
        <x:v>S-198</x:v>
      </x:c>
      <x:c r="B227" s="3" t="str">
        <x:v>Source</x:v>
      </x:c>
      <x:c r="C227" s="3" t="str">
        <x:v>browser_capsules.rs:345</x:v>
      </x:c>
      <x:c r="D227" s="3" t="str">
        <x:v>elastos/crates/elastos-server/src/api/browser_capsules.rs:345</x:v>
      </x:c>
      <x:c r="E227" s="3" t="str">
        <x:v>Expected behavior only</x:v>
      </x:c>
      <x:c r="F227" s="3" t="str">
        <x:v>Source commit 8e5eb88b; not live execution.</x:v>
      </x:c>
      <x:c r="G227" s="3"/>
      <x:c r="H227" s="3"/>
      <x:c r="I227" s="3"/>
      <x:c r="J227" s="3"/>
      <x:c r="K227" s="3"/>
      <x:c r="L227" s="3"/>
    </x:row>
    <x:row r="228" ht="42" customHeight="1">
      <x:c r="A228" s="3" t="str">
        <x:v>S-199</x:v>
      </x:c>
      <x:c r="B228" s="3" t="str">
        <x:v>Source</x:v>
      </x:c>
      <x:c r="C228" s="3" t="str">
        <x:v>shell-core.js:343</x:v>
      </x:c>
      <x:c r="D228" s="3" t="str">
        <x:v>capsules/home-gui/browser/shell-core.js:343</x:v>
      </x:c>
      <x:c r="E228" s="3" t="str">
        <x:v>Expected behavior only</x:v>
      </x:c>
      <x:c r="F228" s="3" t="str">
        <x:v>Source commit 8e5eb88b; not live execution.</x:v>
      </x:c>
      <x:c r="G228" s="3"/>
      <x:c r="H228" s="3"/>
      <x:c r="I228" s="3"/>
      <x:c r="J228" s="3"/>
      <x:c r="K228" s="3"/>
      <x:c r="L228" s="3"/>
    </x:row>
    <x:row r="229" ht="42" customHeight="1">
      <x:c r="A229" s="3" t="str">
        <x:v>S-200</x:v>
      </x:c>
      <x:c r="B229" s="3" t="str">
        <x:v>Source</x:v>
      </x:c>
      <x:c r="C229" s="3" t="str">
        <x:v>shell-core.js:520</x:v>
      </x:c>
      <x:c r="D229" s="3" t="str">
        <x:v>capsules/home-gui/browser/shell-core.js:520</x:v>
      </x:c>
      <x:c r="E229" s="3" t="str">
        <x:v>Expected behavior only</x:v>
      </x:c>
      <x:c r="F229" s="3" t="str">
        <x:v>Source commit 8e5eb88b; not live execution.</x:v>
      </x:c>
      <x:c r="G229" s="3"/>
      <x:c r="H229" s="3"/>
      <x:c r="I229" s="3"/>
      <x:c r="J229" s="3"/>
      <x:c r="K229" s="3"/>
      <x:c r="L229" s="3"/>
    </x:row>
    <x:row r="230" ht="42" customHeight="1">
      <x:c r="A230" s="3" t="str">
        <x:v>S-201</x:v>
      </x:c>
      <x:c r="B230" s="3" t="str">
        <x:v>Source</x:v>
      </x:c>
      <x:c r="C230" s="3" t="str">
        <x:v>shell-core.js:724</x:v>
      </x:c>
      <x:c r="D230" s="3" t="str">
        <x:v>capsules/home-gui/browser/shell-core.js:724</x:v>
      </x:c>
      <x:c r="E230" s="3" t="str">
        <x:v>Expected behavior only</x:v>
      </x:c>
      <x:c r="F230" s="3" t="str">
        <x:v>Source commit 8e5eb88b; not live execution.</x:v>
      </x:c>
      <x:c r="G230" s="3"/>
      <x:c r="H230" s="3"/>
      <x:c r="I230" s="3"/>
      <x:c r="J230" s="3"/>
      <x:c r="K230" s="3"/>
      <x:c r="L230" s="3"/>
    </x:row>
    <x:row r="231" ht="42" customHeight="1">
      <x:c r="A231" s="3" t="str">
        <x:v>S-202</x:v>
      </x:c>
      <x:c r="B231" s="3" t="str">
        <x:v>Source</x:v>
      </x:c>
      <x:c r="C231" s="3" t="str">
        <x:v>capsule.json:1</x:v>
      </x:c>
      <x:c r="D231" s="3" t="str">
        <x:v>capsules/marketplace/capsule.json:1</x:v>
      </x:c>
      <x:c r="E231" s="3" t="str">
        <x:v>Expected behavior only</x:v>
      </x:c>
      <x:c r="F231" s="3" t="str">
        <x:v>Source commit 8e5eb88b; not live execution.</x:v>
      </x:c>
      <x:c r="G231" s="3"/>
      <x:c r="H231" s="3"/>
      <x:c r="I231" s="3"/>
      <x:c r="J231" s="3"/>
      <x:c r="K231" s="3"/>
      <x:c r="L231" s="3"/>
    </x:row>
    <x:row r="232" ht="42" customHeight="1">
      <x:c r="A232" s="3" t="str">
        <x:v>S-203</x:v>
      </x:c>
      <x:c r="B232" s="3" t="str">
        <x:v>Source</x:v>
      </x:c>
      <x:c r="C232" s="3" t="str">
        <x:v>setup-source-home.sh:1689</x:v>
      </x:c>
      <x:c r="D232" s="3" t="str">
        <x:v>scripts/setup-source-home.sh:1689</x:v>
      </x:c>
      <x:c r="E232" s="3" t="str">
        <x:v>Expected behavior only</x:v>
      </x:c>
      <x:c r="F232" s="3" t="str">
        <x:v>Source commit 8e5eb88b; not live execution.</x:v>
      </x:c>
      <x:c r="G232" s="3"/>
      <x:c r="H232" s="3"/>
      <x:c r="I232" s="3"/>
      <x:c r="J232" s="3"/>
      <x:c r="K232" s="3"/>
      <x:c r="L232" s="3"/>
    </x:row>
    <x:row r="233" ht="42" customHeight="1">
      <x:c r="A233" s="3" t="str">
        <x:v>S-204</x:v>
      </x:c>
      <x:c r="B233" s="3" t="str">
        <x:v>Source</x:v>
      </x:c>
      <x:c r="C233" s="3" t="str">
        <x:v>setup-source-home.sh:1751</x:v>
      </x:c>
      <x:c r="D233" s="3" t="str">
        <x:v>scripts/setup-source-home.sh:1751</x:v>
      </x:c>
      <x:c r="E233" s="3" t="str">
        <x:v>Expected behavior only</x:v>
      </x:c>
      <x:c r="F233" s="3" t="str">
        <x:v>Source commit 8e5eb88b; not live execution.</x:v>
      </x:c>
      <x:c r="G233" s="3"/>
      <x:c r="H233" s="3"/>
      <x:c r="I233" s="3"/>
      <x:c r="J233" s="3"/>
      <x:c r="K233" s="3"/>
      <x:c r="L233" s="3"/>
    </x:row>
    <x:row r="234" ht="42" customHeight="1">
      <x:c r="A234" s="3" t="str">
        <x:v>S-205</x:v>
      </x:c>
      <x:c r="B234" s="3" t="str">
        <x:v>Source</x:v>
      </x:c>
      <x:c r="C234" s="3" t="str">
        <x:v>setup-source-home.sh:1837</x:v>
      </x:c>
      <x:c r="D234" s="3" t="str">
        <x:v>scripts/setup-source-home.sh:1837</x:v>
      </x:c>
      <x:c r="E234" s="3" t="str">
        <x:v>Expected behavior only</x:v>
      </x:c>
      <x:c r="F234" s="3" t="str">
        <x:v>Source commit 8e5eb88b; not live execution.</x:v>
      </x:c>
      <x:c r="G234" s="3"/>
      <x:c r="H234" s="3"/>
      <x:c r="I234" s="3"/>
      <x:c r="J234" s="3"/>
      <x:c r="K234" s="3"/>
      <x:c r="L234" s="3"/>
    </x:row>
    <x:row r="235" ht="42" customHeight="1">
      <x:c r="A235" s="3" t="str">
        <x:v>S-206</x:v>
      </x:c>
      <x:c r="B235" s="3" t="str">
        <x:v>Source</x:v>
      </x:c>
      <x:c r="C235" s="3" t="str">
        <x:v>dialog.js:837</x:v>
      </x:c>
      <x:c r="D235" s="3" t="str">
        <x:v>capsules/library/browser/src/dialog.js:837</x:v>
      </x:c>
      <x:c r="E235" s="3" t="str">
        <x:v>Expected behavior only</x:v>
      </x:c>
      <x:c r="F235" s="3" t="str">
        <x:v>Source commit 8e5eb88b; not live execution.</x:v>
      </x:c>
      <x:c r="G235" s="3"/>
      <x:c r="H235" s="3"/>
      <x:c r="I235" s="3"/>
      <x:c r="J235" s="3"/>
      <x:c r="K235" s="3"/>
      <x:c r="L235" s="3"/>
    </x:row>
    <x:row r="236" ht="42" customHeight="1">
      <x:c r="A236" s="3" t="str">
        <x:v>PRIOR-AUTH-01</x:v>
      </x:c>
      <x:c r="B236" s="3" t="str">
        <x:v>Prior report</x:v>
      </x:c>
      <x:c r="C236" s="3" t="str">
        <x:v>First account</x:v>
      </x:c>
      <x:c r="D236" s="3" t="str">
        <x:v>User report: real localhost:61380 window and screenshot reviewed. No account record inspected by inventory author.</x:v>
      </x:c>
      <x:c r="E236" s="3" t="str">
        <x:v>Narrow prior observation</x:v>
      </x:c>
      <x:c r="F236" s="3" t="str">
        <x:v>User independently viewed the new Home setup and passkey screen in Brave.</x:v>
      </x:c>
      <x:c r="G236" s="3"/>
      <x:c r="H236" s="3"/>
      <x:c r="I236" s="3"/>
      <x:c r="J236" s="3"/>
      <x:c r="K236" s="3"/>
      <x:c r="L236" s="3"/>
    </x:row>
    <x:row r="237" ht="42" customHeight="1">
      <x:c r="A237" s="3" t="str">
        <x:v>PRIOR-GUI-02</x:v>
      </x:c>
      <x:c r="B237" s="3" t="str">
        <x:v>Prior report</x:v>
      </x:c>
      <x:c r="C237" s="3" t="str">
        <x:v>Desktop first layout</x:v>
      </x:c>
      <x:c r="D237" s="3" t="str">
        <x:v>User report; source roots F-06/F-07.</x:v>
      </x:c>
      <x:c r="E237" s="3" t="str">
        <x:v>Narrow prior observation</x:v>
      </x:c>
      <x:c r="F237" s="3" t="str">
        <x:v>User reports broken game icons and scattered first-run placement.</x:v>
      </x:c>
      <x:c r="G237" s="3"/>
      <x:c r="H237" s="3"/>
      <x:c r="I237" s="3"/>
      <x:c r="J237" s="3"/>
      <x:c r="K237" s="3"/>
      <x:c r="L237" s="3"/>
    </x:row>
    <x:row r="238" ht="42" customHeight="1">
      <x:c r="A238" s="3" t="str">
        <x:v>PRIOR-SYS-02</x:v>
      </x:c>
      <x:c r="B238" s="3" t="str">
        <x:v>Prior report</x:v>
      </x:c>
      <x:c r="C238" s="3" t="str">
        <x:v>Security deep link</x:v>
      </x:c>
      <x:c r="D238" s="3" t="str">
        <x:v>User-reported screenshot/flow; matching source deep-link gap F-03.</x:v>
      </x:c>
      <x:c r="E238" s="3" t="str">
        <x:v>Narrow prior observation</x:v>
      </x:c>
      <x:c r="F238" s="3" t="str">
        <x:v>User reports Save kit opened Accounts rather than Security.</x:v>
      </x:c>
      <x:c r="G238" s="3"/>
      <x:c r="H238" s="3"/>
      <x:c r="I238" s="3"/>
      <x:c r="J238" s="3"/>
      <x:c r="K238" s="3"/>
      <x:c r="L238" s="3"/>
    </x:row>
    <x:row r="239" ht="42" customHeight="1">
      <x:c r="A239" s="3" t="str">
        <x:v>PRIOR-SYS-07</x:v>
      </x:c>
      <x:c r="B239" s="3" t="str">
        <x:v>Prior report</x:v>
      </x:c>
      <x:c r="C239" s="3" t="str">
        <x:v>Recovery UI readiness</x:v>
      </x:c>
      <x:c r="D239" s="3" t="str">
        <x:v>User-reported delay; matching source refresh gap F-04.</x:v>
      </x:c>
      <x:c r="E239" s="3" t="str">
        <x:v>Narrow prior observation</x:v>
      </x:c>
      <x:c r="F239" s="3" t="str">
        <x:v>User reports waiting for Create Profile after saving kit.</x:v>
      </x:c>
      <x:c r="G239" s="3"/>
      <x:c r="H239" s="3"/>
      <x:c r="I239" s="3"/>
      <x:c r="J239" s="3"/>
      <x:c r="K239" s="3"/>
      <x:c r="L239" s="3"/>
    </x:row>
    <x:row r="240" ht="42" customHeight="1">
      <x:c r="A240" s="3" t="str">
        <x:v>PRIOR-PEOPLE-01</x:v>
      </x:c>
      <x:c r="B240" s="3" t="str">
        <x:v>Prior report</x:v>
      </x:c>
      <x:c r="C240" s="3" t="str">
        <x:v>Create public Profile</x:v>
      </x:c>
      <x:c r="D240" s="3" t="str">
        <x:v>User-reported flow; matching source input/submit behavior F-05.</x:v>
      </x:c>
      <x:c r="E240" s="3" t="str">
        <x:v>Narrow prior observation</x:v>
      </x:c>
      <x:c r="F240" s="3" t="str">
        <x:v>User reports suggested public name was placeholder only and empty submit errored.</x:v>
      </x:c>
      <x:c r="G240" s="3"/>
      <x:c r="H240" s="3"/>
      <x:c r="I240" s="3"/>
      <x:c r="J240" s="3"/>
      <x:c r="K240" s="3"/>
      <x:c r="L240" s="3"/>
    </x:row>
    <x:row r="241" ht="42" customHeight="1">
      <x:c r="A241" s="3" t="str">
        <x:v>PRIOR-MODEL-01</x:v>
      </x:c>
      <x:c r="B241" s="3" t="str">
        <x:v>Prior report</x:v>
      </x:c>
      <x:c r="C241" s="3" t="str">
        <x:v>Native startup contract</x:v>
      </x:c>
      <x:c r="D241" s="3" t="str">
        <x:v>Prior bounded startup finding; no new provider execution/test in this audit.</x:v>
      </x:c>
      <x:c r="E241" s="3" t="str">
        <x:v>Narrow prior observation</x:v>
      </x:c>
      <x:c r="F241" s="3" t="str">
        <x:v>Prior startup log reported model-provider startup failed; source shows incompatible normal Init envelope.</x:v>
      </x:c>
      <x:c r="G241" s="3"/>
      <x:c r="H241" s="3"/>
      <x:c r="I241" s="3"/>
      <x:c r="J241" s="3"/>
      <x:c r="K241" s="3"/>
      <x:c r="L241" s="3"/>
    </x:row>
    <x:row r="242" ht="42" customHeight="1">
      <x:c r="A242" s="3" t="str">
        <x:v>PRIOR-NONOGRAM-01</x:v>
      </x:c>
      <x:c r="B242" s="3" t="str">
        <x:v>Prior report</x:v>
      </x:c>
      <x:c r="C242" s="3" t="str">
        <x:v>Launch, icon and attribution</x:v>
      </x:c>
      <x:c r="D242" s="3" t="str">
        <x:v>Prior read-only public HTTP check and source asset resolution trace.</x:v>
      </x:c>
      <x:c r="E242" s="3" t="str">
        <x:v>Narrow prior observation</x:v>
      </x:c>
      <x:c r="F242" s="3" t="str">
        <x:v>Prior public static request for /apps/gba-nonogram/icons/icon-128.png returned HTTP 404. Gameplay not tested.</x:v>
      </x:c>
      <x:c r="G242" s="3"/>
      <x:c r="H242" s="3"/>
      <x:c r="I242" s="3"/>
      <x:c r="J242" s="3"/>
      <x:c r="K242" s="3"/>
      <x:c r="L242" s="3"/>
    </x:row>
    <x:row r="243" ht="42" customHeight="1">
      <x:c r="A243" s="3" t="str">
        <x:v>PRIOR-UCITY-01</x:v>
      </x:c>
      <x:c r="B243" s="3" t="str">
        <x:v>Prior report</x:v>
      </x:c>
      <x:c r="C243" s="3" t="str">
        <x:v>Launch, icon and attribution</x:v>
      </x:c>
      <x:c r="D243" s="3" t="str">
        <x:v>Prior read-only public HTTP check and source asset resolution trace.</x:v>
      </x:c>
      <x:c r="E243" s="3" t="str">
        <x:v>Narrow prior observation</x:v>
      </x:c>
      <x:c r="F243" s="3" t="str">
        <x:v>Prior public static request for /apps/gba-ucity/icons/icon-128.png returned HTTP 404. Gameplay not tested.</x:v>
      </x:c>
      <x:c r="G243" s="3"/>
      <x:c r="H243" s="3"/>
      <x:c r="I243" s="3"/>
      <x:c r="J243" s="3"/>
      <x:c r="K243" s="3"/>
      <x:c r="L243" s="3"/>
    </x:row>
    <x:row r="244" ht="46.5" customHeight="1">
      <x:c r="A244" s="3" t="str">
        <x:v>E-032</x:v>
      </x:c>
      <x:c r="B244" s="3" t="str">
        <x:v>Independent installed artifact and HTTP proof</x:v>
      </x:c>
      <x:c r="C244" s="3" t="str">
        <x:v>Strict restart; source/installed/served hashes; all game icon sizes; model registration</x:v>
      </x:c>
      <x:c r="D244" s="3" t="str">
        <x:v>evidence/032-installed-repair-verification.md</x:v>
      </x:c>
      <x:c r="E244" s="3" t="str">
        <x:v>Installed bd61484c on localhost:61380; full GUI journeys remain unverified</x:v>
      </x:c>
      <x:c r="F244" s="3" t="str">
        <x:v>Runtime/model/components hashes match; 12 served-file checks pass. Custody and model-offer prerequisites remain.</x:v>
      </x:c>
      <x:c r="G244" s="3"/>
      <x:c r="H244" s="3"/>
      <x:c r="I244" s="3"/>
      <x:c r="J244" s="3"/>
      <x:c r="K244" s="3"/>
      <x:c r="L244" s="3"/>
    </x:row>
    <x:row r="245" ht="46.5" customHeight="1">
      <x:c r="A245" s="3" t="str">
        <x:v>E-031</x:v>
      </x:c>
      <x:c r="B245" s="3" t="str">
        <x:v>Reviewed source repairs and restart evidence</x:v>
      </x:c>
      <x:c r="C245" s="3" t="str">
        <x:v>Five local source commits; icon/model/onboarding checks; restored gateway and planned isolated update</x:v>
      </x:c>
      <x:c r="D245" s="3" t="str">
        <x:v>evidence/031-repair-batch.md</x:v>
      </x:c>
      <x:c r="E245" s="3" t="str">
        <x:v>Source bd61484c; restored baseline 8e5eb88b; full GUI journeys remain unverified</x:v>
      </x:c>
      <x:c r="F245" s="3" t="str">
        <x:v>154 model tests and three icon checks passed. Recovery coverage and browser fixtures remain open.</x:v>
      </x:c>
      <x:c r="G245" s="3"/>
      <x:c r="H245" s="3"/>
      <x:c r="I245" s="3"/>
      <x:c r="J245" s="3"/>
      <x:c r="K245" s="3"/>
      <x:c r="L245" s="3"/>
    </x:row>
    <x:row r="246" ht="46.5" customHeight="1">
      <x:c r="A246" s="3" t="str">
        <x:v>E-030</x:v>
      </x:c>
      <x:c r="B246" s="3" t="str">
        <x:v>Source tests and tool diagnostics</x:v>
      </x:c>
      <x:c r="C246" s="3" t="str">
        <x:v>Irzhy updates reconciled; eight app checks and restart smoke passed; native mouse-control crash confirmed</x:v>
      </x:c>
      <x:c r="D246" s="3" t="str">
        <x:v>evidence/030-source-and-control-check.md</x:v>
      </x:c>
      <x:c r="E246" s="3" t="str">
        <x:v>Source checkpoint 796828d0; installed baseline remains 8e5eb88b; GUI journey counts unchanged</x:v>
      </x:c>
      <x:c r="F246" s="3" t="str">
        <x:v>Brave Home tab preserved; temporary blank window closed. Page inspection remains blocked.</x:v>
      </x:c>
      <x:c r="G246" s="3"/>
      <x:c r="H246" s="3"/>
      <x:c r="I246" s="3"/>
      <x:c r="J246" s="3"/>
      <x:c r="K246" s="3"/>
      <x:c r="L246" s="3"/>
    </x:row>
    <x:row r="247" ht="42" customHeight="1">
      <x:c r="A247" s="3" t="str">
        <x:v>E-014</x:v>
      </x:c>
      <x:c r="B247" s="3" t="str">
        <x:v>Auditor AX</x:v>
      </x:c>
      <x:c r="C247" s="3" t="str">
        <x:v>Launcher targets and controls</x:v>
      </x:c>
      <x:c r="D247" s="3" t="str">
        <x:v>evidence/014-launcher-open.txt</x:v>
      </x:c>
      <x:c r="E247" s="3" t="str">
        <x:v>Presence only; actions/search not verified</x:v>
      </x:c>
      <x:c r="F247" s="3" t="str"/>
      <x:c r="G247" s="3"/>
      <x:c r="H247" s="3"/>
      <x:c r="I247" s="3"/>
      <x:c r="J247" s="3"/>
      <x:c r="K247" s="3"/>
      <x:c r="L247" s="3"/>
    </x:row>
    <x:row r="248" ht="42" customHeight="1">
      <x:c r="A248" s="3" t="str">
        <x:v>E-005</x:v>
      </x:c>
      <x:c r="B248" s="3" t="str">
        <x:v>Auditor visual/AX</x:v>
      </x:c>
      <x:c r="C248" s="3" t="str">
        <x:v>Home menu visible entries</x:v>
      </x:c>
      <x:c r="D248" s="3" t="str">
        <x:v>evidence/005-home-menu-visual.png; evidence/005-home-menu-visual.txt</x:v>
      </x:c>
      <x:c r="E248" s="3" t="str">
        <x:v>Menu presence only; commands not verified</x:v>
      </x:c>
      <x:c r="F248" s="3" t="str"/>
      <x:c r="G248" s="3"/>
      <x:c r="H248" s="3"/>
      <x:c r="I248" s="3"/>
      <x:c r="J248" s="3"/>
      <x:c r="K248" s="3"/>
      <x:c r="L248" s="3"/>
    </x:row>
    <x:row r="249" ht="42" customHeight="1">
      <x:c r="A249" s="3" t="str">
        <x:v>E-001</x:v>
      </x:c>
      <x:c r="B249" s="3" t="str">
        <x:v>Auditor AX</x:v>
      </x:c>
      <x:c r="C249" s="3" t="str">
        <x:v>Existing Library view</x:v>
      </x:c>
      <x:c r="D249" s="3" t="str">
        <x:v>evidence/001-library-existing.txt</x:v>
      </x:c>
      <x:c r="E249" s="3" t="str">
        <x:v>Root/item presence only; no file content audit</x:v>
      </x:c>
      <x:c r="F249" s="3" t="str"/>
      <x:c r="G249" s="3"/>
      <x:c r="H249" s="3"/>
      <x:c r="I249" s="3"/>
      <x:c r="J249" s="3"/>
      <x:c r="K249" s="3"/>
      <x:c r="L249" s="3"/>
    </x:row>
    <x:row r="250" ht="42" customHeight="1">
      <x:c r="A250" s="3" t="str">
        <x:v>E-022</x:v>
      </x:c>
      <x:c r="B250" s="3" t="str">
        <x:v>Auditor AX</x:v>
      </x:c>
      <x:c r="C250" s="3" t="str">
        <x:v>Library controls and selected Details mode</x:v>
      </x:c>
      <x:c r="D250" s="3" t="str">
        <x:v>evidence/022-library-ready.txt</x:v>
      </x:c>
      <x:c r="E250" s="3" t="str">
        <x:v>Presence/selected state; mode change not verified</x:v>
      </x:c>
      <x:c r="F250" s="3" t="str"/>
      <x:c r="G250" s="3"/>
      <x:c r="H250" s="3"/>
      <x:c r="I250" s="3"/>
      <x:c r="J250" s="3"/>
      <x:c r="K250" s="3"/>
      <x:c r="L250" s="3"/>
    </x:row>
    <x:row r="251" ht="42" customHeight="1">
      <x:c r="A251" s="3" t="str">
        <x:v>E-021</x:v>
      </x:c>
      <x:c r="B251" s="3" t="str">
        <x:v>Auditor console</x:v>
      </x:c>
      <x:c r="C251" s="3" t="str">
        <x:v>Game icon 404 and COEP messages</x:v>
      </x:c>
      <x:c r="D251" s="3" t="str">
        <x:v>evidence/021-home-console.txt</x:v>
      </x:c>
      <x:c r="E251" s="3" t="str">
        <x:v>Specific load failures; no whole-journey failure inference</x:v>
      </x:c>
      <x:c r="F251" s="3" t="str"/>
      <x:c r="G251" s="3"/>
      <x:c r="H251" s="3"/>
      <x:c r="I251" s="3"/>
      <x:c r="J251" s="3"/>
      <x:c r="K251" s="3"/>
      <x:c r="L251" s="3"/>
    </x:row>
    <x:row r="252" ht="42" customHeight="1">
      <x:c r="A252" s="3" t="str">
        <x:v>E-020</x:v>
      </x:c>
      <x:c r="B252" s="3" t="str">
        <x:v>Ambiguous tool capture</x:v>
      </x:c>
      <x:c r="C252" s="3" t="str">
        <x:v>Window/capture geometry needs retest</x:v>
      </x:c>
      <x:c r="D252" s="3" t="str">
        <x:v>evidence/020-selected-home-window.png; evidence/020-selected-home-window.txt</x:v>
      </x:c>
      <x:c r="E252" s="3" t="str">
        <x:v>Not proof of a layout regression</x:v>
      </x:c>
      <x:c r="F252" s="3" t="str"/>
      <x:c r="G252" s="3"/>
      <x:c r="H252" s="3"/>
      <x:c r="I252" s="3"/>
      <x:c r="J252" s="3"/>
      <x:c r="K252" s="3"/>
      <x:c r="L252" s="3"/>
    </x:row>
    <x:row r="253" ht="58.5" customHeight="1">
      <x:c r="A253" s="3" t="str">
        <x:v>B-01</x:v>
      </x:c>
      <x:c r="B253" s="3" t="str">
        <x:v>Audit-tool blocker</x:v>
      </x:c>
      <x:c r="C253" s="3" t="str">
        <x:v>Sky control/capture failures continued after correct window selected</x:v>
      </x:c>
      <x:c r="D253" s="3" t="str">
        <x:v>Auditor-supplied compact record</x:v>
      </x:c>
      <x:c r="E253" s="3" t="str">
        <x:v>Live test interruption, not product defect</x:v>
      </x:c>
      <x:c r="F253" s="3" t="str">
        <x:v>Native helper crash confirmed in system reports; Brave page inspection still times out. Temporary blank window closed and Home tab preserved. See evidence/030-source-and-control-check.md.</x:v>
      </x:c>
      <x:c r="G253" s="3"/>
      <x:c r="H253" s="3"/>
      <x:c r="I253" s="3"/>
      <x:c r="J253" s="3"/>
      <x:c r="K253" s="3"/>
      <x:c r="L253" s="3"/>
    </x:row>
    <x:row r="254" ht="42" customHeight="1">
      <x:c r="A254" s="3" t="str">
        <x:v>E-MINT-PARITY</x:v>
      </x:c>
      <x:c r="B254" s="3" t="str">
        <x:v>Read-only source/artifact</x:v>
      </x:c>
      <x:c r="C254" s="3" t="str">
        <x:v>Library source/installed hashes match; eligibility and error text inspected</x:v>
      </x:c>
      <x:c r="D254" s="3" t="str">
        <x:v>mint-readiness-evidence.md</x:v>
      </x:c>
      <x:c r="E254" s="3" t="str">
        <x:v>Code parity only; mint menu/dialog not demonstrated</x:v>
      </x:c>
      <x:c r="F254" s="3" t="str">
        <x:v>app.js/actions.js hashes and browser/src references recorded.</x:v>
      </x:c>
      <x:c r="G254" s="3"/>
      <x:c r="H254" s="3"/>
      <x:c r="I254" s="3"/>
      <x:c r="J254" s="3"/>
      <x:c r="K254" s="3"/>
      <x:c r="L254" s="3"/>
    </x:row>
    <x:row r="255" ht="42" customHeight="1">
      <x:c r="A255" s="3" t="str">
        <x:v>E-MINT-SETUP</x:v>
      </x:c>
      <x:c r="B255" s="3" t="str">
        <x:v>Installed stat + auditor log</x:v>
      </x:c>
      <x:c r="C255" s="3" t="str">
        <x:v>Required protected-content setup absent</x:v>
      </x:c>
      <x:c r="D255" s="3" t="str">
        <x:v>mint-readiness-evidence.md; gateway-20260830T032427Z-19977.log:62,64,65,67,69</x:v>
      </x:c>
      <x:c r="E255" s="3" t="str">
        <x:v>Mint blocked in actual install</x:v>
      </x:c>
      <x:c r="F255" s="3" t="str">
        <x:v>Path absence rechecked; log evidence supplied by auditor. No config contents or auth records read.</x:v>
      </x:c>
      <x:c r="G255" s="3"/>
      <x:c r="H255" s="3"/>
      <x:c r="I255" s="3"/>
      <x:c r="J255" s="3"/>
      <x:c r="K255" s="3"/>
      <x:c r="L255" s="3"/>
    </x:row>
    <x:row r="256" ht="42" customHeight="1">
      <x:c r="A256" s="3" t="str">
        <x:v>B-02</x:v>
      </x:c>
      <x:c r="B256" s="3" t="str">
        <x:v>User-reported blocker</x:v>
      </x:c>
      <x:c r="C256" s="3" t="str">
        <x:v>In-app passkey not offered; QR scan found none</x:v>
      </x:c>
      <x:c r="D256" s="3" t="str">
        <x:v>mint-readiness-evidence.md</x:v>
      </x:c>
      <x:c r="E256" s="3" t="str">
        <x:v>Root cause unconfirmed; no captured warning/error</x:v>
      </x:c>
      <x:c r="F256" s="3" t="str">
        <x:v>Returned to sign-in, then Brave. No auth changes.</x:v>
      </x:c>
      <x:c r="G256" s="3"/>
      <x:c r="H256" s="3"/>
      <x:c r="I256" s="3"/>
      <x:c r="J256" s="3"/>
      <x:c r="K256" s="3"/>
      <x:c r="L256" s="3"/>
    </x:row>
    <x:row r="257" ht="42" customHeight="1">
      <x:c r="A257" s="3" t="str">
        <x:v>B-03</x:v>
      </x:c>
      <x:c r="B257" s="3" t="str">
        <x:v>Setup blocker</x:v>
      </x:c>
      <x:c r="C257" s="3" t="str">
        <x:v>Custody composition/Chain config/inactive custody root absent</x:v>
      </x:c>
      <x:c r="D257" s="3" t="str">
        <x:v>mint-readiness-evidence.md</x:v>
      </x:c>
      <x:c r="E257" s="3" t="str">
        <x:v>Funds alone cannot make mint ready</x:v>
      </x:c>
      <x:c r="F257" s="3" t="str">
        <x:v>Protect/decrypt registration does not establish custody readiness.</x:v>
      </x:c>
      <x:c r="G257" s="3"/>
      <x:c r="H257" s="3"/>
      <x:c r="I257" s="3"/>
      <x:c r="J257" s="3"/>
      <x:c r="K257" s="3"/>
      <x:c r="L257" s="3"/>
    </x:row>
    <x:row r="258" ht="112.5" customHeight="1">
      <x:c r="A258" s="3" t="str">
        <x:v>E-033</x:v>
      </x:c>
      <x:c r="B258" s="3" t="str">
        <x:v>Independent restart and Brave GUI proof</x:v>
      </x:c>
      <x:c r="C258" s="3" t="str">
        <x:v>Existing Runtime start; Home parity; icons; launcher; Search defect</x:v>
      </x:c>
      <x:c r="D258" s="3" t="str">
        <x:v>Local evidence (held privately): 033-home-search-before.txt</x:v>
      </x:c>
      <x:c r="E258" s="3" t="str">
        <x:v>Installed bd61484c/tree93dd0baf; Brave on localhost:61380</x:v>
      </x:c>
      <x:c r="F258" s="3" t="str">
        <x:v>Restart PID3788 existing/HTTP200. Home SHA256 541631d3e4f67efae7da19251e4408f285f45b22b37ef41f06fb7b473caa6e55. Browser config unchanged. Screenshots and actions in current audit task. User state preserved.</x:v>
      </x:c>
      <x:c r="G258" s="3"/>
      <x:c r="H258" s="3"/>
      <x:c r="I258" s="3"/>
      <x:c r="J258" s="3"/>
      <x:c r="K258" s="3"/>
      <x:c r="L258" s="3"/>
    </x:row>
    <x:row r="259" ht="112.5" customHeight="1">
      <x:c r="A259" s="3" t="str">
        <x:v>E-034</x:v>
      </x:c>
      <x:c r="B259" s="3" t="str">
        <x:v>Independent Assistant GUI failure</x:v>
      </x:c>
      <x:c r="C259" s="3" t="str">
        <x:v>Assistant loading remains stuck; mode result excluded after targeting-tool correction</x:v>
      </x:c>
      <x:c r="D259" s="3" t="str">
        <x:v>Local evidence (held privately): 034-assistant-before.txt</x:v>
      </x:c>
      <x:c r="E259" s="3" t="str">
        <x:v>Brave; installed bd61484c; localhost:61380</x:v>
      </x:c>
      <x:c r="F259" s="3" t="str">
        <x:v>postMessage invalid target origin null aborts Clipboard startup before offers/workspace load. Prompt, sessions and user Clipboard remain unchanged.</x:v>
      </x:c>
      <x:c r="G259" s="3"/>
      <x:c r="H259" s="3"/>
      <x:c r="I259" s="3"/>
      <x:c r="J259" s="3"/>
      <x:c r="K259" s="3"/>
      <x:c r="L259" s="3"/>
    </x:row>
    <x:row r="260" ht="112.5" customHeight="1">
      <x:c r="A260" s="3" t="str">
        <x:v>E-035</x:v>
      </x:c>
      <x:c r="B260" s="3" t="str">
        <x:v>People read-only and unverified text-entry test</x:v>
      </x:c>
      <x:c r="C260" s="3" t="str">
        <x:v>Existing Profile and empty contacts; original name preserved</x:v>
      </x:c>
      <x:c r="D260" s="3" t="str">
        <x:v>Local evidence (held privately): 035-people-draft.txt</x:v>
      </x:c>
      <x:c r="E260" s="3" t="str">
        <x:v>Brave; installed bd61484c; existing Profile</x:v>
      </x:c>
      <x:c r="F260" s="3" t="str">
        <x:v>Field enabled/readOnly=false. Two fill attempts returned unchanged DOM value; this is not a confirmed product failure. Save was never submitted. First-Profile prefill remains untested.</x:v>
      </x:c>
      <x:c r="G260" s="3"/>
      <x:c r="H260" s="3"/>
      <x:c r="I260" s="3"/>
      <x:c r="J260" s="3"/>
      <x:c r="K260" s="3"/>
      <x:c r="L260" s="3"/>
    </x:row>
    <x:row r="261" ht="112.5" customHeight="1">
      <x:c r="A261" s="3" t="str">
        <x:v>E-036</x:v>
      </x:c>
      <x:c r="B261" s="3" t="str">
        <x:v>Independent installed artifact verification</x:v>
      </x:c>
      <x:c r="C261" s="3" t="str">
        <x:v>Reviewed 2e9644d2 source, built Runtime, installation and served UI match</x:v>
      </x:c>
      <x:c r="D261" s="3" t="str">
        <x:v>Local evidence (held privately): 036-independent-installed-proof.json</x:v>
      </x:c>
      <x:c r="E261" s="3" t="str">
        <x:v>Clean source 2e9644d2/tree25b772bc; localhost:61380</x:v>
      </x:c>
      <x:c r="F261" s="3" t="str">
        <x:v>verify-install.mjs exits 0. Runtime 8ad0360f4b85da8a721cdbaa0f173c18fddc4502b61a499193eff403803c3f06; exact Browser config preserved; strict init restart PID62684, HTTP200; remote 0 behind/10 ahead.</x:v>
      </x:c>
      <x:c r="G261" s="3"/>
      <x:c r="H261" s="3"/>
      <x:c r="I261" s="3"/>
      <x:c r="J261" s="3"/>
      <x:c r="K261" s="3"/>
      <x:c r="L261" s="3"/>
    </x:row>
    <x:row r="262" ht="112.5" customHeight="1">
      <x:c r="A262" s="3" t="str">
        <x:v>E-037</x:v>
      </x:c>
      <x:c r="B262" s="3" t="str">
        <x:v>Independent Brave repair verification</x:v>
      </x:c>
      <x:c r="C262" s="3" t="str">
        <x:v>Search and Assistant startup pass; separate workspace-write failure found</x:v>
      </x:c>
      <x:c r="D262" s="3" t="str">
        <x:v>Local evidence (held privately): 037-brave-repair-verification.md</x:v>
      </x:c>
      <x:c r="E262" s="3" t="str">
        <x:v>Brave audit tab937255047; installed2e9644d2; original Home tab remains open</x:v>
      </x:c>
      <x:c r="F262" s="3" t="str">
        <x:v>F-15/F-16 verified. Chat/Build/Studio and correct disabled zero-offer controls observed. F-17 POST/PUT mismatch sent to Builder. No prompt/generation/Clipboard action submitted.</x:v>
      </x:c>
      <x:c r="G262" s="3"/>
      <x:c r="H262" s="3"/>
      <x:c r="I262" s="3"/>
      <x:c r="J262" s="3"/>
      <x:c r="K262" s="3"/>
      <x:c r="L262" s="3"/>
    </x:row>
    <x:row r="263" ht="112.5" customHeight="1">
      <x:c r="A263" s="36" t="str">
        <x:v>E-038</x:v>
      </x:c>
      <x:c r="B263" s="36" t="str">
        <x:v>Final independent installed parity</x:v>
      </x:c>
      <x:c r="C263" s="36" t="str">
        <x:v>Final03757c2b source, built Runtime, installed and served files match</x:v>
      </x:c>
      <x:c r="D263" s="36" t="str">
        <x:v>Local evidence (held privately): 038-independent-installed-proof.json</x:v>
      </x:c>
      <x:c r="E263" s="36" t="str">
        <x:v>Clean03757c2b/treee3200084; localhost61380; PID65350</x:v>
      </x:c>
      <x:c r="F263" s="36" t="str">
        <x:v>verify-install.mjs exit0. Runtime8ad0360f...; Assistantb8dc64b0...; Browser config exact79b62de6...; strict restart/HTTP200; source11ahead/0behind.</x:v>
      </x:c>
    </x:row>
    <x:row r="264" ht="112.5" customHeight="1">
      <x:c r="A264" s="36" t="str">
        <x:v>E-039</x:v>
      </x:c>
      <x:c r="B264" s="36" t="str">
        <x:v>Final independent Brave proof</x:v>
      </x:c>
      <x:c r="C264" s="36" t="str">
        <x:v>Workspace save/reopen passes; Chat restored; user tabs retained</x:v>
      </x:c>
      <x:c r="D264" s="36" t="str">
        <x:v>Local evidence (held privately): 039-final-brave-verification.md</x:v>
      </x:c>
      <x:c r="E264" s="36" t="str">
        <x:v>Final03757c2b; audit tab937255047; original tab937255045 remains</x:v>
      </x:c>
      <x:c r="F264" s="36" t="str">
        <x:v>F-17 verified by persisted Build mode after close/reopen. F-15/F-16 rechecked. All modes retain correct disabled zero-offer controls. 24tabs remain; zero audit app windows. Source gates and fresh divergence included.</x:v>
      </x:c>
    </x:row>
    <x:row r="265" ht="112.5" customHeight="1">
      <x:c r="A265" s="36" t="str">
        <x:v>E-040</x:v>
      </x:c>
      <x:c r="B265" s="36" t="str">
        <x:v>Read-only installed prerequisites</x:v>
      </x:c>
      <x:c r="C265" s="36" t="str">
        <x:v>Chain/custody readiness still gated; static proof limitations separated</x:v>
      </x:c>
      <x:c r="D265" s="36" t="str">
        <x:v>Local evidence (held privately): 040-installed-prerequisites.md</x:v>
      </x:c>
      <x:c r="E265" s="36" t="str">
        <x:v>Final03757c2b source-home/darwin-arm64/Home role</x:v>
      </x:c>
      <x:c r="F265" s="36" t="str">
        <x:v>Static audit exit1, active proof=false, chain_config=false, custody_composition=false. Source artifact lookup misses shared target; Kubo helper skips binary verification because manifest uses archive checksum. No live financial actions.</x:v>
      </x:c>
    </x:row>
    <x:row r="266" ht="112.5" customHeight="1">
      <x:c r="A266" s="36" t="str">
        <x:v>E-041</x:v>
      </x:c>
      <x:c r="B266" s="36" t="str">
        <x:v>Fresh remote author review</x:v>
      </x:c>
      <x:c r="C266" s="36" t="str">
        <x:v>Fresh remote and closed-PR checks; applicable historical omissions adapted</x:v>
      </x:c>
      <x:c r="D266" s="36" t="str">
        <x:v>Local evidence (held privately): 041-irzhy-remote-review.md</x:v>
      </x:c>
      <x:c r="E266" s="36" t="str">
        <x:v>Candidate dc0f5e46 vs origin9b82e5f0;23ahead/0behind; installed03757c2b</x:v>
      </x:c>
      <x:c r="F266" s="36" t="str">
        <x:v>Remote and closed PR8 source checks complete. F-20 socket safety/F-21 deterministic tests adapted with independent passing tests. All four current host-platform verification tests also pass. Separate legacy feature/migration work remains classified.</x:v>
      </x:c>
    </x:row>
    <x:row r="267" ht="112.5" customHeight="1">
      <x:c r="A267" s="36" t="str">
        <x:v>E-042</x:v>
      </x:c>
      <x:c r="B267" s="36" t="str">
        <x:v>Installed Home menu failure</x:v>
      </x:c>
      <x:c r="C267" s="36" t="str">
        <x:v>About and Shortcuts handlers have no matching panels</x:v>
      </x:c>
      <x:c r="D267" s="36" t="str">
        <x:v>Local evidence (held privately): 042-home-menu.md</x:v>
      </x:c>
      <x:c r="E267" s="36" t="str">
        <x:v>Brave audit tab937255047; installed03757c2b</x:v>
      </x:c>
      <x:c r="F267" s="36" t="str">
        <x:v>Settled DOM/screenshot after each menu click has no named dialog; source template lacks both IDs. System Settings opens correctly.</x:v>
      </x:c>
    </x:row>
    <x:row r="268" ht="112.5" customHeight="1">
      <x:c r="A268" s="36" t="str">
        <x:v>E-043</x:v>
      </x:c>
      <x:c r="B268" s="36" t="str">
        <x:v>System section audit</x:v>
      </x:c>
      <x:c r="C268" s="36" t="str">
        <x:v>All sections and current policy/appearance/catalog/version facts inspected</x:v>
      </x:c>
      <x:c r="D268" s="36" t="str">
        <x:v>Local evidence (held privately): 043-system.md</x:v>
      </x:c>
      <x:c r="E268" s="36" t="str">
        <x:v>Brave installed03757c2b; existing account</x:v>
      </x:c>
      <x:c r="F268" s="36" t="str">
        <x:v>Current policy/identity/appearance unchanged; nested text input remained empty. Recovery and account mutations require separate controlled fixtures.</x:v>
      </x:c>
    </x:row>
    <x:row r="269" ht="112.5" customHeight="1">
      <x:c r="A269" s="36" t="str">
        <x:v>E-044</x:v>
      </x:c>
      <x:c r="B269" s="36" t="str">
        <x:v>Library roots and view audit</x:v>
      </x:c>
      <x:c r="C269" s="36" t="str">
        <x:v>All roots inspected; Home-owned view commands work</x:v>
      </x:c>
      <x:c r="D269" s="36" t="str">
        <x:v>Local evidence (held privately): 044-library.md</x:v>
      </x:c>
      <x:c r="E269" s="36" t="str">
        <x:v>Brave installed03757c2b; existing private files untouched</x:v>
      </x:c>
      <x:c r="F269" s="36" t="str">
        <x:v>Nine roots, empty states, icon/details switch and menu inspection. Fixture-dependent operations tracked separately.</x:v>
      </x:c>
    </x:row>
    <x:row r="270" ht="112.5" customHeight="1">
      <x:c r="A270" s="36" t="str">
        <x:v>E-045</x:v>
      </x:c>
      <x:c r="B270" s="36" t="str">
        <x:v>Documents incremental-input failure</x:v>
      </x:c>
      <x:c r="C270" s="36" t="str">
        <x:v>Typing an incomplete heading stalls rendering</x:v>
      </x:c>
      <x:c r="D270" s="36" t="str">
        <x:v>Local evidence (held privately): 045-documents.md</x:v>
      </x:c>
      <x:c r="E270" s="36" t="str">
        <x:v>Brave installed03757c2b; disposable Audit20260830 draft</x:v>
      </x:c>
      <x:c r="F270" s="36" t="str">
        <x:v>Incomplete-heading stall reproduced in Brave and bounded source proof. Plain-text recovery, autosave, search, view modes, Find, Save as and Delete cancellation verified.</x:v>
      </x:c>
    </x:row>
    <x:row r="271" ht="112.5" customHeight="1">
      <x:c r="A271" s="36" t="str">
        <x:v>E-046</x:v>
      </x:c>
      <x:c r="B271" s="36" t="str">
        <x:v>People, Chat and Inbox journey audit</x:v>
      </x:c>
      <x:c r="C271" s="36" t="str">
        <x:v>Read-only identity, communication and request-state checks</x:v>
      </x:c>
      <x:c r="D271" s="36" t="str">
        <x:v>Local evidence (held privately): 046-people-chat-inbox.md</x:v>
      </x:c>
      <x:c r="E271" s="36" t="str">
        <x:v>Brave installed03757c2b; existing Profile preserved</x:v>
      </x:c>
      <x:c r="F271" s="36" t="str">
        <x:v>No public Profile edit, message, invitation, contact approval or financial request dispatch.</x:v>
      </x:c>
    </x:row>
    <x:row r="272" ht="112.5" customHeight="1">
      <x:c r="A272" s="36" t="str">
        <x:v>E-047</x:v>
      </x:c>
      <x:c r="B272" s="36" t="str">
        <x:v>Wallet and connector preview audit</x:v>
      </x:c>
      <x:c r="C272" s="36" t="str">
        <x:v>Zero-account overview, privacy, currency, create/import cancellation and connector previews</x:v>
      </x:c>
      <x:c r="D272" s="36" t="str">
        <x:v>Local evidence (held privately): 047-wallet.md</x:v>
      </x:c>
      <x:c r="E272" s="36" t="str">
        <x:v>Brave installed03757c2b; zero accounts preserved</x:v>
      </x:c>
      <x:c r="F272" s="36" t="str">
        <x:v>No key, account creation, extension permission, signature or financial action. BTC currency and visible balances restored.</x:v>
      </x:c>
    </x:row>
    <x:row r="273" ht="112.5" customHeight="1">
      <x:c r="A273" s="36" t="str">
        <x:v>E-048</x:v>
      </x:c>
      <x:c r="B273" s="36" t="str">
        <x:v>Services inventory and restoration record</x:v>
      </x:c>
      <x:c r="C273" s="36" t="str">
        <x:v>Local/remote empty state; immediate sharing behavior and verified restoration</x:v>
      </x:c>
      <x:c r="D273" s="36" t="str">
        <x:v>Local evidence (held privately): 048-services.md</x:v>
      </x:c>
      <x:c r="E273" s="36" t="str">
        <x:v>Brave installed03757c2b; final zero shared/subscribed</x:v>
      </x:c>
      <x:c r="F273" s="36" t="str">
        <x:v>Browser Engine briefly enabled by preview-intended click, then restored through Stop sharing confirmation. No peer grant approved; Exit remained private.</x:v>
      </x:c>
    </x:row>
    <x:row r="274" ht="112.5" customHeight="1">
      <x:c r="A274" s="36" t="str">
        <x:v>E-049</x:v>
      </x:c>
      <x:c r="B274" s="36" t="str">
        <x:v>Marketplace catalog audit</x:v>
      </x:c>
      <x:c r="C274" s="36" t="str">
        <x:v>Category, search, details and Media empty-state checks</x:v>
      </x:c>
      <x:c r="D274" s="36" t="str">
        <x:v>Local evidence (held privately): 049-marketplace.md</x:v>
      </x:c>
      <x:c r="E274" s="36" t="str">
        <x:v>Brave installed03757c2b; no purchases or content publication</x:v>
      </x:c>
      <x:c r="F274" s="36" t="str">
        <x:v>F-31 unnamed search; F-32 undeclared capabilities rendered as supported. Media empty state remains separate from app catalog.</x:v>
      </x:c>
    </x:row>
    <x:row r="275" ht="112.5" customHeight="1">
      <x:c r="A275" s="36" t="str">
        <x:v>E-050</x:v>
      </x:c>
      <x:c r="B275" s="36" t="str">
        <x:v>Player and Archive journey audit</x:v>
      </x:c>
      <x:c r="C275" s="36" t="str">
        <x:v>Viewer empty state and bounded archive controls</x:v>
      </x:c>
      <x:c r="D275" s="36" t="str">
        <x:v>Local evidence (held privately): 050-viewers.md</x:v>
      </x:c>
      <x:c r="E275" s="36" t="str">
        <x:v>Brave installed03757c2b; controlled fixtures only</x:v>
      </x:c>
      <x:c r="F275" s="36" t="str">
        <x:v>Player launch has no content selection; real protected playback prerequisites remain unmet.</x:v>
      </x:c>
    </x:row>
    <x:row r="276" ht="112.5" customHeight="1">
      <x:c r="A276" s="36" t="str">
        <x:v>E-051</x:v>
      </x:c>
      <x:c r="B276" s="36" t="str">
        <x:v>Manual Brave + source</x:v>
      </x:c>
      <x:c r="C276" s="36" t="str">
        <x:v>Library audit-only rename, recoverable Trash, cancel final deletion, restore, and copy/paste. Desktop file/shortcut rename previews cancelled; existing layout unchanged.</x:v>
      </x:c>
      <x:c r="D276" s="36" t="str">
        <x:v>Local evidence (held privately): 051-library-lifecycle.md</x:v>
      </x:c>
      <x:c r="E276" s="36" t="str">
        <x:v>LIB-09/LIB-22/F-22/F-38</x:v>
      </x:c>
      <x:c r="F276" s="36" t="str">
        <x:v>User content preserved; only disposable copy moved and restored.</x:v>
      </x:c>
    </x:row>
    <x:row r="277" ht="112.5" customHeight="1">
      <x:c r="A277" s="36" t="str">
        <x:v>E-052</x:v>
      </x:c>
      <x:c r="B277" s="36" t="str">
        <x:v>Manual Brave + source</x:v>
      </x:c>
      <x:c r="C277" s="36" t="str">
        <x:v>Nonogram launch, emulator control focus, state-slot and lifecycle proof.</x:v>
      </x:c>
      <x:c r="D277" s="36" t="str">
        <x:v>Local evidence (held privately): 052-games.md</x:v>
      </x:c>
      <x:c r="E277" s="36" t="str">
        <x:v>GBA/NONOGRAM/UCITY</x:v>
      </x:c>
      <x:c r="F277" s="36" t="str">
        <x:v>Only initially empty Slot3 selected for audit; Slots1/2 preserved.</x:v>
      </x:c>
    </x:row>
    <x:row r="278" ht="112.5" customHeight="1">
      <x:c r="A278" s="36" t="str">
        <x:v>E-053</x:v>
      </x:c>
      <x:c r="B278" s="36" t="str">
        <x:v>Manual Brave + source</x:v>
      </x:c>
      <x:c r="C278" s="36" t="str">
        <x:v>Browser live MicroVM page-open, settings and cancelled native reset-preview recovery.</x:v>
      </x:c>
      <x:c r="D278" s="36" t="str">
        <x:v>Local evidence (held privately): 053-browser.md</x:v>
      </x:c>
      <x:c r="E278" s="36" t="str">
        <x:v>BROWSER-01/03/09/10</x:v>
      </x:c>
      <x:c r="F278" s="36" t="str">
        <x:v>Original23tabs preserved; no profile-reset accept action.</x:v>
      </x:c>
    </x:row>
    <x:row r="279" ht="112.5" customHeight="1">
      <x:c r="A279" s="36" t="str">
        <x:v>E-054</x:v>
      </x:c>
      <x:c r="B279" s="36" t="str">
        <x:v>Manual Brave + installed/source proof</x:v>
      </x:c>
      <x:c r="C279" s="36" t="str">
        <x:v>Assistant starter/search, System search/shell and provider-manifest checks.</x:v>
      </x:c>
      <x:c r="D279" s="36" t="str">
        <x:v>Local evidence (held privately): 054-final-safe-journeys.md</x:v>
      </x:c>
      <x:c r="E279" s="36" t="str">
        <x:v>AI-01/12; SYS-01; CLI; MODEL/DEP</x:v>
      </x:c>
      <x:c r="F279" s="36" t="str">
        <x:v>Draft starter cleared, Chat restored. Identity and provider configs preserved.</x:v>
      </x:c>
    </x:row>
    <x:row r="280" ht="112.5" customHeight="1">
      <x:c r="A280" s="36" t="str">
        <x:v>E-055</x:v>
      </x:c>
      <x:c r="B280" s="36" t="str">
        <x:v>Independent installed artifact proof</x:v>
      </x:c>
      <x:c r="C280" s="36" t="str">
        <x:v>dc0f5e46 Runtime and ten served UI files match reviewed source</x:v>
      </x:c>
      <x:c r="D280" s="36" t="str">
        <x:v>Local evidence (held privately): 055-independent-installed-proof.json</x:v>
      </x:c>
      <x:c r="E280" s="36" t="str">
        <x:v>localhost61380 PID99337; source tree0db3deff; Runtime8808fd63</x:v>
      </x:c>
      <x:c r="F280" s="36" t="str">
        <x:v>Strict init receipt, components/capsule receipt binding, Browser configuration preserved. Product GUI acceptance recorded separately.</x:v>
      </x:c>
    </x:row>
    <x:row r="281" ht="112.5" customHeight="1">
      <x:c r="A281" s="36" t="str">
        <x:v>E-056</x:v>
      </x:c>
      <x:c r="B281" s="36" t="str">
        <x:v>Installed Brave repair retest</x:v>
      </x:c>
      <x:c r="C281" s="36" t="str">
        <x:v>F-18 panels verified; F-44 recovery partly works but startup still fails</x:v>
      </x:c>
      <x:c r="D281" s="36" t="str">
        <x:v>Local evidence (held privately): 056-installed-repair-retest.md</x:v>
      </x:c>
      <x:c r="E281" s="36" t="str">
        <x:v>Installed dc0f5e46; audit049 only</x:v>
      </x:c>
      <x:c r="F281" s="36" t="str">
        <x:v>Desktop restored with one reload. Shell manifest fixture mismatch sent to Builder. Other repair retests continuing.</x:v>
      </x:c>
    </x:row>
    <x:row r="282" ht="112.5" customHeight="1">
      <x:c r="A282" s="36" t="str">
        <x:v>E-057</x:v>
      </x:c>
      <x:c r="B282" s="36" t="str">
        <x:v>Independent Runtime follow-up proof</x:v>
      </x:c>
      <x:c r="C282" s="36" t="str">
        <x:v>6edc667b installed and serving with matched Runtime and unchanged UI assets</x:v>
      </x:c>
      <x:c r="D282" s="36" t="str">
        <x:v>Local evidence (held privately): 057-independent-installed-proof.json</x:v>
      </x:c>
      <x:c r="E282" s="36" t="str">
        <x:v>localhost61380 PID1000; Runtime9904c73b</x:v>
      </x:c>
      <x:c r="F282" s="36" t="str">
        <x:v>Checks restart Runtime hash and actual listener PID as well as source/build/install/served parity.</x:v>
      </x:c>
    </x:row>
    <x:row r="283" ht="112.5" customHeight="1">
      <x:c r="A283" s="36" t="str">
        <x:v>E-058</x:v>
      </x:c>
      <x:c r="B283" s="36" t="str">
        <x:v>Terminal live follow-up</x:v>
      </x:c>
      <x:c r="C283" s="36" t="str">
        <x:v>Child bootstrap works; direct switch and session facts still fail</x:v>
      </x:c>
      <x:c r="D283" s="36" t="str">
        <x:v>Local evidence (held privately): 058-terminal-follow-up.md</x:v>
      </x:c>
      <x:c r="E283" s="36" t="str">
        <x:v>Installed6edc667b, audit049</x:v>
      </x:c>
      <x:c r="F283" s="36" t="str">
        <x:v>F44 common switch blank persists. F47 context mismatch found in read-only Terminal navigation.</x:v>
      </x:c>
    </x:row>
    <x:row r="284" ht="112.5" customHeight="1">
      <x:c r="A284" s="36" t="str">
        <x:v>E-059</x:v>
      </x:c>
      <x:c r="B284" s="36" t="str">
        <x:v>Library installed safety retest</x:v>
      </x:c>
      <x:c r="C284" s="36" t="str">
        <x:v>Toolbar keyboard, corrected-name retry and collision preservation checks</x:v>
      </x:c>
      <x:c r="D284" s="36" t="str">
        <x:v>Local evidence (held privately): 059-library-safety-retest.md</x:v>
      </x:c>
      <x:c r="E284" s="36" t="str">
        <x:v>Installed6edc667b, audit049, named audit fixtures only</x:v>
      </x:c>
      <x:c r="F284" s="36" t="str">
        <x:v>F24 native toolbar ownership passes. F25 retry/feedback and F26 collision results recorded individually; F48 unnamed input fields logged.</x:v>
      </x:c>
    </x:row>
    <x:row r="285" ht="112.5" customHeight="1">
      <x:c r="A285" s="36" t="str">
        <x:v>E-060</x:v>
      </x:c>
      <x:c r="B285" s="36" t="str">
        <x:v>Browser live navigation and reopen</x:v>
      </x:c>
      <x:c r="C285" s="36" t="str">
        <x:v>Page frames arrive but navigation health fails and next app reopen fails</x:v>
      </x:c>
      <x:c r="D285" s="36" t="str">
        <x:v>Local evidence (held privately): 060-browser-reopen.md</x:v>
      </x:c>
      <x:c r="E285" s="36" t="str">
        <x:v>Installed6edc667b, audit049 only</x:v>
      </x:c>
      <x:c r="F285" s="36" t="str">
        <x:v>F43 remains open; Browser profile and original tabs preserved. F20 private-root checks pass.</x:v>
      </x:c>
    </x:row>
    <x:row r="286" ht="112.5" customHeight="1">
      <x:c r="A286" s="36" t="str">
        <x:v>E-061</x:v>
      </x:c>
      <x:c r="B286" s="36" t="str">
        <x:v>Home and System safe-path completion</x:v>
      </x:c>
      <x:c r="C286" s="36" t="str">
        <x:v>Home menu, catalog launch, and absent document-search integration</x:v>
      </x:c>
      <x:c r="D286" s="36" t="str">
        <x:v>Local evidence (held privately): 061-home-safe-paths.md</x:v>
      </x:c>
      <x:c r="E286" s="36" t="str">
        <x:v>Installed6edc667b, Brave audit049, no account changes</x:v>
      </x:c>
      <x:c r="F286" s="36" t="str">
        <x:v>GUI08/SYS11 safe paths complete; F49 document Search gap logged separately.</x:v>
      </x:c>
    </x:row>
    <x:row r="287" ht="112.5" customHeight="1">
      <x:c r="A287" s="36" t="str">
        <x:v>E-062</x:v>
      </x:c>
      <x:c r="B287" s="36" t="str">
        <x:v>Documents context-menu safety test</x:v>
      </x:c>
      <x:c r="C287" s="36" t="str">
        <x:v>Duplicate silently loses the selected document target</x:v>
      </x:c>
      <x:c r="D287" s="36" t="str">
        <x:v>Local evidence (held privately): 062-documents-context.md</x:v>
      </x:c>
      <x:c r="E287" s="36" t="str">
        <x:v>Installed6edc667b, audit au.md only</x:v>
      </x:c>
      <x:c r="F287" s="36" t="str">
        <x:v>F50 reproduced without publication or deletion; no duplicate created.</x:v>
      </x:c>
    </x:row>
    <x:row r="288" ht="112.5" customHeight="1">
      <x:c r="A288" s="36" t="str">
        <x:v>E-063</x:v>
      </x:c>
      <x:c r="B288" s="36" t="str">
        <x:v>Documents dirty close/reopen</x:v>
      </x:c>
      <x:c r="C288" s="36" t="str">
        <x:v>Unsaved audit-copy edit lost on normal Home Close</x:v>
      </x:c>
      <x:c r="D288" s="36" t="str">
        <x:v>Local evidence (held privately): 063-documents-dirty-close.md</x:v>
      </x:c>
      <x:c r="E288" s="36" t="str">
        <x:v>Installed6edc667b, audit copy au-2.md only</x:v>
      </x:c>
      <x:c r="F288" s="36" t="str">
        <x:v>Only intentionally disposable X was lost; saved originals preserved. F51 sent to Builder.</x:v>
      </x:c>
    </x:row>
    <x:row r="289" ht="112.5" customHeight="1">
      <x:c r="A289" s="36" t="str">
        <x:v>E-064</x:v>
      </x:c>
      <x:c r="B289" s="36" t="str">
        <x:v>Foreground timing-control retests</x:v>
      </x:c>
      <x:c r="C289" s="36" t="str">
        <x:v>Both shell transition directions remain blank with audit tab selected</x:v>
      </x:c>
      <x:c r="D289" s="36" t="str">
        <x:v>Local evidence (held privately): 064-foreground-retest.md</x:v>
      </x:c>
      <x:c r="E289" s="36" t="str">
        <x:v>Installed6edc667b, audit049 foreground via native Brave UI</x:v>
      </x:c>
      <x:c r="F289" s="36" t="str">
        <x:v>Background throttling ruled out for F44; Browser and dirty-close retests continue.</x:v>
      </x:c>
    </x:row>
    <x:row r="290" ht="112.5" customHeight="1">
      <x:c r="A290" s="36" t="str">
        <x:v>E-065</x:v>
      </x:c>
      <x:c r="B290" s="36" t="str">
        <x:v>Independent F47 source proof</x:v>
      </x:c>
      <x:c r="C290" s="36" t="str">
        <x:v>Seven focused authority/snapshot/native-route tests pass on clean480810fe</x:v>
      </x:c>
      <x:c r="D290" s="36" t="str">
        <x:v>Local evidence (held privately): 065-f47-independent-source-proof.md</x:v>
      </x:c>
      <x:c r="E290" s="36" t="str">
        <x:v>Source480810fe/tree f3d75edf, existinginstallation still6edc667b</x:v>
      </x:c>
      <x:c r="F290" s="36" t="str">
        <x:v>Temporary testRuntime exited; alluserstate preserved. Runtime/object-provider build and liveproof pending.</x:v>
      </x:c>
    </x:row>
    <x:row r="291" ht="112.5" customHeight="1">
      <x:c r="A291" s="36" t="str">
        <x:v>E-066</x:v>
      </x:c>
      <x:c r="B291" s="36" t="str">
        <x:v>Independent installed binary and served-asset parity</x:v>
      </x:c>
      <x:c r="C291" s="36" t="str">
        <x:v>480810fe Runtime and separate object-provider installed with strict restart, hashes and manifests verified</x:v>
      </x:c>
      <x:c r="D291" s="36" t="str">
        <x:v>Local evidence (held privately): 066-independent-installed-proof.json</x:v>
      </x:c>
      <x:c r="E291" s="36" t="str">
        <x:v>Existingstable61380installation, RuntimePID6252, object-providerPID6279</x:v>
      </x:c>
      <x:c r="F291" s="36" t="str">
        <x:v>OldPID1000/1031exited. Runtime/object binaries and one manifest entry changed; receipt minted by audited installer. FourBrowserconfig/helper hashes preserved. Originalrollbackextendedcoherently.</x:v>
      </x:c>
    </x:row>
    <x:row r="292" ht="112.5" customHeight="1">
      <x:c r="A292" s="36" t="str">
        <x:v>E-067</x:v>
      </x:c>
      <x:c r="B292" s="36" t="str">
        <x:v>Installed F26/F47 Brave verification</x:v>
      </x:c>
      <x:c r="C292" s="36" t="str">
        <x:v>Create-only collision and successful retry preserve original audit bytes; Terminal context retest</x:v>
      </x:c>
      <x:c r="D292" s="36" t="str">
        <x:v>Local evidence (held privately): 067-installed-f26-f47-retest.md</x:v>
      </x:c>
      <x:c r="E292" s="36" t="str">
        <x:v>Installed480810fe, foregroundaudittab049</x:v>
      </x:c>
      <x:c r="F292" s="36" t="str">
        <x:v>F26verified. F47liveTerminalstopsafteroneretry, sofixnotaccepted. Desktoprestored; onlynewempty audit-f26-verified.md created.</x:v>
      </x:c>
    </x:row>
    <x:row r="293" ht="112.5" customHeight="1">
      <x:c r="A293" s="36" t="str">
        <x:v>E-068</x:v>
      </x:c>
      <x:c r="B293" s="36" t="str">
        <x:v>Terminal startup diagnostic ownership</x:v>
      </x:c>
      <x:c r="C293" s="36" t="str">
        <x:v>Early PTY output lacks first-attach replay; generic recovery can hide the cause</x:v>
      </x:c>
      <x:c r="D293" s="36" t="str">
        <x:v>Local evidence (held privately): 068-terminal-startup-output.md</x:v>
      </x:c>
      <x:c r="E293" s="36" t="str">
        <x:v>Installed480810fe and corresponding source</x:v>
      </x:c>
      <x:c r="F293" s="36" t="str">
        <x:v>F-53 is separate from the F-47 cause. Builder's isolated fixture is not live failure proof.</x:v>
      </x:c>
    </x:row>
    <x:row r="294" ht="112.5" customHeight="1">
      <x:c r="A294" s="36" t="str">
        <x:v>E-069</x:v>
      </x:c>
      <x:c r="B294" s="36" t="str">
        <x:v>Independent source verification</x:v>
      </x:c>
      <x:c r="C294" s="36" t="str">
        <x:v>Real Home-owned issuer grant tests and existing authority guards</x:v>
      </x:c>
      <x:c r="D294" s="36" t="str">
        <x:v>Local evidence (held privately): 069-home-cli-issuer-source-proof.md</x:v>
      </x:c>
      <x:c r="E294" s="36" t="str">
        <x:v>961bc323, tree 1fab165a; ten focused tests and four hygiene gates</x:v>
      </x:c>
      <x:c r="F294" s="36" t="str">
        <x:v>Source proof is separate from live acceptance.</x:v>
      </x:c>
    </x:row>
    <x:row r="295" ht="112.5" customHeight="1">
      <x:c r="A295" s="36" t="str">
        <x:v>E-070</x:v>
      </x:c>
      <x:c r="B295" s="36" t="str">
        <x:v>Independent installed artifact proof</x:v>
      </x:c>
      <x:c r="C295" s="36" t="str">
        <x:v>Runtime-only install with exact receipts and unchanged object-provider/UI/configuration</x:v>
      </x:c>
      <x:c r="D295" s="36" t="str">
        <x:v>Local evidence (held privately): 070-independent-installed-proof.json</x:v>
      </x:c>
      <x:c r="E295" s="36" t="str">
        <x:v>localhost:61380, PID 9144, Runtime 64615999, source 961bc323</x:v>
      </x:c>
      <x:c r="F295" s="36" t="str">
        <x:v>Old gateway 6252 and object-provider 6279 exited; owned Runtime child 6588 was separately terminated and verified gone. Original coherent rollback retained.</x:v>
      </x:c>
    </x:row>
    <x:row r="296" ht="112.5" customHeight="1">
      <x:c r="A296" s="36" t="str">
        <x:v>E-071</x:v>
      </x:c>
      <x:c r="B296" s="36" t="str">
        <x:v>Independent Brave live verification</x:v>
      </x:c>
      <x:c r="C296" s="36" t="str">
        <x:v>Terminal Profile, Inbox and System context now matches Desktop</x:v>
      </x:c>
      <x:c r="D296" s="36" t="str">
        <x:v>Local evidence (held privately): 071-terminal-context-live-proof.md</x:v>
      </x:c>
      <x:c r="E296" s="36" t="str">
        <x:v>Installed 961bc323, foreground audit tab 937255049</x:v>
      </x:c>
      <x:c r="F296" s="36" t="str">
        <x:v>F-47 verified; F-44 direct transitions still need one audit-tab reload. All 23 original tabs and account data are preserved.</x:v>
      </x:c>
    </x:row>
    <x:row r="297" ht="112.5" customHeight="1">
      <x:c r="A297" s="36" t="str">
        <x:v>E-072</x:v>
      </x:c>
      <x:c r="B297" s="36" t="str">
        <x:v>Isolated source fixtures</x:v>
      </x:c>
      <x:c r="C297" s="36" t="str">
        <x:v>Advanced help, website intent and privileged invocation boundaries</x:v>
      </x:c>
      <x:c r="D297" s="36" t="str">
        <x:v>Local evidence (held privately): 072-terminal-help-fixtures.md</x:v>
      </x:c>
      <x:c r="E297" s="36" t="str">
        <x:v>Unchanged home-cli source at 961bc323; 14 passing tests</x:v>
      </x:c>
      <x:c r="F297" s="36" t="str">
        <x:v>Live advanced-command prerequisites remain explicit; no external action was dispatched.</x:v>
      </x:c>
    </x:row>
    <x:row r="298" ht="112.5" customHeight="1">
      <x:c r="A298" s="36" t="str">
        <x:v>E-073</x:v>
      </x:c>
      <x:c r="B298" s="36" t="str">
        <x:v>Foreground Browser input proof</x:v>
      </x:c>
      <x:c r="C298" s="36" t="str">
        <x:v>Single-line input and fullscreen pass; multiline ordering and editing modifiers fail</x:v>
      </x:c>
      <x:c r="D298" s="36" t="str">
        <x:v>Local evidence (held privately): 073-browser-input-proof.md</x:v>
      </x:c>
      <x:c r="E298" s="36" t="str">
        <x:v>Installed 961bc323, Selenium public test form, audit tab 937255049</x:v>
      </x:c>
      <x:c r="F298" s="36" t="str">
        <x:v>F-54 and F-55 logged. No Submit, upload, password, Wallet or host Clipboard action.</x:v>
      </x:c>
    </x:row>
    <x:row r="299" ht="112.5" customHeight="1">
      <x:c r="A299" s="36" t="str">
        <x:v>E-074</x:v>
      </x:c>
      <x:c r="B299" s="36" t="str">
        <x:v>Independent source verification</x:v>
      </x:c>
      <x:c r="C299" s="36" t="str">
        <x:v>Shell-switch stale summary, recovery and authority reset checks</x:v>
      </x:c>
      <x:c r="D299" s="36" t="str">
        <x:v>Local evidence (held privately): 074-shell-switch-source-proof.md</x:v>
      </x:c>
      <x:c r="E299" s="36" t="str">
        <x:v>0fe96d8c, tree 2fb3bb00; nine focused smokes and basic gates</x:v>
      </x:c>
      <x:c r="F299" s="36" t="str">
        <x:v>Exact clean-prefix build retains Runtime 64615999; source review and rollback extension recorded.</x:v>
      </x:c>
    </x:row>
    <x:row r="300" ht="112.5" customHeight="1">
      <x:c r="A300" s="36" t="str">
        <x:v>E-075</x:v>
      </x:c>
      <x:c r="B300" s="36" t="str">
        <x:v>Independent installed artifact verification</x:v>
      </x:c>
      <x:c r="C300" s="36" t="str">
        <x:v>Home host/core update with eighteen served asset comparisons</x:v>
      </x:c>
      <x:c r="D300" s="36" t="str">
        <x:v>Local evidence (held privately): 075-independent-installed-proof.json</x:v>
      </x:c>
      <x:c r="E300" s="36" t="str">
        <x:v>localhost:61380, PID 11728, source 0fe96d8c</x:v>
      </x:c>
      <x:c r="F300" s="36" t="str">
        <x:v>Old gateway 9144 and object-provider 9171 exited; owned Runtime child 9475 was terminated and verified gone. User state and Browser configuration remain intact.</x:v>
      </x:c>
    </x:row>
    <x:row r="301" ht="112.5" customHeight="1">
      <x:c r="A301" s="36" t="str">
        <x:v>E-076</x:v>
      </x:c>
      <x:c r="B301" s="36" t="str">
        <x:v>Independent installed Brave retest</x:v>
      </x:c>
      <x:c r="C301" s="36" t="str">
        <x:v>Direct shell transitions still fail after verified host update</x:v>
      </x:c>
      <x:c r="D301" s="36" t="str">
        <x:v>Local evidence (held privately): 076-shell-switch-live-retest.md</x:v>
      </x:c>
      <x:c r="E301" s="36" t="str">
        <x:v>Installed 0fe96d8c; visible selected audit tab; listener 11728</x:v>
      </x:c>
      <x:c r="F301" s="36" t="str">
        <x:v>Correct visible frame path and dimensions, empty child, hidden recovery; audit reload restores each shell.</x:v>
      </x:c>
    </x:row>
    <x:row r="302" ht="112.5" customHeight="1">
      <x:c r="A302" s="36" t="str">
        <x:v>E-077</x:v>
      </x:c>
      <x:c r="B302" s="36" t="str">
        <x:v>Foreground Browser cancellation proof</x:v>
      </x:c>
      <x:c r="C302" s="36" t="str">
        <x:v>Library file picker opens, cancels and reopens without transferring data</x:v>
      </x:c>
      <x:c r="D302" s="36" t="str">
        <x:v>Local evidence (held privately): 077-browser-file-picker-cancel.md</x:v>
      </x:c>
      <x:c r="E302" s="36" t="str">
        <x:v>Installed 0fe96d8c; Selenium public test form</x:v>
      </x:c>
      <x:c r="F302" s="36" t="str">
        <x:v>Positive file transfer remains unverified; original user state is preserved.</x:v>
      </x:c>
    </x:row>
    <x:row r="303" ht="112.5" customHeight="1">
      <x:c r="A303" s="36" t="str">
        <x:v>E-078</x:v>
      </x:c>
      <x:c r="B303" s="36" t="str">
        <x:v>Live prerequisite recheck</x:v>
      </x:c>
      <x:c r="C303" s="36" t="str">
        <x:v>Library text viewer precedence and usable recovered Desktop</x:v>
      </x:c>
      <x:c r="D303" s="36" t="str">
        <x:v>Local evidence (held privately): 078-library-preview-prerequisite-check.md</x:v>
      </x:c>
      <x:c r="E303" s="36" t="str">
        <x:v>Installed 0fe96d8c; audit files only</x:v>
      </x:c>
      <x:c r="F303" s="36" t="str">
        <x:v>No separate preview action for the available text fixtures. Preview and native transfer prerequisites remain explicit; stale shell-wide blockers corrected.</x:v>
      </x:c>
    </x:row>
    <x:row r="304" ht="112.5" customHeight="1">
      <x:c r="A304" s="36" t="str">
        <x:v>E-079</x:v>
      </x:c>
      <x:c r="B304" s="36" t="str">
        <x:v>Independent source verification</x:v>
      </x:c>
      <x:c r="C304" s="36" t="str">
        <x:v>Documents close handshake, autosave suspension and stale-context guards</x:v>
      </x:c>
      <x:c r="D304" s="36" t="str">
        <x:v>Local evidence (held privately): 079-documents-close-source-verification.md</x:v>
      </x:c>
      <x:c r="E304" s="36" t="str">
        <x:v>Clean c8f244cc; 35 tests plus behavior/regression/basic gates</x:v>
      </x:c>
      <x:c r="F304" s="36" t="str">
        <x:v>Optional layout script stopped before launch due to missing local dependency. Installed Brave modal verification remains required.</x:v>
      </x:c>
    </x:row>
    <x:row r="305" ht="112.5" customHeight="1">
      <x:c r="A305" s="36" t="str">
        <x:v>E-080</x:v>
      </x:c>
      <x:c r="B305" s="36" t="str">
        <x:v>Independent installed artifact verification</x:v>
      </x:c>
      <x:c r="C305" s="36" t="str">
        <x:v>Documents close update with eighteen served asset comparisons</x:v>
      </x:c>
      <x:c r="D305" s="36" t="str">
        <x:v>Local evidence (held privately): 080-independent-installed-proof.json</x:v>
      </x:c>
      <x:c r="E305" s="36" t="str">
        <x:v>localhost:61380, PID 14242, clean c8f244cc</x:v>
      </x:c>
      <x:c r="F305" s="36" t="str">
        <x:v>Old gateway 11728, object-provider 11755 and owned Runtime child 12123 exited before replacement. Receipt 4f80b2d7 binds the new UI prefix; user state and Browser configuration remain intact.</x:v>
      </x:c>
    </x:row>
    <x:row r="306" ht="112.5" customHeight="1">
      <x:c r="A306" s="36" t="str">
        <x:v>E-081</x:v>
      </x:c>
      <x:c r="B306" s="36" t="str">
        <x:v>Independent installed Brave regression</x:v>
      </x:c>
      <x:c r="C306" s="36" t="str">
        <x:v>Documents Save/Discard/Cancel pass; keyboard-focus defect recorded separately</x:v>
      </x:c>
      <x:c r="D306" s="36" t="str">
        <x:v>Local evidence (held privately): 081-documents-close-live-retest.md</x:v>
      </x:c>
      <x:c r="E306" s="36" t="str">
        <x:v>Installed c8f244cc; audit copy au-2.md only</x:v>
      </x:c>
      <x:c r="F306" s="36" t="str">
        <x:v>Discard held 21.456 seconds; Cancel resumes autosave; Save closes and persists the restored body. All original tabs preserved.</x:v>
      </x:c>
    </x:row>
    <x:row r="307" ht="112.5" customHeight="1">
      <x:c r="A307" s="36" t="str">
        <x:v>E-082</x:v>
      </x:c>
      <x:c r="B307" s="36" t="str">
        <x:v>Individual control reconciliation</x:v>
      </x:c>
      <x:c r="C307" s="36" t="str">
        <x:v>This Device and Library Up pass; prior proven control fixes applied</x:v>
      </x:c>
      <x:c r="D307" s="36" t="str">
        <x:v>Local evidence (held privately): 082-control-result-reconciliation.md</x:v>
      </x:c>
      <x:c r="E307" s="36" t="str">
        <x:v>Installed c8f244cc and retained E-056/E-059/E-062/E-081</x:v>
      </x:c>
      <x:c r="F307" s="36" t="str">
        <x:v>Historical observations remain cited; only directly supported outcomes replace stale statuses.</x:v>
      </x:c>
    </x:row>
    <x:row r="308" ht="112.5" customHeight="1">
      <x:c r="A308" s="36" t="str">
        <x:v>E-083</x:v>
      </x:c>
      <x:c r="B308" s="36" t="str">
        <x:v>Installed responsive-layout audit</x:v>
      </x:c>
      <x:c r="C308" s="36" t="str">
        <x:v>Home window move/resize works; compact Library metadata-header mismatch logged</x:v>
      </x:c>
      <x:c r="D308" s="36" t="str">
        <x:v>Local evidence (held privately): 083-library-narrow-layout.md</x:v>
      </x:c>
      <x:c r="E308" s="36" t="str">
        <x:v>Installed c8f244cc; one audit Library window</x:v>
      </x:c>
      <x:c r="F308" s="36" t="str">
        <x:v>Original window bounds and Details view restored, then app closed. Original browser tabs and files preserved.</x:v>
      </x:c>
    </x:row>
    <x:row r="309" ht="112.5" customHeight="1">
      <x:c r="A309" s="36" t="str">
        <x:v>E-084</x:v>
      </x:c>
      <x:c r="B309" s="36" t="str">
        <x:v>Installed foreground Browser navigation audit</x:v>
      </x:c>
      <x:c r="C309" s="36" t="str">
        <x:v>Official popup fixture navigation stalls before the popup link can be tested</x:v>
      </x:c>
      <x:c r="D309" s="36" t="str">
        <x:v>Local evidence (held privately): 084-browser-foreground-navigation.md</x:v>
      </x:c>
      <x:c r="E309" s="36" t="str">
        <x:v>Installed c8f244cc; selected visible Brave audit tab only</x:v>
      </x:c>
      <x:c r="F309" s="36" t="str">
        <x:v>Cold launch reached ela.city; next desired URL retained old frame and Opening for &gt;60 seconds. Normal Close worked. No popup, authorization or user state change.</x:v>
      </x:c>
    </x:row>
    <x:row r="310" ht="112.5" customHeight="1">
      <x:c r="A310" s="36" t="str">
        <x:v>E-085</x:v>
      </x:c>
      <x:c r="B310" s="36" t="str">
        <x:v>Independent source verification</x:v>
      </x:c>
      <x:c r="C310" s="36" t="str">
        <x:v>Terminal replay, ordered reconnect and retained fallback output pass isolated tests</x:v>
      </x:c>
      <x:c r="D310" s="36" t="str">
        <x:v>Local evidence (held privately): 085-terminal-replay-source.md</x:v>
      </x:c>
      <x:c r="E310" s="36" t="str">
        <x:v>Clean 56ae1aedd0157e70b7f578347e40b4507a07712b</x:v>
      </x:c>
      <x:c r="F310" s="36" t="str">
        <x:v>Six filtered Rust tests, two JavaScript smokes, all basic gates and actual release build pass. Negative fixture remains separate from live failure cause.</x:v>
      </x:c>
    </x:row>
    <x:row r="311" ht="112.5" customHeight="1">
      <x:c r="A311" s="36" t="str">
        <x:v>E-086</x:v>
      </x:c>
      <x:c r="B311" s="36" t="str">
        <x:v>Independent installed artifact proof</x:v>
      </x:c>
      <x:c r="C311" s="36" t="str">
        <x:v>Reviewed F53 Runtime and CLI renderer match source, installation and served UI</x:v>
      </x:c>
      <x:c r="D311" s="36" t="str">
        <x:v>Local evidence (held privately): 086-independent-installed-proof.json</x:v>
      </x:c>
      <x:c r="E311" s="36" t="str">
        <x:v>Clean 56ae1aed, tree e9cdb2e0; localhost:61380 PID16627</x:v>
      </x:c>
      <x:c r="F311" s="36" t="str">
        <x:v>Strict dry-run/init pass. Old gateway14242/object14269 stopped; exact managed child14647 was terminated and verified gone. HTTP200, Runtime/object and eighteen assets match. Browser/config/identity state preserved.</x:v>
      </x:c>
    </x:row>
    <x:row r="312" ht="112.5" customHeight="1">
      <x:c r="A312" s="36" t="str">
        <x:v>E-087</x:v>
      </x:c>
      <x:c r="B312" s="36" t="str">
        <x:v>Installed Brave retest</x:v>
      </x:c>
      <x:c r="C312" s="36" t="str">
        <x:v>Terminal positive context passes after reload; direct shell transitions still fail</x:v>
      </x:c>
      <x:c r="D312" s="36" t="str">
        <x:v>Local evidence (held privately): 087-terminal-installed-retest.md</x:v>
      </x:c>
      <x:c r="E312" s="36" t="str">
        <x:v>Installed 56ae1aed; audit Brave tab937255049</x:v>
      </x:c>
      <x:c r="F312" s="36" t="str">
        <x:v>Home/Inbox/People/help/refresh pass. Direct /home-cli/ and /home-gui/ remain blank; reload recovers. All original tabs and credentials preserved.</x:v>
      </x:c>
    </x:row>
    <x:row r="313" ht="112.5" customHeight="1">
      <x:c r="A313" s="36" t="str">
        <x:v>E-088</x:v>
      </x:c>
      <x:c r="B313" s="36" t="str">
        <x:v>Installed cross-surface read-only audit</x:v>
      </x:c>
      <x:c r="C313" s="36" t="str">
        <x:v>Terminal unavailable action disagrees with the same Desktop pending request</x:v>
      </x:c>
      <x:c r="D313" s="36" t="str">
        <x:v>Local evidence (held privately): 088-inbox-action-comparison.md</x:v>
      </x:c>
      <x:c r="E313" s="36" t="str">
        <x:v>Installed56ae1aed; same unchanged Wallet market-price request</x:v>
      </x:c>
      <x:c r="F313" s="36" t="str">
        <x:v>GUI Open/Approve/Reject only inspected; no action taken. Existing F29 missing rail also reproduces.</x:v>
      </x:c>
    </x:row>
    <x:row r="314" ht="112.5" customHeight="1">
      <x:c r="A314" s="36" t="str">
        <x:v>E-089</x:v>
      </x:c>
      <x:c r="B314" s="36" t="str">
        <x:v>Native Brave Network timing</x:v>
      </x:c>
      <x:c r="C314" s="36" t="str">
        <x:v>Direct shell transition document remains stalled before HTML transfer</x:v>
      </x:c>
      <x:c r="D314" s="36" t="str">
        <x:v>Local evidence (held privately): 089-shell-navigation-timing.md</x:v>
      </x:c>
      <x:c r="E314" s="36" t="str">
        <x:v>Installed56ae1aed, native Network UI in audit tab only</x:v>
      </x:c>
      <x:c r="F314" s="36" t="str">
        <x:v>Pending/zero bytes beyond144.627s; Timing Connection Start→Stalled. Root cause remains unconfirmed; cache/profile/throttling preserved.</x:v>
      </x:c>
    </x:row>
    <x:row r="315" ht="112.5" customHeight="1">
      <x:c r="A315" s="36" t="str">
        <x:v>E-090</x:v>
      </x:c>
      <x:c r="B315" s="36" t="str">
        <x:v>Independent source gate held</x:v>
      </x:c>
      <x:c r="C315" s="36" t="str">
        <x:v>F44 source checks expose a fallback smoke assertion that needs correction</x:v>
      </x:c>
      <x:c r="D315" s="36" t="str">
        <x:v>Local evidence (held privately): 090-shell-recovery-source.md</x:v>
      </x:c>
      <x:c r="E315" s="36" t="str">
        <x:v>Initial F44 a473bc0a slice; not installed</x:v>
      </x:c>
      <x:c r="F315" s="36" t="str">
        <x:v>Five smokes/basic gates/build pass; fallback smoke fails after new ready message. Builder must amend before installation. Existing56ae artifacts preserved.</x:v>
      </x:c>
    </x:row>
    <x:row r="316" ht="112.5" customHeight="1">
      <x:c r="A316" s="36" t="str">
        <x:v>E-091</x:v>
      </x:c>
      <x:c r="B316" s="36" t="str">
        <x:v>Independent amended source gate</x:v>
      </x:c>
      <x:c r="C316" s="36" t="str">
        <x:v>Amended F44 fallback assertion and all scoped checks pass</x:v>
      </x:c>
      <x:c r="D316" s="36" t="str">
        <x:v>Local evidence (held privately): 091-shell-recovery-amended-source.md</x:v>
      </x:c>
      <x:c r="E316" s="36" t="str">
        <x:v>Clean867bff6f, treec7fcad6d</x:v>
      </x:c>
      <x:c r="F316" s="36" t="str">
        <x:v>Six smokes/basic gates/actual release build pass. Source tests do not establish real connection disposal. Strict installation follows.</x:v>
      </x:c>
    </x:row>
    <x:row r="317" ht="112.5" customHeight="1">
      <x:c r="A317" s="36" t="str">
        <x:v>E-092</x:v>
      </x:c>
      <x:c r="B317" s="36" t="str">
        <x:v>Independent installed artifact proof</x:v>
      </x:c>
      <x:c r="C317" s="36" t="str">
        <x:v>Amended F44 shell files match source, installation and served UI</x:v>
      </x:c>
      <x:c r="D317" s="36" t="str">
        <x:v>Local evidence (held privately): 092-independent-installed-proof.json</x:v>
      </x:c>
      <x:c r="E317" s="36" t="str">
        <x:v>Clean867bff6f/c7fcad6d; localhost61380 PID20356</x:v>
      </x:c>
      <x:c r="F317" s="36" t="str">
        <x:v>Strict dry-run/init, HTTP200, Runtime/object and eighteen assets pass. Old gateway19662/object19689 and exact managed child17029 exited. No identity/config/profile changes.</x:v>
      </x:c>
    </x:row>
    <x:row r="318" ht="112.5" customHeight="1">
      <x:c r="A318" s="36" t="str">
        <x:v>E-093</x:v>
      </x:c>
      <x:c r="B318" s="36" t="str">
        <x:v>Installed Brave recovery retest</x:v>
      </x:c>
      <x:c r="C318" s="36" t="str">
        <x:v>Persistent recovery and Reload work; Desktop action fails exact origin validation</x:v>
      </x:c>
      <x:c r="D318" s="36" t="str">
        <x:v>Local evidence (held privately): 093-shell-installed-recovery.md</x:v>
      </x:c>
      <x:c r="E318" s="36" t="str">
        <x:v>Installed867bff6f; both direct shell transitions</x:v>
      </x:c>
      <x:c r="F318" s="36" t="str">
        <x:v>Normal switches still fail. Desktop recovery403 requires opaque capsule origin; actual Reload works without sign-out.</x:v>
      </x:c>
    </x:row>
    <x:row r="319" ht="112.5" customHeight="1">
      <x:c r="A319" s="36" t="str">
        <x:v>E-094</x:v>
      </x:c>
      <x:c r="B319" s="36" t="str">
        <x:v>Independent amended source gate</x:v>
      </x:c>
      <x:c r="C319" s="36" t="str">
        <x:v>Host-authority repair passes all seven smokes after fixture correction</x:v>
      </x:c>
      <x:c r="D319" s="36" t="str">
        <x:v>Local evidence (held privately): 094-host-authority-source.md</x:v>
      </x:c>
      <x:c r="E319" s="36" t="str">
        <x:v>Amended clean0018ef0d / 2a690b25;31 ahead/0 behind</x:v>
      </x:c>
      <x:c r="F319" s="36" t="str">
        <x:v>Initialc937 post-attach failure preserved. Corrected fixture refreshes host authority and asserts its exact use. Seven smokes, entropy, diff/fmt and actual release build pass.</x:v>
      </x:c>
    </x:row>
    <x:row r="320" ht="112.5" customHeight="1">
      <x:c r="A320" s="36" t="str">
        <x:v>E-095</x:v>
      </x:c>
      <x:c r="B320" s="36" t="str">
        <x:v>Independent installed artifact proof</x:v>
      </x:c>
      <x:c r="C320" s="36" t="str">
        <x:v>Home-host authority repair matches source, installed and served artifacts</x:v>
      </x:c>
      <x:c r="D320" s="36" t="str">
        <x:v>Local evidence (held privately): 095-independent-installed-proof.json</x:v>
      </x:c>
      <x:c r="E320" s="36" t="str">
        <x:v>Clean0018ef0d /2a690b25; localhost61380 PID22779</x:v>
      </x:c>
      <x:c r="F320" s="36" t="str">
        <x:v>Strict dry-run/init, Runtime/object verification,18UI assets and HTTP200 pass; old gateway20356/object20383/managedchild20705 exited. Identity/config/profile preserved.</x:v>
      </x:c>
    </x:row>
    <x:row r="321" ht="112.5" customHeight="1">
      <x:c r="A321" s="36" t="str">
        <x:v>E-096</x:v>
      </x:c>
      <x:c r="B321" s="36" t="str">
        <x:v>Installed Brave Home-host recovery</x:v>
      </x:c>
      <x:c r="C321" s="36" t="str">
        <x:v>Desktop recovery passes; direct transition and debugger-independent diagnostic remain open</x:v>
      </x:c>
      <x:c r="D321" s="36" t="str">
        <x:v>Local evidence (held privately): 096-shell-host-authority-live.md</x:v>
      </x:c>
      <x:c r="E321" s="36" t="str">
        <x:v>Installed0018ef0d; foreground audit tab</x:v>
      </x:c>
      <x:c r="F321" s="36" t="str">
        <x:v>ActualDesktop action restores signed-in GUI without403. DirectTerminal remains stalled. Native safe-detach path unavailable; debugger cause unproven. User settings preserved.</x:v>
      </x:c>
    </x:row>
    <x:row r="322" ht="112.5" customHeight="1">
      <x:c r="A322" s="36" t="str">
        <x:v>E-097</x:v>
      </x:c>
      <x:c r="B322" s="36" t="str">
        <x:v>Brave appearance controls</x:v>
      </x:c>
      <x:c r="C322" s="36" t="str">
        <x:v>Remaining accents, invalid color, Dock and contrast keyboard checks</x:v>
      </x:c>
      <x:c r="D322" s="36" t="str">
        <x:v>Local evidence (held privately): 097-appearance-controls.md</x:v>
      </x:c>
      <x:c r="E322" s="36" t="str">
        <x:v>Installed0018ef0d; existing Dark/Blue restored</x:v>
      </x:c>
      <x:c r="F322" s="36" t="str">
        <x:v>Eight named choices select; Custom invalid input silently reverts(F59). Auto-hide on/off and overlay55→60→55/off pass. No background/identity changes.</x:v>
      </x:c>
    </x:row>
    <x:row r="323" ht="112.5" customHeight="1">
      <x:c r="A323" s="36" t="str">
        <x:v>E-098</x:v>
      </x:c>
      <x:c r="B323" s="36" t="str">
        <x:v>Independent panel source gate</x:v>
      </x:c>
      <x:c r="C323" s="36" t="str">
        <x:v>Wallet and Inbox template restoration passes source checks</x:v>
      </x:c>
      <x:c r="D323" s="36" t="str">
        <x:v>Local evidence (held privately): 098-wallet-inbox-source.md</x:v>
      </x:c>
      <x:c r="E323" s="36" t="str">
        <x:v>Clean26388f8d/dfd25185;32ahead/0behind</x:v>
      </x:c>
      <x:c r="F323" s="36" t="str">
        <x:v>Existing modules/CSS/authority reused; hidden/inert panels and exactIDs guarded. Four smokes, entropy, diff/fmt and actualbuild pass.</x:v>
      </x:c>
    </x:row>
    <x:row r="324" ht="112.5" customHeight="1">
      <x:c r="A324" s="36" t="str">
        <x:v>E-099</x:v>
      </x:c>
      <x:c r="B324" s="36" t="str">
        <x:v>Independent installed artifact proof</x:v>
      </x:c>
      <x:c r="C324" s="36" t="str">
        <x:v>Restored panels match reviewed, installed and served template</x:v>
      </x:c>
      <x:c r="D324" s="36" t="str">
        <x:v>Local evidence (held privately): 099-independent-installed-proof.json</x:v>
      </x:c>
      <x:c r="E324" s="36" t="str">
        <x:v>Clean26388f8d/dfd25185;port61380 PID23918</x:v>
      </x:c>
      <x:c r="F324" s="36" t="str">
        <x:v>Strictdryrun/init and18assets pass. Runtime/object unchanged; exactoldgateway22779/object22806/child23180 exited. Userstate preserved.</x:v>
      </x:c>
    </x:row>
    <x:row r="325" ht="112.5" customHeight="1">
      <x:c r="A325" s="36" t="str">
        <x:v>E-100</x:v>
      </x:c>
      <x:c r="B325" s="36" t="str">
        <x:v>Installed Brave panel retest</x:v>
      </x:c>
      <x:c r="C325" s="36" t="str">
        <x:v>Wallet/Inbox panels, close/focus, window handoff and request navigation pass</x:v>
      </x:c>
      <x:c r="D325" s="36" t="str">
        <x:v>Local evidence (held privately): 100-wallet-inbox-live.md</x:v>
      </x:c>
      <x:c r="E325" s="36" t="str">
        <x:v>Installed26388f8d;foregroundBrave;existing1pendingitem</x:v>
      </x:c>
      <x:c r="F325" s="36" t="str">
        <x:v>Bothpanels/layout,refresh,handoff,Settings,Activity,privacyrestore,history andStatusreview pass. Accounts andpendingrequest unchanged;retry/fundedmasking unforced.</x:v>
      </x:c>
    </x:row>
    <x:row r="326" ht="112.5" customHeight="1">
      <x:c r="A326" s="36" t="str">
        <x:v>E-101</x:v>
      </x:c>
      <x:c r="B326" s="36" t="str">
        <x:v>Installed Terminal action probe</x:v>
      </x:c>
      <x:c r="C326" s="36" t="str">
        <x:v>Library descriptor stays read-only; ready Chat action has no visible result</x:v>
      </x:c>
      <x:c r="D326" s="36" t="str">
        <x:v>Local evidence (held privately): 101-terminal-action-probe.md</x:v>
      </x:c>
      <x:c r="E326" s="36" t="str">
        <x:v>Installed26388f8d; native renderer58e3c972</x:v>
      </x:c>
      <x:c r="F326" s="36" t="str">
        <x:v>Library read-only label is accurate. Ready Chat gives no result beyond30s; later the managed Runtime/renderer exit and retained-output fallback appears. F60 logged; no message sent.</x:v>
      </x:c>
    </x:row>
    <x:row r="327" ht="112.5" customHeight="1">
      <x:c r="A327" s="36" t="str">
        <x:v>E-102</x:v>
      </x:c>
      <x:c r="B327" s="36" t="str">
        <x:v>Independent in-progress source review</x:v>
      </x:c>
      <x:c r="C327" s="36" t="str">
        <x:v>Inbox handoff requires end-to-end intent and exact stale-selection gates</x:v>
      </x:c>
      <x:c r="D327" s="36" t="str">
        <x:v>Local evidence (held privately): 102-inbox-handoff-source-review.md</x:v>
      </x:c>
      <x:c r="E327" s="36" t="str">
        <x:v>Uncommitted F58 candidate; installed26388f8d preserved</x:v>
      </x:c>
      <x:c r="F327" s="36" t="str">
        <x:v>Review caught missing native dispatch, producer-query/authorizer mismatch, and wrong-request fallback for stale explicit selection. Builder is correcting all before install.</x:v>
      </x:c>
    </x:row>
    <x:row r="328" ht="112.5" customHeight="1">
      <x:c r="A328" s="36" t="str">
        <x:v>E-103</x:v>
      </x:c>
      <x:c r="B328" s="36" t="str">
        <x:v>Installed Brave System refresh</x:v>
      </x:c>
      <x:c r="C328" s="36" t="str">
        <x:v>Catalog and technical details refresh retain exact counts</x:v>
      </x:c>
      <x:c r="D328" s="36" t="str">
        <x:v>Local evidence (held privately): 103-system-refresh-live.md</x:v>
      </x:c>
      <x:c r="E328" s="36" t="str">
        <x:v>Installed 26388f8d; System audit window</x:v>
      </x:c>
      <x:c r="F328" s="36" t="str">
        <x:v>33 available items and 49 objects after Refresh. Technical disclosure toggles. Audit System closed; existing Browser preserved.</x:v>
      </x:c>
    </x:row>
    <x:row r="329" ht="112.5" customHeight="1">
      <x:c r="A329" s="36" t="str">
        <x:v>E-104</x:v>
      </x:c>
      <x:c r="B329" s="36" t="str">
        <x:v>Independent source verification</x:v>
      </x:c>
      <x:c r="C329" s="36" t="str">
        <x:v>Native Inbox handoff and exact request selection gates pass</x:v>
      </x:c>
      <x:c r="D329" s="36" t="str">
        <x:v>Local evidence (held privately): 104-inbox-handoff-source.md</x:v>
      </x:c>
      <x:c r="E329" s="36" t="str">
        <x:v>Clean b233d832 / 3f073277</x:v>
      </x:c>
      <x:c r="F329" s="36" t="str">
        <x:v>68 native CLI tests; one Runtime producer and three gateway intent tests; Inbox/CLI smokes, entropy and formatting pass.</x:v>
      </x:c>
    </x:row>
    <x:row r="330" ht="112.5" customHeight="1">
      <x:c r="A330" s="36" t="str">
        <x:v>E-105</x:v>
      </x:c>
      <x:c r="B330" s="36" t="str">
        <x:v>Independent installed parity</x:v>
      </x:c>
      <x:c r="C330" s="36" t="str">
        <x:v>Runtime, native renderer and 19 UI source/installed/served/manifest hashes pass</x:v>
      </x:c>
      <x:c r="D330" s="36" t="str">
        <x:v>Local evidence (held privately): 105-independent-installed-proof.json</x:v>
      </x:c>
      <x:c r="E330" s="36" t="str">
        <x:v>Gateway 28172; clean b233d832; localhost:61380</x:v>
      </x:c>
      <x:c r="F330" s="36" t="str">
        <x:v>105-install-notes.md records the scoped restart and correction of six stale manifest entries (F61). Config, rootfs and Browser service preserved.</x:v>
      </x:c>
    </x:row>
    <x:row r="331" ht="112.5" customHeight="1">
      <x:c r="A331" s="36" t="str">
        <x:v>E-106</x:v>
      </x:c>
      <x:c r="B331" s="36" t="str">
        <x:v>Installed Brave Inbox handoff</x:v>
      </x:c>
      <x:c r="C331" s="36" t="str">
        <x:v>Honest Terminal label verified; Desktop delivery stalls</x:v>
      </x:c>
      <x:c r="D331" s="36" t="str">
        <x:v>Local evidence (held privately): 106-inbox-handoff-live.md</x:v>
      </x:c>
      <x:c r="E331" s="36" t="str">
        <x:v>Native 237b8b94; installed b233d832; gateway28172</x:v>
      </x:c>
      <x:c r="F331" s="36" t="str">
        <x:v>Same pending request. Enter exits native child and starts Desktop transition, blank over30s. Reload restores signed-in Desktop; manual Inbox review retains item. F58 partial, F44 open.</x:v>
      </x:c>
    </x:row>
    <x:row r="332" ht="127.5" customHeight="1">
      <x:c r="A332" s="36" t="str">
        <x:v>E-107</x:v>
      </x:c>
      <x:c r="B332" s="36" t="str">
        <x:v>Independent principles and source review</x:v>
      </x:c>
      <x:c r="C332" s="36" t="str">
        <x:v>All 61 findings reviewed individually using first principles, entropy, Karpathy, ponytail and ElastOS ownership. Fresh remote check found incoming Irzhy 7e4b0dd4; full diff reviewed, not integrated.</x:v>
      </x:c>
      <x:c r="D332" s="36" t="str">
        <x:v>Local evidence (held privately): 107-first-principles-review.md</x:v>
      </x:c>
      <x:c r="E332" s="36" t="str">
        <x:v>Held b233d832 source and existing E-105/E-106 proof; workbook review only.</x:v>
      </x:c>
      <x:c r="F332" s="36" t="str">
        <x:v>Original results preserved. New review tab separates 18 retained fixes, 4 verification gates, 32 active issues and 7 setup/scope/release gates. Incoming stage cleanup issue recorded; no live retest or user-state mutation.</x:v>
      </x:c>
    </x:row>
    <x:row r="333">
      <x:c r="A333" t="str">
        <x:v>E-108</x:v>
      </x:c>
      <x:c r="B333" t="str">
        <x:v>Current candidate installed acceptance</x:v>
      </x:c>
      <x:c r="C333" t="str">
        <x:v>Managed provider resolution, launcher coverage, model readiness, Library visibility, and Browser close cleanup</x:v>
      </x:c>
      <x:c r="D333" t="str">
        <x:v>Direct source, installed hashes, Runtime logs, Brave accessibility state, and process inspection</x:v>
      </x:c>
      <x:c r="E333" t="str">
        <x:v>Clean 37b4195a / tree 36871424; localhost:61380; gateway 97275; managed Runtime 97650</x:v>
      </x:c>
      <x:c r="F333" t="str">
        <x:v>Runtime and Home hashes match the isolated install. All 16 launcher targets open. Browser reached Ready in 38.5 seconds and left zero VM, VZ, TURN, or QEMU process residue after Home Close. Existing account and user data were preserved.</x:v>
      </x:c>
    </x:row>
  </x:sheetData>
  <x:mergeCells>
    <x:mergeCell ref="A1:F1"/>
    <x:mergeCell ref="A2:F3"/>
    <x:mergeCell ref="A5:B5"/>
    <x:mergeCell ref="C5:F5"/>
    <x:mergeCell ref="A6:B6"/>
    <x:mergeCell ref="C6:F6"/>
    <x:mergeCell ref="A7:B7"/>
    <x:mergeCell ref="C7:F7"/>
    <x:mergeCell ref="A8:B8"/>
    <x:mergeCell ref="C8:F8"/>
    <x:mergeCell ref="A9:B9"/>
    <x:mergeCell ref="C9:F9"/>
    <x:mergeCell ref="A10:B10"/>
    <x:mergeCell ref="C10:F10"/>
    <x:mergeCell ref="A11:B11"/>
    <x:mergeCell ref="C11:F11"/>
    <x:mergeCell ref="A12:B12"/>
    <x:mergeCell ref="C12:F12"/>
    <x:mergeCell ref="A13:B13"/>
    <x:mergeCell ref="C13:F13"/>
    <x:mergeCell ref="A14:B14"/>
    <x:mergeCell ref="C14:F14"/>
    <x:mergeCell ref="A15:B15"/>
    <x:mergeCell ref="C15:F15"/>
    <x:mergeCell ref="A16:B16"/>
    <x:mergeCell ref="C16:F16"/>
    <x:mergeCell ref="A17:B17"/>
    <x:mergeCell ref="C17:F17"/>
    <x:mergeCell ref="A18:B18"/>
    <x:mergeCell ref="C18:F18"/>
    <x:mergeCell ref="A19:B19"/>
    <x:mergeCell ref="C19:F19"/>
    <x:mergeCell ref="A20:B20"/>
    <x:mergeCell ref="C20:F20"/>
    <x:mergeCell ref="A21:B21"/>
    <x:mergeCell ref="C21:F21"/>
    <x:mergeCell ref="A22:B22"/>
    <x:mergeCell ref="C22:F22"/>
    <x:mergeCell ref="A23:B23"/>
    <x:mergeCell ref="C23:F23"/>
    <x:mergeCell ref="A24:B24"/>
    <x:mergeCell ref="C24:F24"/>
    <x:mergeCell ref="A27:F27"/>
  </x:mergeCells>
  <x:pageMargins left="0.7" right="0.7" top="0.75" bottom="0.75" header="0.3" footer="0.3"/>
  <x:tableParts count="1">
    <x:tablePart xmlns:r="http://schemas.openxmlformats.org/officeDocument/2006/relationships" r:id="Re601c2bd9c3344a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8.890000343322754" hidden="0" customWidth="1"/>
    <x:col min="2" max="2" width="30" hidden="0" customWidth="1"/>
    <x:col min="3" max="3" width="16.670000076293945" hidden="0" customWidth="1"/>
    <x:col min="4" max="4" width="8.890000343322754" hidden="0" customWidth="1"/>
    <x:col min="5" max="5" width="35.560001373291016" hidden="0" customWidth="1"/>
    <x:col min="6" max="6" width="38.88999938964844" hidden="0" customWidth="1"/>
    <x:col min="7" max="7" width="41.11000061035156" hidden="0" customWidth="1"/>
    <x:col min="8" max="8" width="34.439998626708984" hidden="0" customWidth="1"/>
    <x:col min="9" max="9" width="38.88999938964844" hidden="0" customWidth="1"/>
    <x:col min="10" max="10" width="44.439998626708984" hidden="0" customWidth="1"/>
    <x:col min="11" max="11" width="23.329999923706055" hidden="0" customWidth="1"/>
    <x:col min="12" max="12" width="50" hidden="0" customWidth="1"/>
  </x:cols>
  <x:sheetData>
    <x:row r="1" ht="30" customHeight="1">
      <x:c r="A1" s="42" t="str">
        <x:v>Home findings / first-principles review</x:v>
      </x:c>
      <x:c r="B1" s="42" t="str">
        <x:v>Home findings / first-principles review</x:v>
      </x:c>
      <x:c r="C1" s="42" t="str">
        <x:v>Home findings / first-principles review</x:v>
      </x:c>
      <x:c r="D1" s="42" t="str">
        <x:v>Home findings / first-principles review</x:v>
      </x:c>
      <x:c r="E1" s="42" t="str">
        <x:v>Home findings / first-principles review</x:v>
      </x:c>
      <x:c r="F1" s="42" t="str">
        <x:v>Home findings / first-principles review</x:v>
      </x:c>
      <x:c r="G1" s="44" t="str">
        <x:v>Source, proof and incoming changes</x:v>
      </x:c>
      <x:c r="H1" s="44" t="str">
        <x:v>Source, proof and incoming changes</x:v>
      </x:c>
      <x:c r="I1" s="44" t="str">
        <x:v>Source, proof and incoming changes</x:v>
      </x:c>
      <x:c r="J1" s="44" t="str">
        <x:v>Source, proof and incoming changes</x:v>
      </x:c>
      <x:c r="K1" s="44" t="str">
        <x:v>Source, proof and incoming changes</x:v>
      </x:c>
      <x:c r="L1" s="44" t="str">
        <x:v>Source, proof and incoming changes</x:v>
      </x:c>
    </x:row>
    <x:row r="2" ht="16.5" customHeight="1">
      <x:c r="A2" s="46" t="str">
        <x:v>Review date: 31 August 2026. Every finding has its own decision. Original test results and Coverage remain unchanged. This is an evidence review, not a new live test pass.</x:v>
      </x:c>
      <x:c r="B2" s="46" t="str">
        <x:v>Review date: 31 August 2026. Every finding has its own decision. Original test results and Coverage remain unchanged. This is an evidence review, not a new live test pass.</x:v>
      </x:c>
      <x:c r="C2" s="46" t="str">
        <x:v>Review date: 31 August 2026. Every finding has its own decision. Original test results and Coverage remain unchanged. This is an evidence review, not a new live test pass.</x:v>
      </x:c>
      <x:c r="D2" s="46" t="str">
        <x:v>Review date: 31 August 2026. Every finding has its own decision. Original test results and Coverage remain unchanged. This is an evidence review, not a new live test pass.</x:v>
      </x:c>
      <x:c r="E2" s="46" t="str">
        <x:v>Review date: 31 August 2026. Every finding has its own decision. Original test results and Coverage remain unchanged. This is an evidence review, not a new live test pass.</x:v>
      </x:c>
      <x:c r="F2" s="46" t="str">
        <x:v>Review date: 31 August 2026. Every finding has its own decision. Original test results and Coverage remain unchanged. This is an evidence review, not a new live test pass.</x:v>
      </x:c>
      <x:c r="G2" s="45" t="str">
        <x:v>Held and previously installed source: b233d8322a44c11e9432f95404d31e35a0517753
Tree: 3f073277ba791a659adb2cde9885d9b310d08ba7. Current source is clean. Installed proof: E-105; latest live observations: E-106.</x:v>
      </x:c>
      <x:c r="H2" s="45" t="str">
        <x:v>Held and previously installed source: b233d8322a44c11e9432f95404d31e35a0517753
Tree: 3f073277ba791a659adb2cde9885d9b310d08ba7. Current source is clean. Installed proof: E-105; latest live observations: E-106.</x:v>
      </x:c>
      <x:c r="I2" s="45" t="str">
        <x:v>Held and previously installed source: b233d8322a44c11e9432f95404d31e35a0517753
Tree: 3f073277ba791a659adb2cde9885d9b310d08ba7. Current source is clean. Installed proof: E-105; latest live observations: E-106.</x:v>
      </x:c>
      <x:c r="J2" s="45" t="str">
        <x:v>Held and previously installed source: b233d8322a44c11e9432f95404d31e35a0517753
Tree: 3f073277ba791a659adb2cde9885d9b310d08ba7. Current source is clean. Installed proof: E-105; latest live observations: E-106.</x:v>
      </x:c>
      <x:c r="K2" s="45" t="str">
        <x:v>Held and previously installed source: b233d8322a44c11e9432f95404d31e35a0517753
Tree: 3f073277ba791a659adb2cde9885d9b310d08ba7. Current source is clean. Installed proof: E-105; latest live observations: E-106.</x:v>
      </x:c>
      <x:c r="L2" s="45" t="str">
        <x:v>Held and previously installed source: b233d8322a44c11e9432f95404d31e35a0517753
Tree: 3f073277ba791a659adb2cde9885d9b310d08ba7. Current source is clean. Installed proof: E-105; latest live observations: E-106.</x:v>
      </x:c>
    </x:row>
    <x:row r="3" ht="16.5" customHeight="1">
      <x:c r="A3" s="46" t="str">
        <x:v>Review date: 31 August 2026. Every finding has its own decision. Original test results and Coverage remain unchanged. This is an evidence review, not a new live test pass.</x:v>
      </x:c>
      <x:c r="B3" s="46" t="str">
        <x:v>Review date: 31 August 2026. Every finding has its own decision. Original test results and Coverage remain unchanged. This is an evidence review, not a new live test pass.</x:v>
      </x:c>
      <x:c r="C3" s="46" t="str">
        <x:v>Review date: 31 August 2026. Every finding has its own decision. Original test results and Coverage remain unchanged. This is an evidence review, not a new live test pass.</x:v>
      </x:c>
      <x:c r="D3" s="46" t="str">
        <x:v>Review date: 31 August 2026. Every finding has its own decision. Original test results and Coverage remain unchanged. This is an evidence review, not a new live test pass.</x:v>
      </x:c>
      <x:c r="E3" s="46" t="str">
        <x:v>Review date: 31 August 2026. Every finding has its own decision. Original test results and Coverage remain unchanged. This is an evidence review, not a new live test pass.</x:v>
      </x:c>
      <x:c r="F3" s="46" t="str">
        <x:v>Review date: 31 August 2026. Every finding has its own decision. Original test results and Coverage remain unchanged. This is an evidence review, not a new live test pass.</x:v>
      </x:c>
      <x:c r="G3" s="45" t="str">
        <x:v>Held and previously installed source: b233d8322a44c11e9432f95404d31e35a0517753
Tree: 3f073277ba791a659adb2cde9885d9b310d08ba7. Current source is clean. Installed proof: E-105; latest live observations: E-106.</x:v>
      </x:c>
      <x:c r="H3" s="45" t="str">
        <x:v>Held and previously installed source: b233d8322a44c11e9432f95404d31e35a0517753
Tree: 3f073277ba791a659adb2cde9885d9b310d08ba7. Current source is clean. Installed proof: E-105; latest live observations: E-106.</x:v>
      </x:c>
      <x:c r="I3" s="45" t="str">
        <x:v>Held and previously installed source: b233d8322a44c11e9432f95404d31e35a0517753
Tree: 3f073277ba791a659adb2cde9885d9b310d08ba7. Current source is clean. Installed proof: E-105; latest live observations: E-106.</x:v>
      </x:c>
      <x:c r="J3" s="45" t="str">
        <x:v>Held and previously installed source: b233d8322a44c11e9432f95404d31e35a0517753
Tree: 3f073277ba791a659adb2cde9885d9b310d08ba7. Current source is clean. Installed proof: E-105; latest live observations: E-106.</x:v>
      </x:c>
      <x:c r="K3" s="45" t="str">
        <x:v>Held and previously installed source: b233d8322a44c11e9432f95404d31e35a0517753
Tree: 3f073277ba791a659adb2cde9885d9b310d08ba7. Current source is clean. Installed proof: E-105; latest live observations: E-106.</x:v>
      </x:c>
      <x:c r="L3" s="45" t="str">
        <x:v>Held and previously installed source: b233d8322a44c11e9432f95404d31e35a0517753
Tree: 3f073277ba791a659adb2cde9885d9b310d08ba7. Current source is clean. Installed proof: E-105; latest live observations: E-106.</x:v>
      </x:c>
    </x:row>
    <x:row r="4" ht="16.5" customHeight="1">
      <x:c r="A4" s="39"/>
      <x:c r="B4" s="39"/>
      <x:c r="C4" s="39"/>
      <x:c r="D4" s="39"/>
      <x:c r="E4" s="39"/>
      <x:c r="F4" s="39"/>
      <x:c r="G4" s="39"/>
      <x:c r="H4" s="39"/>
      <x:c r="I4" s="39"/>
      <x:c r="J4" s="39"/>
      <x:c r="K4" s="39"/>
      <x:c r="L4" s="39"/>
    </x:row>
    <x:row r="5" ht="16.5" customHeight="1">
      <x:c r="A5" s="44" t="str">
        <x:v>Review decision</x:v>
      </x:c>
      <x:c r="B5" s="44" t="str">
        <x:v>Review decision</x:v>
      </x:c>
      <x:c r="C5" s="44" t="str">
        <x:v>Count</x:v>
      </x:c>
      <x:c r="D5" s="44" t="str">
        <x:v>Work order and proof limits</x:v>
      </x:c>
      <x:c r="E5" s="44" t="str">
        <x:v>Work order and proof limits</x:v>
      </x:c>
      <x:c r="F5" s="44" t="str">
        <x:v>Work order and proof limits</x:v>
      </x:c>
      <x:c r="G5" s="44" t="str">
        <x:v>Incoming Irzhy source review</x:v>
      </x:c>
      <x:c r="H5" s="44" t="str">
        <x:v>Incoming Irzhy source review</x:v>
      </x:c>
      <x:c r="I5" s="44" t="str">
        <x:v>Incoming Irzhy source review</x:v>
      </x:c>
      <x:c r="J5" s="44" t="str">
        <x:v>Incoming Irzhy source review</x:v>
      </x:c>
      <x:c r="K5" s="44" t="str">
        <x:v>Incoming Irzhy source review</x:v>
      </x:c>
      <x:c r="L5" s="44" t="str">
        <x:v>Incoming Irzhy source review</x:v>
      </x:c>
    </x:row>
    <x:row r="6" ht="21" customHeight="1">
      <x:c r="A6" s="45" t="str">
        <x:v>Retain fix</x:v>
      </x:c>
      <x:c r="B6" s="45" t="str">
        <x:v>Retain fix</x:v>
      </x:c>
      <x:c r="C6" s="49" t="n">
        <x:f>COUNTIF($C$16:$C$76,A6)</x:f>
        <x:v>18</x:v>
      </x:c>
      <x:c r="D6" s="52" t="str">
        <x:v>First: F-01 recovery coverage and F-54 Browser input order.
Diagnose: F-43 Browser stalls and F-44 direct shell transitions.</x:v>
      </x:c>
      <x:c r="E6" s="52" t="str">
        <x:v>First: F-01 recovery coverage and F-54 Browser input order.
Diagnose: F-43 Browser stalls and F-44 direct shell transitions.</x:v>
      </x:c>
      <x:c r="F6" s="52" t="str">
        <x:v>First: F-01 recovery coverage and F-54 Browser input order.
Diagnose: F-43 Browser stalls and F-44 direct shell transitions.</x:v>
      </x:c>
      <x:c r="G6" s="51" t="str">
        <x:v>7e4b0dd4137cc0a66a2b6b771a93174de4c9efe7 (Irzhy): source-home CI / Linux single-link install staging / macOS Kubo cache. Fresh fetch: local 33 ahead, 1 behind. Reviewed only; pending integration and installed proof.
The existing installation and all user state remain unchanged.</x:v>
      </x:c>
      <x:c r="H6" s="51" t="str">
        <x:v>7e4b0dd4137cc0a66a2b6b771a93174de4c9efe7 (Irzhy): source-home CI / Linux single-link install staging / macOS Kubo cache. Fresh fetch: local 33 ahead, 1 behind. Reviewed only; pending integration and installed proof.
The existing installation and all user state remain unchanged.</x:v>
      </x:c>
      <x:c r="I6" s="51" t="str">
        <x:v>7e4b0dd4137cc0a66a2b6b771a93174de4c9efe7 (Irzhy): source-home CI / Linux single-link install staging / macOS Kubo cache. Fresh fetch: local 33 ahead, 1 behind. Reviewed only; pending integration and installed proof.
The existing installation and all user state remain unchanged.</x:v>
      </x:c>
      <x:c r="J6" s="51" t="str">
        <x:v>7e4b0dd4137cc0a66a2b6b771a93174de4c9efe7 (Irzhy): source-home CI / Linux single-link install staging / macOS Kubo cache. Fresh fetch: local 33 ahead, 1 behind. Reviewed only; pending integration and installed proof.
The existing installation and all user state remain unchanged.</x:v>
      </x:c>
      <x:c r="K6" s="51" t="str">
        <x:v>7e4b0dd4137cc0a66a2b6b771a93174de4c9efe7 (Irzhy): source-home CI / Linux single-link install staging / macOS Kubo cache. Fresh fetch: local 33 ahead, 1 behind. Reviewed only; pending integration and installed proof.
The existing installation and all user state remain unchanged.</x:v>
      </x:c>
      <x:c r="L6" s="51" t="str">
        <x:v>7e4b0dd4137cc0a66a2b6b771a93174de4c9efe7 (Irzhy): source-home CI / Linux single-link install staging / macOS Kubo cache. Fresh fetch: local 33 ahead, 1 behind. Reviewed only; pending integration and installed proof.
The existing installation and all user state remain unchanged.</x:v>
      </x:c>
    </x:row>
    <x:row r="7" ht="21" customHeight="1">
      <x:c r="A7" s="50" t="str">
        <x:v>Verify fix</x:v>
      </x:c>
      <x:c r="B7" s="50" t="str">
        <x:v>Verify fix</x:v>
      </x:c>
      <x:c r="C7" s="49" t="n">
        <x:f>COUNTIF($C$16:$C$76,A7)</x:f>
        <x:v>4</x:v>
      </x:c>
      <x:c r="D7" s="52" t="str">
        <x:v>First: F-01 recovery coverage and F-54 Browser input order.
Diagnose: F-43 Browser stalls and F-44 direct shell transitions.</x:v>
      </x:c>
      <x:c r="E7" s="52" t="str">
        <x:v>First: F-01 recovery coverage and F-54 Browser input order.
Diagnose: F-43 Browser stalls and F-44 direct shell transitions.</x:v>
      </x:c>
      <x:c r="F7" s="52" t="str">
        <x:v>First: F-01 recovery coverage and F-54 Browser input order.
Diagnose: F-43 Browser stalls and F-44 direct shell transitions.</x:v>
      </x:c>
      <x:c r="G7" s="51" t="str">
        <x:v>7e4b0dd4137cc0a66a2b6b771a93174de4c9efe7 (Irzhy): source-home CI / Linux single-link install staging / macOS Kubo cache. Fresh fetch: local 33 ahead, 1 behind. Reviewed only; pending integration and installed proof.
The existing installation and all user state remain unchanged.</x:v>
      </x:c>
      <x:c r="H7" s="51" t="str">
        <x:v>7e4b0dd4137cc0a66a2b6b771a93174de4c9efe7 (Irzhy): source-home CI / Linux single-link install staging / macOS Kubo cache. Fresh fetch: local 33 ahead, 1 behind. Reviewed only; pending integration and installed proof.
The existing installation and all user state remain unchanged.</x:v>
      </x:c>
      <x:c r="I7" s="51" t="str">
        <x:v>7e4b0dd4137cc0a66a2b6b771a93174de4c9efe7 (Irzhy): source-home CI / Linux single-link install staging / macOS Kubo cache. Fresh fetch: local 33 ahead, 1 behind. Reviewed only; pending integration and installed proof.
The existing installation and all user state remain unchanged.</x:v>
      </x:c>
      <x:c r="J7" s="51" t="str">
        <x:v>7e4b0dd4137cc0a66a2b6b771a93174de4c9efe7 (Irzhy): source-home CI / Linux single-link install staging / macOS Kubo cache. Fresh fetch: local 33 ahead, 1 behind. Reviewed only; pending integration and installed proof.
The existing installation and all user state remain unchanged.</x:v>
      </x:c>
      <x:c r="K7" s="51" t="str">
        <x:v>7e4b0dd4137cc0a66a2b6b771a93174de4c9efe7 (Irzhy): source-home CI / Linux single-link install staging / macOS Kubo cache. Fresh fetch: local 33 ahead, 1 behind. Reviewed only; pending integration and installed proof.
The existing installation and all user state remain unchanged.</x:v>
      </x:c>
      <x:c r="L7" s="51" t="str">
        <x:v>7e4b0dd4137cc0a66a2b6b771a93174de4c9efe7 (Irzhy): source-home CI / Linux single-link install staging / macOS Kubo cache. Fresh fetch: local 33 ahead, 1 behind. Reviewed only; pending integration and installed proof.
The existing installation and all user state remain unchanged.</x:v>
      </x:c>
    </x:row>
    <x:row r="8" ht="21" customHeight="1">
      <x:c r="A8" s="45" t="str">
        <x:v>Open defect</x:v>
      </x:c>
      <x:c r="B8" s="45" t="str">
        <x:v>Open defect</x:v>
      </x:c>
      <x:c r="C8" s="49" t="n">
        <x:f>COUNTIF($C$16:$C$76,A8)</x:f>
        <x:v>27</x:v>
      </x:c>
      <x:c r="D8" s="52" t="str">
        <x:v>First: F-01 recovery coverage and F-54 Browser input order.
Diagnose: F-43 Browser stalls and F-44 direct shell transitions.</x:v>
      </x:c>
      <x:c r="E8" s="52" t="str">
        <x:v>First: F-01 recovery coverage and F-54 Browser input order.
Diagnose: F-43 Browser stalls and F-44 direct shell transitions.</x:v>
      </x:c>
      <x:c r="F8" s="52" t="str">
        <x:v>First: F-01 recovery coverage and F-54 Browser input order.
Diagnose: F-43 Browser stalls and F-44 direct shell transitions.</x:v>
      </x:c>
      <x:c r="G8" s="51" t="str">
        <x:v>7e4b0dd4137cc0a66a2b6b771a93174de4c9efe7 (Irzhy): source-home CI / Linux single-link install staging / macOS Kubo cache. Fresh fetch: local 33 ahead, 1 behind. Reviewed only; pending integration and installed proof.
The existing installation and all user state remain unchanged.</x:v>
      </x:c>
      <x:c r="H8" s="51" t="str">
        <x:v>7e4b0dd4137cc0a66a2b6b771a93174de4c9efe7 (Irzhy): source-home CI / Linux single-link install staging / macOS Kubo cache. Fresh fetch: local 33 ahead, 1 behind. Reviewed only; pending integration and installed proof.
The existing installation and all user state remain unchanged.</x:v>
      </x:c>
      <x:c r="I8" s="51" t="str">
        <x:v>7e4b0dd4137cc0a66a2b6b771a93174de4c9efe7 (Irzhy): source-home CI / Linux single-link install staging / macOS Kubo cache. Fresh fetch: local 33 ahead, 1 behind. Reviewed only; pending integration and installed proof.
The existing installation and all user state remain unchanged.</x:v>
      </x:c>
      <x:c r="J8" s="51" t="str">
        <x:v>7e4b0dd4137cc0a66a2b6b771a93174de4c9efe7 (Irzhy): source-home CI / Linux single-link install staging / macOS Kubo cache. Fresh fetch: local 33 ahead, 1 behind. Reviewed only; pending integration and installed proof.
The existing installation and all user state remain unchanged.</x:v>
      </x:c>
      <x:c r="K8" s="51" t="str">
        <x:v>7e4b0dd4137cc0a66a2b6b771a93174de4c9efe7 (Irzhy): source-home CI / Linux single-link install staging / macOS Kubo cache. Fresh fetch: local 33 ahead, 1 behind. Reviewed only; pending integration and installed proof.
The existing installation and all user state remain unchanged.</x:v>
      </x:c>
      <x:c r="L8" s="51" t="str">
        <x:v>7e4b0dd4137cc0a66a2b6b771a93174de4c9efe7 (Irzhy): source-home CI / Linux single-link install staging / macOS Kubo cache. Fresh fetch: local 33 ahead, 1 behind. Reviewed only; pending integration and installed proof.
The existing installation and all user state remain unchanged.</x:v>
      </x:c>
    </x:row>
    <x:row r="9" ht="21" customHeight="1">
      <x:c r="A9" s="50" t="str">
        <x:v>Partial fix</x:v>
      </x:c>
      <x:c r="B9" s="50" t="str">
        <x:v>Partial fix</x:v>
      </x:c>
      <x:c r="C9" s="49" t="n">
        <x:f>COUNTIF($C$16:$C$76,A9)</x:f>
        <x:v>3</x:v>
      </x:c>
      <x:c r="D9" s="50" t="str">
        <x:v>F-44 blocks full F-58 handoff proof. F-25/F-48 can share one editor patch; F-54/F-55 can share input dispatch work with distinct tests.
F-60 is native Chat, not a required GUI window.</x:v>
      </x:c>
      <x:c r="E9" s="50" t="str">
        <x:v>F-44 blocks full F-58 handoff proof. F-25/F-48 can share one editor patch; F-54/F-55 can share input dispatch work with distinct tests.
F-60 is native Chat, not a required GUI window.</x:v>
      </x:c>
      <x:c r="F9" s="50" t="str">
        <x:v>F-44 blocks full F-58 handoff proof. F-25/F-48 can share one editor patch; F-54/F-55 can share input dispatch work with distinct tests.
F-60 is native Chat, not a required GUI window.</x:v>
      </x:c>
      <x:c r="G9" s="50" t="str">
        <x:v>Full five-file diff reviewed. Strict artifact gate is retained; the smoke fixture uses owner-only staging and the current component roster. Incoming shell scripts pass bash -n; full job execution was not repeated. Archive checksum seeding does not close F-10's direct Kubo verification gap. See E-107.</x:v>
      </x:c>
      <x:c r="H9" s="50" t="str">
        <x:v>Full five-file diff reviewed. Strict artifact gate is retained; the smoke fixture uses owner-only staging and the current component roster. Incoming shell scripts pass bash -n; full job execution was not repeated. Archive checksum seeding does not close F-10's direct Kubo verification gap. See E-107.</x:v>
      </x:c>
      <x:c r="I9" s="50" t="str">
        <x:v>Full five-file diff reviewed. Strict artifact gate is retained; the smoke fixture uses owner-only staging and the current component roster. Incoming shell scripts pass bash -n; full job execution was not repeated. Archive checksum seeding does not close F-10's direct Kubo verification gap. See E-107.</x:v>
      </x:c>
      <x:c r="J9" s="50" t="str">
        <x:v>Full five-file diff reviewed. Strict artifact gate is retained; the smoke fixture uses owner-only staging and the current component roster. Incoming shell scripts pass bash -n; full job execution was not repeated. Archive checksum seeding does not close F-10's direct Kubo verification gap. See E-107.</x:v>
      </x:c>
      <x:c r="K9" s="50" t="str">
        <x:v>Full five-file diff reviewed. Strict artifact gate is retained; the smoke fixture uses owner-only staging and the current component roster. Incoming shell scripts pass bash -n; full job execution was not repeated. Archive checksum seeding does not close F-10's direct Kubo verification gap. See E-107.</x:v>
      </x:c>
      <x:c r="L9" s="50" t="str">
        <x:v>Full five-file diff reviewed. Strict artifact gate is retained; the smoke fixture uses owner-only staging and the current component roster. Incoming shell scripts pass bash -n; full job execution was not repeated. Archive checksum seeding does not close F-10's direct Kubo verification gap. See E-107.</x:v>
      </x:c>
    </x:row>
    <x:row r="10" ht="21" customHeight="1">
      <x:c r="A10" s="45" t="str">
        <x:v>Diagnose</x:v>
      </x:c>
      <x:c r="B10" s="45" t="str">
        <x:v>Diagnose</x:v>
      </x:c>
      <x:c r="C10" s="49" t="n">
        <x:f>COUNTIF($C$16:$C$76,A10)</x:f>
        <x:v>2</x:v>
      </x:c>
      <x:c r="D10" s="50" t="str">
        <x:v>F-44 blocks full F-58 handoff proof. F-25/F-48 can share one editor patch; F-54/F-55 can share input dispatch work with distinct tests.
F-60 is native Chat, not a required GUI window.</x:v>
      </x:c>
      <x:c r="E10" s="50" t="str">
        <x:v>F-44 blocks full F-58 handoff proof. F-25/F-48 can share one editor patch; F-54/F-55 can share input dispatch work with distinct tests.
F-60 is native Chat, not a required GUI window.</x:v>
      </x:c>
      <x:c r="F10" s="50" t="str">
        <x:v>F-44 blocks full F-58 handoff proof. F-25/F-48 can share one editor patch; F-54/F-55 can share input dispatch work with distinct tests.
F-60 is native Chat, not a required GUI window.</x:v>
      </x:c>
      <x:c r="G10" s="50" t="str">
        <x:v>Full five-file diff reviewed. Strict artifact gate is retained; the smoke fixture uses owner-only staging and the current component roster. Incoming shell scripts pass bash -n; full job execution was not repeated. Archive checksum seeding does not close F-10's direct Kubo verification gap. See E-107.</x:v>
      </x:c>
      <x:c r="H10" s="50" t="str">
        <x:v>Full five-file diff reviewed. Strict artifact gate is retained; the smoke fixture uses owner-only staging and the current component roster. Incoming shell scripts pass bash -n; full job execution was not repeated. Archive checksum seeding does not close F-10's direct Kubo verification gap. See E-107.</x:v>
      </x:c>
      <x:c r="I10" s="50" t="str">
        <x:v>Full five-file diff reviewed. Strict artifact gate is retained; the smoke fixture uses owner-only staging and the current component roster. Incoming shell scripts pass bash -n; full job execution was not repeated. Archive checksum seeding does not close F-10's direct Kubo verification gap. See E-107.</x:v>
      </x:c>
      <x:c r="J10" s="50" t="str">
        <x:v>Full five-file diff reviewed. Strict artifact gate is retained; the smoke fixture uses owner-only staging and the current component roster. Incoming shell scripts pass bash -n; full job execution was not repeated. Archive checksum seeding does not close F-10's direct Kubo verification gap. See E-107.</x:v>
      </x:c>
      <x:c r="K10" s="50" t="str">
        <x:v>Full five-file diff reviewed. Strict artifact gate is retained; the smoke fixture uses owner-only staging and the current component roster. Incoming shell scripts pass bash -n; full job execution was not repeated. Archive checksum seeding does not close F-10's direct Kubo verification gap. See E-107.</x:v>
      </x:c>
      <x:c r="L10" s="50" t="str">
        <x:v>Full five-file diff reviewed. Strict artifact gate is retained; the smoke fixture uses owner-only staging and the current component roster. Incoming shell scripts pass bash -n; full job execution was not repeated. Archive checksum seeding does not close F-10's direct Kubo verification gap. See E-107.</x:v>
      </x:c>
    </x:row>
    <x:row r="11" ht="21" customHeight="1">
      <x:c r="A11" s="50" t="str">
        <x:v>Setup gate</x:v>
      </x:c>
      <x:c r="B11" s="50" t="str">
        <x:v>Setup gate</x:v>
      </x:c>
      <x:c r="C11" s="49" t="n">
        <x:f>COUNTIF($C$16:$C$76,A11)</x:f>
        <x:v>3</x:v>
      </x:c>
      <x:c r="D11" s="50" t="str">
        <x:v>F-44 blocks full F-58 handoff proof. F-25/F-48 can share one editor patch; F-54/F-55 can share input dispatch work with distinct tests.
F-60 is native Chat, not a required GUI window.</x:v>
      </x:c>
      <x:c r="E11" s="50" t="str">
        <x:v>F-44 blocks full F-58 handoff proof. F-25/F-48 can share one editor patch; F-54/F-55 can share input dispatch work with distinct tests.
F-60 is native Chat, not a required GUI window.</x:v>
      </x:c>
      <x:c r="F11" s="50" t="str">
        <x:v>F-44 blocks full F-58 handoff proof. F-25/F-48 can share one editor patch; F-54/F-55 can share input dispatch work with distinct tests.
F-60 is native Chat, not a required GUI window.</x:v>
      </x:c>
      <x:c r="G11" s="50" t="str">
        <x:v>Full five-file diff reviewed. Strict artifact gate is retained; the smoke fixture uses owner-only staging and the current component roster. Incoming shell scripts pass bash -n; full job execution was not repeated. Archive checksum seeding does not close F-10's direct Kubo verification gap. See E-107.</x:v>
      </x:c>
      <x:c r="H11" s="50" t="str">
        <x:v>Full five-file diff reviewed. Strict artifact gate is retained; the smoke fixture uses owner-only staging and the current component roster. Incoming shell scripts pass bash -n; full job execution was not repeated. Archive checksum seeding does not close F-10's direct Kubo verification gap. See E-107.</x:v>
      </x:c>
      <x:c r="I11" s="50" t="str">
        <x:v>Full five-file diff reviewed. Strict artifact gate is retained; the smoke fixture uses owner-only staging and the current component roster. Incoming shell scripts pass bash -n; full job execution was not repeated. Archive checksum seeding does not close F-10's direct Kubo verification gap. See E-107.</x:v>
      </x:c>
      <x:c r="J11" s="50" t="str">
        <x:v>Full five-file diff reviewed. Strict artifact gate is retained; the smoke fixture uses owner-only staging and the current component roster. Incoming shell scripts pass bash -n; full job execution was not repeated. Archive checksum seeding does not close F-10's direct Kubo verification gap. See E-107.</x:v>
      </x:c>
      <x:c r="K11" s="50" t="str">
        <x:v>Full five-file diff reviewed. Strict artifact gate is retained; the smoke fixture uses owner-only staging and the current component roster. Incoming shell scripts pass bash -n; full job execution was not repeated. Archive checksum seeding does not close F-10's direct Kubo verification gap. See E-107.</x:v>
      </x:c>
      <x:c r="L11" s="50" t="str">
        <x:v>Full five-file diff reviewed. Strict artifact gate is retained; the smoke fixture uses owner-only staging and the current component roster. Incoming shell scripts pass bash -n; full job execution was not repeated. Archive checksum seeding does not close F-10's direct Kubo verification gap. See E-107.</x:v>
      </x:c>
    </x:row>
    <x:row r="12" ht="21" customHeight="1">
      <x:c r="A12" s="45" t="str">
        <x:v>Scope decision</x:v>
      </x:c>
      <x:c r="B12" s="45" t="str">
        <x:v>Scope decision</x:v>
      </x:c>
      <x:c r="C12" s="49" t="n">
        <x:f>COUNTIF($C$16:$C$76,A12)</x:f>
        <x:v>3</x:v>
      </x:c>
      <x:c r="D12" s="53" t="str">
        <x:v>Findings reviewed / original register</x:v>
      </x:c>
      <x:c r="E12" s="53" t="str">
        <x:v>Findings reviewed / original register</x:v>
      </x:c>
      <x:c r="F12" s="56" t="n">
        <x:f>COUNTA($A$16:$A$76)</x:f>
        <x:v>61</x:v>
      </x:c>
      <x:c r="G12" s="51" t="str">
        <x:v>Incoming lifecycle issue: install-stage cleanup runs only after success. Add scoped failure cleanup and an isolated failure test before adoption. Keep the Kubo seeder scoped to the isolated CI root. Source review detail: E-107.</x:v>
      </x:c>
      <x:c r="H12" s="51" t="str">
        <x:v>Incoming lifecycle issue: install-stage cleanup runs only after success. Add scoped failure cleanup and an isolated failure test before adoption. Keep the Kubo seeder scoped to the isolated CI root. Source review detail: E-107.</x:v>
      </x:c>
      <x:c r="I12" s="51" t="str">
        <x:v>Incoming lifecycle issue: install-stage cleanup runs only after success. Add scoped failure cleanup and an isolated failure test before adoption. Keep the Kubo seeder scoped to the isolated CI root. Source review detail: E-107.</x:v>
      </x:c>
      <x:c r="J12" s="51" t="str">
        <x:v>Incoming lifecycle issue: install-stage cleanup runs only after success. Add scoped failure cleanup and an isolated failure test before adoption. Keep the Kubo seeder scoped to the isolated CI root. Source review detail: E-107.</x:v>
      </x:c>
      <x:c r="K12" s="51" t="str">
        <x:v>Incoming lifecycle issue: install-stage cleanup runs only after success. Add scoped failure cleanup and an isolated failure test before adoption. Keep the Kubo seeder scoped to the isolated CI root. Source review detail: E-107.</x:v>
      </x:c>
      <x:c r="L12" s="51" t="str">
        <x:v>Incoming lifecycle issue: install-stage cleanup runs only after success. Add scoped failure cleanup and an isolated failure test before adoption. Keep the Kubo seeder scoped to the isolated CI root. Source review detail: E-107.</x:v>
      </x:c>
    </x:row>
    <x:row r="13" ht="21" customHeight="1">
      <x:c r="A13" s="50" t="str">
        <x:v>Release gate</x:v>
      </x:c>
      <x:c r="B13" s="50" t="str">
        <x:v>Release gate</x:v>
      </x:c>
      <x:c r="C13" s="49" t="n">
        <x:f>COUNTIF($C$16:$C$76,A13)</x:f>
        <x:v>1</x:v>
      </x:c>
      <x:c r="D13" s="53" t="str">
        <x:v>Findings reviewed / original register</x:v>
      </x:c>
      <x:c r="E13" s="53" t="str">
        <x:v>Findings reviewed / original register</x:v>
      </x:c>
      <x:c r="F13" s="56" t="n">
        <x:f>'Coverage'!C18</x:f>
        <x:v>61</x:v>
      </x:c>
      <x:c r="G13" s="51" t="str">
        <x:v>Incoming lifecycle issue: install-stage cleanup runs only after success. Add scoped failure cleanup and an isolated failure test before adoption. Keep the Kubo seeder scoped to the isolated CI root. Source review detail: E-107.</x:v>
      </x:c>
      <x:c r="H13" s="51" t="str">
        <x:v>Incoming lifecycle issue: install-stage cleanup runs only after success. Add scoped failure cleanup and an isolated failure test before adoption. Keep the Kubo seeder scoped to the isolated CI root. Source review detail: E-107.</x:v>
      </x:c>
      <x:c r="I13" s="51" t="str">
        <x:v>Incoming lifecycle issue: install-stage cleanup runs only after success. Add scoped failure cleanup and an isolated failure test before adoption. Keep the Kubo seeder scoped to the isolated CI root. Source review detail: E-107.</x:v>
      </x:c>
      <x:c r="J13" s="51" t="str">
        <x:v>Incoming lifecycle issue: install-stage cleanup runs only after success. Add scoped failure cleanup and an isolated failure test before adoption. Keep the Kubo seeder scoped to the isolated CI root. Source review detail: E-107.</x:v>
      </x:c>
      <x:c r="K13" s="51" t="str">
        <x:v>Incoming lifecycle issue: install-stage cleanup runs only after success. Add scoped failure cleanup and an isolated failure test before adoption. Keep the Kubo seeder scoped to the isolated CI root. Source review detail: E-107.</x:v>
      </x:c>
      <x:c r="L13" s="51" t="str">
        <x:v>Incoming lifecycle issue: install-stage cleanup runs only after success. Add scoped failure cleanup and an isolated failure test before adoption. Keep the Kubo seeder scoped to the isolated CI root. Source review detail: E-107.</x:v>
      </x:c>
    </x:row>
    <x:row r="14" ht="16.5" customHeight="1">
      <x:c r="A14" s="39"/>
      <x:c r="B14" s="39"/>
      <x:c r="C14" s="39"/>
      <x:c r="D14" s="39"/>
      <x:c r="E14" s="39"/>
      <x:c r="F14" s="39"/>
      <x:c r="G14" s="39"/>
      <x:c r="H14" s="39"/>
      <x:c r="I14" s="39"/>
      <x:c r="J14" s="39"/>
      <x:c r="K14" s="39"/>
      <x:c r="L14" s="39"/>
    </x:row>
    <x:row r="15" ht="34.5" customHeight="1">
      <x:c r="A15" s="44" t="str">
        <x:v>ID</x:v>
      </x:c>
      <x:c r="B15" s="44" t="str">
        <x:v>Finding</x:v>
      </x:c>
      <x:c r="C15" s="44" t="str">
        <x:v>Review decision</x:v>
      </x:c>
      <x:c r="D15" s="44" t="str">
        <x:v>Current priority</x:v>
      </x:c>
      <x:c r="E15" s="44" t="str">
        <x:v>First principles / required behavior</x:v>
      </x:c>
      <x:c r="F15" s="44" t="str">
        <x:v>Karpathy / evidence and root cause</x:v>
      </x:c>
      <x:c r="G15" s="44" t="str">
        <x:v>Ponytail / smallest next action</x:v>
      </x:c>
      <x:c r="H15" s="44" t="str">
        <x:v>Entropy / keep, remove or defer</x:v>
      </x:c>
      <x:c r="I15" s="44" t="str">
        <x:v>ElastOS alignment / owner</x:v>
      </x:c>
      <x:c r="J15" s="44" t="str">
        <x:v>Proof before closure</x:v>
      </x:c>
      <x:c r="K15" s="44" t="str">
        <x:v>Dependencies and distinctions</x:v>
      </x:c>
      <x:c r="L15" s="44" t="str">
        <x:v>Source and evidence</x:v>
      </x:c>
    </x:row>
    <x:row r="16" ht="172.5" customHeight="1">
      <x:c r="A16" s="57" t="str">
        <x:v>F-01</x:v>
      </x:c>
      <x:c r="B16" s="39" t="str">
        <x:v>First recovery kit does not cover the later Profile</x:v>
      </x:c>
      <x:c r="C16" s="39" t="str">
        <x:v>Open defect</x:v>
      </x:c>
      <x:c r="D16" s="39" t="str">
        <x:v>P1</x:v>
      </x:c>
      <x:c r="E16" s="39" t="str">
        <x:v>A recovery promise covers the identity and state that the user has created.</x:v>
      </x:c>
      <x:c r="F16" s="39" t="str">
        <x:v>Confirmed source risk. Export snapshots the current People identity; a later random Profile key is absent from the earlier kit. Root readiness alone cannot establish current Profile coverage.</x:v>
      </x:c>
      <x:c r="G16" s="39" t="str">
        <x:v>Track current recovery coverage in Runtime and request a fresh kit after Profile creation. Explain exactly what the old kit restores.</x:v>
      </x:c>
      <x:c r="H16" s="39" t="str">
        <x:v>Keep random identity keys and one recovery flow. Remove the conflation of root protection with complete current recovery.</x:v>
      </x:c>
      <x:c r="I16" s="39" t="str">
        <x:v>Principles 1, 3, 11, 12, 15. Runtime reports coverage; Wallet owns managed keys; System presents the result.</x:v>
      </x:c>
      <x:c r="J16" s="39" t="str">
        <x:v>On disposable identities, export before Profile, create Profile, then restore the old and fresh kits into separate empty roots. Assert exact identity coverage and truthful incomplete recovery.</x:v>
      </x:c>
      <x:c r="K16" s="39" t="str">
        <x:v>F-03/F-04/F-05 are adjacent setup defects, not this root cause.</x:v>
      </x:c>
      <x:c r="L16" s="39" t="str">
        <x:v>elastos/crates/elastos-server/src/api/auth_gateway.rs:1607; elastos/crates/elastos-server/src/collaboration_profile_authority.rs:282; elastos/crates/elastos-server/src/collaboration_profile_authority.rs:1030; capsules/system/browser/system.js:2210; capsules/system/browser/system.js:2480; capsules/home-gui/browser/shell-setup-sheet.js:99; S-186, S-187, S-188, S-029, S-189, S-190; api/auth_gateway.rs:1134; api/gateway_home_system.rs:3746; state.md Home Shell Truth</x:v>
      </x:c>
    </x:row>
    <x:row r="17" ht="172.5" customHeight="1">
      <x:c r="A17" s="57" t="str">
        <x:v>F-02</x:v>
      </x:c>
      <x:c r="B17" s="39" t="str">
        <x:v>Model provider rejects the Runtime Init envelope</x:v>
      </x:c>
      <x:c r="C17" s="39" t="str">
        <x:v>Retain fix</x:v>
      </x:c>
      <x:c r="D17" s="39" t="str">
        <x:v>Closed</x:v>
      </x:c>
      <x:c r="E17" s="39" t="str">
        <x:v>A provider accepts the exact typed envelope its Runtime sends.</x:v>
      </x:c>
      <x:c r="F17" s="39" t="str">
        <x:v>cc82dd32 accepts the documented Init envelope while preserving strict unknown-field rejection. Recorded native startup and zero-offer proof cover this defect.</x:v>
      </x:c>
      <x:c r="G17" s="39" t="str">
        <x:v>Keep the existing fix and its contract tests. Further model setup belongs to F-08.</x:v>
      </x:c>
      <x:c r="H17" s="39" t="str">
        <x:v>Retain one typed Init contract; avoid permissive parsing or a fallback provider.</x:v>
      </x:c>
      <x:c r="I17" s="39" t="str">
        <x:v>Principles 4, 5, 10. Runtime supplies the envelope; model-provider owns execution configuration.</x:v>
      </x:c>
      <x:c r="J17" s="39" t="str">
        <x:v>Retain recorded envelope/unknown-field tests, installed binary proof and zero-offer startup. An actual model run is a separate gate.</x:v>
      </x:c>
      <x:c r="K17" s="39" t="str">
        <x:v>F-08 is configuration; F-16 is Assistant startup.</x:v>
      </x:c>
      <x:c r="L17" s="39" t="str">
        <x:v>elastos/crates/elastos-runtime/src/provider/bridge.rs:101; capsules/model-provider/src/config.rs:36; capsules/model-provider/src/execution.rs:135; elastos/crates/elastos-server/src/server_infra.rs:889; S-191, S-154, S-155, S-156</x:v>
      </x:c>
    </x:row>
    <x:row r="18" ht="172.5" customHeight="1">
      <x:c r="A18" s="57" t="str">
        <x:v>F-03</x:v>
      </x:c>
      <x:c r="B18" s="39" t="str">
        <x:v>Save Recovery Kit lands on Accounts</x:v>
      </x:c>
      <x:c r="C18" s="39" t="str">
        <x:v>Verify fix</x:v>
      </x:c>
      <x:c r="D18" s="39" t="str">
        <x:v>P2</x:v>
      </x:c>
      <x:c r="E18" s="39" t="str">
        <x:v>A named navigation action opens the named destination without executing a sensitive action.</x:v>
      </x:c>
      <x:c r="F18" s="39" t="str">
        <x:v>b3140daa adds the settings allowlist and Security focus. Source repair is present; current proof does not close the complete installed navigation path.</x:v>
      </x:c>
      <x:c r="G18" s="39" t="str">
        <x:v>Test the existing repair first. Fix only a demonstrated failure, including reuse of an already-open System window.</x:v>
      </x:c>
      <x:c r="H18" s="39" t="str">
        <x:v>Keep one settings deep-link path. Navigation focuses the export control; the user starts export.</x:v>
      </x:c>
      <x:c r="I18" s="39" t="str">
        <x:v>Principles 7, 10, 16. Home owns navigation; System owns the recovery UI; Runtime authorizes export.</x:v>
      </x:c>
      <x:c r="J18" s="39" t="str">
        <x:v>From new and already-open System states, activate Save Recovery Kit, reach Security, and verify focus. Stop before export or passkey changes.</x:v>
      </x:c>
      <x:c r="K18" s="39" t="str">
        <x:v>F-01 remains open regardless of navigation success.</x:v>
      </x:c>
      <x:c r="L18" s="39" t="str">
        <x:v>capsules/home-gui/browser/shell-setup-sheet.js:267; capsules/system/browser/system.js:186; capsules/system/browser/index.html:35; S-026, S-025, S-192; capsules/system/browser/system.js:146,226; capsules/home-gui/browser/shell-setup-sheet.js:267</x:v>
      </x:c>
    </x:row>
    <x:row r="19" ht="172.5" customHeight="1">
      <x:c r="A19" s="57" t="str">
        <x:v>F-04</x:v>
      </x:c>
      <x:c r="B19" s="39" t="str">
        <x:v>Recovery readiness lacks an explicit refresh</x:v>
      </x:c>
      <x:c r="C19" s="39" t="str">
        <x:v>Verify fix</x:v>
      </x:c>
      <x:c r="D19" s="39" t="str">
        <x:v>P2</x:v>
      </x:c>
      <x:c r="E19" s="39" t="str">
        <x:v>Readiness is a current authoritative fact, not a local success guess.</x:v>
      </x:c>
      <x:c r="F19" s="39" t="str">
        <x:v>System now notifies Home after export and Runtime has a readiness event test. Live post-export refresh remains unverified; refreshing a fact does not prove its coverage definition.</x:v>
      </x:c>
      <x:c r="G19" s="39" t="str">
        <x:v>Verify the installed refresh with a disposable recovery fixture. Retain Runtime as the sole producer.</x:v>
      </x:c>
      <x:c r="H19" s="39" t="str">
        <x:v>Keep event-driven refresh; avoid timers and optimistic ready flags.</x:v>
      </x:c>
      <x:c r="I19" s="39" t="str">
        <x:v>Principles 4, 10, 11. Runtime owns readiness; System requests refresh; Home renders it.</x:v>
      </x:c>
      <x:c r="J19" s="39" t="str">
        <x:v>After successful fixture export, observe updated Home readiness without reload. A failed or cancelled export preserves its prior state. Test F-01 coverage separately.</x:v>
      </x:c>
      <x:c r="K19" s="39" t="str">
        <x:v>F-01 defines the meaning of readiness.</x:v>
      </x:c>
      <x:c r="L19" s="39" t="str">
        <x:v>capsules/system/browser/system.js:2210; elastos/crates/elastos-server/src/api/gateway_home_system.rs:3370; capsules/home-gui/browser/shell-setup-sheet.js:253; S-029, S-031, S-193; capsules/system/browser/system.js:2240-2270; api/gateway_home_system.rs:6020</x:v>
      </x:c>
    </x:row>
    <x:row r="20" ht="172.5" customHeight="1">
      <x:c r="A20" s="57" t="str">
        <x:v>F-05</x:v>
      </x:c>
      <x:c r="B20" s="39" t="str">
        <x:v>Profile name suggestion looks like a supplied value</x:v>
      </x:c>
      <x:c r="C20" s="39" t="str">
        <x:v>Verify fix</x:v>
      </x:c>
      <x:c r="D20" s="39" t="str">
        <x:v>P2</x:v>
      </x:c>
      <x:c r="E20" s="39" t="str">
        <x:v>A suggested value becomes input only through an explicit user decision.</x:v>
      </x:c>
      <x:c r="F20" s="39" t="str">
        <x:v>b3140daa fills the editable Profile name and preserves edits across refresh. The source fix is adequate in scope; first-run live proof is still pending.</x:v>
      </x:c>
      <x:c r="G20" s="39" t="str">
        <x:v>Verify prefill, editing and explicit submit in a disposable first-run fixture.</x:v>
      </x:c>
      <x:c r="H20" s="39" t="str">
        <x:v>Keep the existing field and submit action; avoid an automatic Profile creation path.</x:v>
      </x:c>
      <x:c r="I20" s="39" t="str">
        <x:v>Principles 6, 7, 14, 16. The user chooses a public name; Runtime creates the Profile after authorization.</x:v>
      </x:c>
      <x:c r="J20" s="39" t="str">
        <x:v>Check untouched suggestion, changed value, blank validation and refresh while editing. Confirm only explicit submit creates the fixture Profile.</x:v>
      </x:c>
      <x:c r="K20" s="39" t="str">
        <x:v>F-01 remains the recovery coverage gate.</x:v>
      </x:c>
      <x:c r="L20" s="39" t="str">
        <x:v>capsules/people/browser/people.js:217; capsules/people/browser/people.js:517; capsules/people/browser/index.html:46; S-038, S-039, S-194; capsules/people/browser/people.js:226-245</x:v>
      </x:c>
    </x:row>
    <x:row r="21" ht="172.5" customHeight="1">
      <x:c r="A21" s="57" t="str">
        <x:v>F-06</x:v>
      </x:c>
      <x:c r="B21" s="39" t="str">
        <x:v>Included game icons resolve to 404</x:v>
      </x:c>
      <x:c r="C21" s="39" t="str">
        <x:v>Retain fix</x:v>
      </x:c>
      <x:c r="D21" s="39" t="str">
        <x:v>Closed</x:v>
      </x:c>
      <x:c r="E21" s="39" t="str">
        <x:v>Declared content icons load through their bounded asset contract.</x:v>
      </x:c>
      <x:c r="F21" s="39" t="str">
        <x:v>c70a56f6 repairs the resolver and recorded Brave checks show both icons. Serving arbitrary capsule files would be a broader, unsafe fix.</x:v>
      </x:c>
      <x:c r="G21" s="39" t="str">
        <x:v>Keep the declared-icon resolver and its path checks.</x:v>
      </x:c>
      <x:c r="H21" s="39" t="str">
        <x:v>Retain one manifest-based asset path; avoid fallback exposure of ROM or arbitrary files.</x:v>
      </x:c>
      <x:c r="I21" s="39" t="str">
        <x:v>Principles 3, 5, 13, 16. Content owns icon declarations; Runtime enforces serving boundaries.</x:v>
      </x:c>
      <x:c r="J21" s="39" t="str">
        <x:v>Retain icon 200/parity proof and negative traversal, symlink and undeclared-byte tests. Game play remains a separate journey.</x:v>
      </x:c>
      <x:c r="K21" s="39" t="str">
        <x:v>F-41 concerns ROM provenance, not icon serving.</x:v>
      </x:c>
      <x:c r="L21" s="39" t="str">
        <x:v>elastos/crates/elastos-server/src/api/gateway_home_runtime.rs:194; elastos/crates/elastos-server/src/api/gateway_home_runtime.rs:315; elastos/crates/elastos-server/src/api/browser_capsules.rs:105; elastos/crates/elastos-server/src/api/browser_capsules.rs:345; capsules/gba-nonogram/capsule.json:1; capsules/gba-ucity/capsule.json:1; S-195, S-196, S-197, S-198, S-176, S-177</x:v>
      </x:c>
    </x:row>
    <x:row r="22" ht="172.5" customHeight="1">
      <x:c r="A22" s="57" t="str">
        <x:v>F-07</x:v>
      </x:c>
      <x:c r="B22" s="39" t="str">
        <x:v>Initial desktop spacing may reflect hidden target slots</x:v>
      </x:c>
      <x:c r="C22" s="39" t="str">
        <x:v>Verify fix</x:v>
      </x:c>
      <x:c r="D22" s="39" t="str">
        <x:v>P2</x:v>
      </x:c>
      <x:c r="E22" s="39" t="str">
        <x:v>Initial placement follows visible items while saved user layout remains authoritative.</x:v>
      </x:c>
      <x:c r="F22" s="39" t="str">
        <x:v>48e69d1b seeds visible targets only. Existing layout must remain unchanged; the original spacing observation is not a fresh-profile regression result.</x:v>
      </x:c>
      <x:c r="G22" s="39" t="str">
        <x:v>Verify first placement in a disposable empty layout and preserve all existing saved positions.</x:v>
      </x:c>
      <x:c r="H22" s="39" t="str">
        <x:v>Keep one initial-placement rule. Avoid migrations or reseeding established desktops.</x:v>
      </x:c>
      <x:c r="I22" s="39" t="str">
        <x:v>Principles 1, 6, 17. Home GUI owns layout; the user's persisted choices take priority.</x:v>
      </x:c>
      <x:c r="J22" s="39" t="str">
        <x:v>Compare first launch with hidden/visible targets, then hide/show and reload after moving an item. Existing positions remain exact.</x:v>
      </x:c>
      <x:c r="K22" s="39" t="str">
        <x:v>Fixture gate; do not reset the user's desktop.</x:v>
      </x:c>
      <x:c r="L22" s="39" t="str">
        <x:v>capsules/home-gui/browser/shell-core.js:343; capsules/home-gui/browser/shell-core.js:520; capsules/home-gui/browser/shell-core.js:681; capsules/home-gui/browser/shell-core.js:724; capsules/home-gui/browser/shell-surface.js:88; S-199, S-200, S-008, S-201, S-009</x:v>
      </x:c>
    </x:row>
    <x:row r="23" ht="172.5" customHeight="1">
      <x:c r="A23" s="57" t="str">
        <x:v>F-08</x:v>
      </x:c>
      <x:c r="B23" s="39" t="str">
        <x:v>Model runtime installed, but no initial model/offer is selected</x:v>
      </x:c>
      <x:c r="C23" s="39" t="str">
        <x:v>Setup gate</x:v>
      </x:c>
      <x:c r="D23" s="39" t="str">
        <x:v>P2</x:v>
      </x:c>
      <x:c r="E23" s="39" t="str">
        <x:v>Installed execution code and an available configured model are different states.</x:v>
      </x:c>
      <x:c r="F23" s="39" t="str">
        <x:v>Zero offers is an intentional, truthful state after F-02. The audit has not established a broken model run.</x:v>
      </x:c>
      <x:c r="G23" s="39" t="str">
        <x:v>Ask the operator to choose one approved backend and offer when model execution proof is in scope.</x:v>
      </x:c>
      <x:c r="H23" s="39" t="str">
        <x:v>Keep zero-offer behavior. Defer downloads, default model selection and extra backend paths.</x:v>
      </x:c>
      <x:c r="I23" s="39" t="str">
        <x:v>Principles 4, 6, 10, 11. Operator config selects the model; provider owns backend details; Assistant consumes offers.</x:v>
      </x:c>
      <x:c r="J23" s="39" t="str">
        <x:v>With an approved offer, verify offer listing and one bounded run/cancel. Without one, Send stays unavailable with clear guidance.</x:v>
      </x:c>
      <x:c r="K23" s="39" t="str">
        <x:v>F-02/F-16/F-17 fixes remain closed.</x:v>
      </x:c>
      <x:c r="L23" s="39" t="str">
        <x:v>scripts/setup-source-home.sh:1655; elastos/crates/elastos-server/src/server_infra.rs:162; capsules/model-provider/src/config.rs:111; state.md:361; S-157, S-160, S-162, S-159</x:v>
      </x:c>
    </x:row>
    <x:row r="24" ht="172.5" customHeight="1">
      <x:c r="A24" s="57" t="str">
        <x:v>F-09</x:v>
      </x:c>
      <x:c r="B24" s="39" t="str">
        <x:v>Remote model discovery and model-byte retrieval are different gaps</x:v>
      </x:c>
      <x:c r="C24" s="39" t="str">
        <x:v>Scope decision</x:v>
      </x:c>
      <x:c r="D24" s="39" t="str">
        <x:v>Decision</x:v>
      </x:c>
      <x:c r="E24" s="39" t="str">
        <x:v>Discovery, authorization and retrieval of model bytes are distinct operations.</x:v>
      </x:c>
      <x:c r="F24" s="39" t="str">
        <x:v>This is planned capability scope, not proof of a failure in a shipped model journey. A CID proves content identity rather than access or availability.</x:v>
      </x:c>
      <x:c r="G24" s="39" t="str">
        <x:v>Defer implementation until one explicit model-sharing journey and its authority contract are selected.</x:v>
      </x:c>
      <x:c r="H24" s="39" t="str">
        <x:v>Remove this item from the immediate defect-fix queue; retain it as a scoped roadmap decision.</x:v>
      </x:c>
      <x:c r="I24" s="39" t="str">
        <x:v>Principles 2, 3, 4, 15. Runtime authorizes use; provider owns execution; Carrier transports admitted off-box traffic.</x:v>
      </x:c>
      <x:c r="J24" s="39" t="str">
        <x:v>An accepted future journey must test discovery, grants, integrity and unavailable bytes separately. Current zero-offer behavior remains truthful.</x:v>
      </x:c>
      <x:c r="K24" s="39" t="str">
        <x:v>F-08 setup is not a substitute for this design decision.</x:v>
      </x:c>
      <x:c r="L24" s="39" t="str">
        <x:v>TASKS.md:408; PRINCIPLES.md:1; capsules/model-provider/src/config.rs:111; S-143, S-161, S-162</x:v>
      </x:c>
    </x:row>
    <x:row r="25" ht="172.5" customHeight="1">
      <x:c r="A25" s="57" t="str">
        <x:v>F-10</x:v>
      </x:c>
      <x:c r="B25" s="39" t="str">
        <x:v>Mint is blocked in this installation; video action is conditional</x:v>
      </x:c>
      <x:c r="C25" s="39" t="str">
        <x:v>Setup gate</x:v>
      </x:c>
      <x:c r="D25" s="39" t="str">
        <x:v>P2</x:v>
      </x:c>
      <x:c r="E25" s="39" t="str">
        <x:v>Mint readiness requires every authority and media prerequisite, not just funds or a visible action.</x:v>
      </x:c>
      <x:c r="F25" s="39" t="str">
        <x:v>E-040 reports missing operator Chain/custody configuration. Video action eligibility is conditional. Shared-target lookup and Kubo verification are separate proof-tool gaps.</x:v>
      </x:c>
      <x:c r="G25" s="39" t="str">
        <x:v>Record each prerequisite separately, then run an approved disposable mint fixture only after all gates pass. Recheck existing artifacts before rebuilding.</x:v>
      </x:c>
      <x:c r="H25" s="39" t="str">
        <x:v>Keep the canonical custody path; defer legacy dKMS import, invented RPC routes and automatic funding.</x:v>
      </x:c>
      <x:c r="I25" s="39" t="str">
        <x:v>Principles 3, 4, 6, 15, 19. Runtime orchestrates; Wallet approves/signs; Chain and custody providers own domain checks.</x:v>
      </x:c>
      <x:c r="J25" s="39" t="str">
        <x:v>Show exact configuration/artifact readiness, eligible video, typed terms and cancellation first. Mint/buy/play requires separate explicit effect approval.</x:v>
      </x:c>
      <x:c r="K25" s="39" t="str">
        <x:v>F-13 media proof; F-14 price UX. Incoming 7e4b0dd4 does not prove this journey.</x:v>
      </x:c>
      <x:c r="L25" s="39" t="str">
        <x:v>capsules/library/browser/src/app.js:1013; capsules/library/browser/src/model.js:162; capsules/library/browser/src/actions.js:389; S-077, S-078, S-079; E-040; 7e4b0dd4 source-home/Kubo setup review</x:v>
      </x:c>
    </x:row>
    <x:row r="26" ht="172.5" customHeight="1">
      <x:c r="A26" s="57" t="str">
        <x:v>F-11</x:v>
      </x:c>
      <x:c r="B26" s="39" t="str">
        <x:v>Portable listing import exists without a dedicated visible entry control</x:v>
      </x:c>
      <x:c r="C26" s="39" t="str">
        <x:v>Scope decision</x:v>
      </x:c>
      <x:c r="D26" s="39" t="str">
        <x:v>Decision</x:v>
      </x:c>
      <x:c r="E26" s="39" t="str">
        <x:v>A shared listing needs one clear, authorized receiving path.</x:v>
      </x:c>
      <x:c r="F26" s="39" t="str">
        <x:v>Runtime admits import_runtime_custody for Library/Marketplace, but current browser sources have no matching entry. An approved real listing/deep-link fixture is still needed to settle the UX gap.</x:v>
      </x:c>
      <x:c r="G26" s="39" t="str">
        <x:v>Confirm the canonical listing-open journey. If absent, add one import action to an existing app through the existing Runtime operation.</x:v>
      </x:c>
      <x:c r="H26" s="39" t="str">
        <x:v>Reuse the existing operation and app. Defer a new market index, router or import framework.</x:v>
      </x:c>
      <x:c r="I26" s="39" t="str">
        <x:v>Principles 2, 3, 4, 10, 15. Runtime validates listing identity and import authority; the capsule gathers the URI.</x:v>
      </x:c>
      <x:c r="J26" s="39" t="str">
        <x:v>Valid fixture becomes visible after import; malformed/denied listing explains failure. Import does not buy, grant rights or select caller-supplied provider authority.</x:v>
      </x:c>
      <x:c r="K26" s="39" t="str">
        <x:v>F-10 fixture prerequisites; F-12 is a different installer scope.</x:v>
      </x:c>
      <x:c r="L26" s="39" t="str">
        <x:v>elastos/crates/elastos-server/src/api/gateway_provider_proxy.rs:1538; elastos/crates/elastos-server/src/library.rs:1883; capsules/library/browser/src/app.js:954; capsules/marketplace/browser/marketplace.js:47; S-085, S-084, S-065, S-108; api/gateway_provider_proxy.rs:1538; library.rs:1888</x:v>
      </x:c>
    </x:row>
    <x:row r="27" ht="172.5" customHeight="1">
      <x:c r="A27" s="57" t="str">
        <x:v>F-12</x:v>
      </x:c>
      <x:c r="B27" s="39" t="str">
        <x:v>Catalog install affordance is not a current Marketplace install UI</x:v>
      </x:c>
      <x:c r="C27" s="39" t="str">
        <x:v>Scope decision</x:v>
      </x:c>
      <x:c r="D27" s="39" t="str">
        <x:v>Decision</x:v>
      </x:c>
      <x:c r="E27" s="39" t="str">
        <x:v>A declared capability does not promise an implemented install journey.</x:v>
      </x:c>
      <x:c r="F27" s="39" t="str">
        <x:v>Current Marketplace cards expose Open for launchable items. The manifest declaration alone does not establish a broken installer.</x:v>
      </x:c>
      <x:c r="G27" s="39" t="str">
        <x:v>Keep accurate Installed/Open/unavailable states. Define package admission and integrity before committing to an Install feature.</x:v>
      </x:c>
      <x:c r="H27" s="39" t="str">
        <x:v>Defer a new installer and remove implied installation readiness from audit expectations.</x:v>
      </x:c>
      <x:c r="I27" s="39" t="str">
        <x:v>Principles 3, 10, 11, 13. Runtime owns package admission; Marketplace projects actual availability.</x:v>
      </x:c>
      <x:c r="J27" s="39" t="str">
        <x:v>Catalog-only and installed items show truthful states; Open launches only admitted targets. Installer proof is required only if that feature is accepted.</x:v>
      </x:c>
      <x:c r="K27" s="39" t="str">
        <x:v>F-32 separately corrects false capability wording.</x:v>
      </x:c>
      <x:c r="L27" s="39" t="str">
        <x:v>capsules/marketplace/capsule.json:1; capsules/marketplace/browser/marketplace.js:797; capsules/marketplace/browser/marketplace.js:827; S-202, S-111, S-110</x:v>
      </x:c>
    </x:row>
    <x:row r="28" ht="172.5" customHeight="1">
      <x:c r="A28" s="57" t="str">
        <x:v>F-13</x:v>
      </x:c>
      <x:c r="B28" s="39" t="str">
        <x:v>Media tools and Browser VM assets are explicit setup prerequisites</x:v>
      </x:c>
      <x:c r="C28" s="39" t="str">
        <x:v>Setup gate</x:v>
      </x:c>
      <x:c r="D28" s="39" t="str">
        <x:v>P2</x:v>
      </x:c>
      <x:c r="E28" s="39" t="str">
        <x:v>Artifact presence, media preparation and working playback need separate evidence.</x:v>
      </x:c>
      <x:c r="F28" s="39" t="str">
        <x:v>E-040 shows configured media; later Browser proof shows real frames. A blanket missing-assets claim is stale. Complete media preparation and target playback/cleanup proof still remain distinct gates.</x:v>
      </x:c>
      <x:c r="G28" s="39" t="str">
        <x:v>Keep this as a prerequisite/proof checklist and verify current receipts. Schedule approved media preparation and target audio/video/input/close proof.</x:v>
      </x:c>
      <x:c r="H28" s="39" t="str">
        <x:v>Reuse installed tools and VM assets; rebuild only an identified mismatch. Avoid duplicate setup tracks.</x:v>
      </x:c>
      <x:c r="I28" s="39" t="str">
        <x:v>Principles 4, 10, 11, 12. Operator provisions artifacts; providers execute; Runtime reports readiness.</x:v>
      </x:c>
      <x:c r="J28" s="39" t="str">
        <x:v>Bind tool/VM hashes to the tested installation, then verify one disposable media path and complete Browser media/cleanup evidence.</x:v>
      </x:c>
      <x:c r="K28" s="39" t="str">
        <x:v>F-10 configuration; F-43 reliability. Neither proves the other.</x:v>
      </x:c>
      <x:c r="L28" s="39" t="str">
        <x:v>S-203, S-204, S-205; S-203/S-204/S-205; E-040/E-064/E-084</x:v>
      </x:c>
    </x:row>
    <x:row r="29" ht="172.5" customHeight="1">
      <x:c r="A29" s="57" t="str">
        <x:v>F-14</x:v>
      </x:c>
      <x:c r="B29" s="39" t="str">
        <x:v>Creator price entry exposes raw base units</x:v>
      </x:c>
      <x:c r="C29" s="39" t="str">
        <x:v>Open defect</x:v>
      </x:c>
      <x:c r="D29" s="39" t="str">
        <x:v>P2</x:v>
      </x:c>
      <x:c r="E29" s="39" t="str">
        <x:v>The user approves an exact human-readable amount with a named unit.</x:v>
      </x:c>
      <x:c r="F29" s="39" t="str">
        <x:v>Current dialog requests raw base units and supplies a large example. This is a source UX risk; no incorrect payment or loss was demonstrated.</x:v>
      </x:c>
      <x:c r="G29" s="39" t="str">
        <x:v>Render symbol/decimals from trusted token metadata and convert decimal text to an exact integer. Show resulting terms before approval.</x:v>
      </x:c>
      <x:c r="H29" s="39" t="str">
        <x:v>Use one exact conversion path; keep raw units as technical detail. Avoid floating point, guessed symbols or assumed 18 decimals.</x:v>
      </x:c>
      <x:c r="I29" s="39" t="str">
        <x:v>Principles 4, 11, 14, 19. Runtime projects token facts; Wallet owns approval; Chain validates effects.</x:v>
      </x:c>
      <x:c r="J29" s="39" t="str">
        <x:v>Test zero/non-18 decimals, limits, excess precision and round-trip equality. Missing metadata blocks amount approval with guidance. Use fixtures and cancel before signing.</x:v>
      </x:c>
      <x:c r="K29" s="39" t="str">
        <x:v>F-10 prevents active mint proof.</x:v>
      </x:c>
      <x:c r="L29" s="39" t="str">
        <x:v>capsules/library/browser/src/dialog.js:837; capsules/library/browser/src/actions.js:346; S-206, S-081; capsules/library/browser/src/dialog.js:855-883</x:v>
      </x:c>
    </x:row>
    <x:row r="30" ht="172.5" customHeight="1">
      <x:c r="A30" s="57" t="str">
        <x:v>F-15</x:v>
      </x:c>
      <x:c r="B30" s="39" t="str">
        <x:v>Home Search has no panel markup</x:v>
      </x:c>
      <x:c r="C30" s="39" t="str">
        <x:v>Retain fix</x:v>
      </x:c>
      <x:c r="D30" s="39" t="str">
        <x:v>Closed</x:v>
      </x:c>
      <x:c r="E30" s="39" t="str">
        <x:v>Every visible Search control has a reachable and keyboard-operable destination.</x:v>
      </x:c>
      <x:c r="F30" s="39" t="str">
        <x:v>e699cb29 restores the missing surface; E-036/E-037 establish installed opening, focus and app search. F-49 is a separate missing data source.</x:v>
      </x:c>
      <x:c r="G30" s="39" t="str">
        <x:v>Keep the restored Spotlight surface and its focused regressions.</x:v>
      </x:c>
      <x:c r="H30" s="39" t="str">
        <x:v>Use one Search panel and canonical launch path; do not reopen this markup fix for missing document results.</x:v>
      </x:c>
      <x:c r="I30" s="39" t="str">
        <x:v>Principles 7, 10, 17. Home GUI owns search presentation; Runtime supplies admitted facts and launches.</x:v>
      </x:c>
      <x:c r="J30" s="39" t="str">
        <x:v>Retain pointer/keyboard open, empty result, app launch and Escape/focus proof. Verify document coverage under F-49.</x:v>
      </x:c>
      <x:c r="K30" s="39" t="str">
        <x:v>F-49 remains open.</x:v>
      </x:c>
      <x:c r="L30" s="39" t="str">
        <x:v>capsules/home-gui/browser/home-gui.js:1231; capsules/home-gui/browser/shell-spotlight.js:358; E-033; E-036; E-037</x:v>
      </x:c>
    </x:row>
    <x:row r="31" ht="172.5" customHeight="1">
      <x:c r="A31" s="57" t="str">
        <x:v>F-16</x:v>
      </x:c>
      <x:c r="B31" s="39" t="str">
        <x:v>Assistant stops during Clipboard initialization</x:v>
      </x:c>
      <x:c r="C31" s="39" t="str">
        <x:v>Retain fix</x:v>
      </x:c>
      <x:c r="D31" s="39" t="str">
        <x:v>Closed</x:v>
      </x:c>
      <x:c r="E31" s="39" t="str">
        <x:v>An optional Clipboard bridge initializes within the admitted Home authority boundary.</x:v>
      </x:c>
      <x:c r="F31" s="39" t="str">
        <x:v>2e9644d2 repairs trusted origin initialization and recorded Brave startup reaches the honest zero-offer state. This does not establish Clipboard acceptance for every failure fixture.</x:v>
      </x:c>
      <x:c r="G31" s="39" t="str">
        <x:v>Keep the origin repair and strict source/token/generation checks.</x:v>
      </x:c>
      <x:c r="H31" s="39" t="str">
        <x:v>Retain one trusted Clipboard bridge. Avoid wildcard origins or swallowing all startup exceptions.</x:v>
      </x:c>
      <x:c r="I31" s="39" t="str">
        <x:v>Principles 3, 4, 16. Home owns Clipboard mediation; Assistant remains an isolated capsule.</x:v>
      </x:c>
      <x:c r="J31" s="39" t="str">
        <x:v>Retain startup/mode proof. Wrong-origin, opaque-frame and stale-generation fixtures remain explicit regression coverage, not inferred live passes.</x:v>
      </x:c>
      <x:c r="K31" s="39" t="str">
        <x:v>F-08 model availability and F-17 workspace persistence are separate.</x:v>
      </x:c>
      <x:c r="L31" s="39" t="str">
        <x:v>capsules/assistant/browser/assistant.js:1237; capsules/home/browser/home-clipboard-client.js:107; E-034; E-036; E-037</x:v>
      </x:c>
    </x:row>
    <x:row r="32" ht="172.5" customHeight="1">
      <x:c r="A32" s="57" t="str">
        <x:v>F-17</x:v>
      </x:c>
      <x:c r="B32" s="39" t="str">
        <x:v>Assistant workspace writes use the wrong HTTP method</x:v>
      </x:c>
      <x:c r="C32" s="39" t="str">
        <x:v>Retain fix</x:v>
      </x:c>
      <x:c r="D32" s="39" t="str">
        <x:v>Closed</x:v>
      </x:c>
      <x:c r="E32" s="39" t="str">
        <x:v>A workspace save uses the Runtime's declared update method and revision contract.</x:v>
      </x:c>
      <x:c r="F32" s="39" t="str">
        <x:v>03757c2b supplies PUT plus JSON. Recorded installed empty-workspace save and reopen pass.</x:v>
      </x:c>
      <x:c r="G32" s="39" t="str">
        <x:v>Keep the exact HTTP contract correction.</x:v>
      </x:c>
      <x:c r="H32" s="39" t="str">
        <x:v>Keep one request helper and existing revision/conflict handling; avoid another persistence path.</x:v>
      </x:c>
      <x:c r="I32" s="39" t="str">
        <x:v>Principles 1, 4, 10. Runtime owns protected workspace storage; Assistant submits updates.</x:v>
      </x:c>
      <x:c r="J32" s="39" t="str">
        <x:v>Retain PUT/body contract and installed mode save/reopen proof; reject stale revisions without overwriting user work.</x:v>
      </x:c>
      <x:c r="K32" s="39" t="str">
        <x:v>F-16 repaired startup; F-08 still gates model execution.</x:v>
      </x:c>
      <x:c r="L32" s="39" t="str">
        <x:v>capsules/assistant/browser/assistant.js:521; capsules/assistant/browser/assistant.js:670; elastos/crates/elastos-server/src/api/gateway.rs:691; E-037; E-038; E-039</x:v>
      </x:c>
    </x:row>
    <x:row r="33" ht="172.5" customHeight="1">
      <x:c r="A33" s="57" t="str">
        <x:v>F-18</x:v>
      </x:c>
      <x:c r="B33" s="39" t="str">
        <x:v>About and Shortcuts menu entries have no panels</x:v>
      </x:c>
      <x:c r="C33" s="39" t="str">
        <x:v>Retain fix</x:v>
      </x:c>
      <x:c r="D33" s="39" t="str">
        <x:v>Closed</x:v>
      </x:c>
      <x:c r="E33" s="39" t="str">
        <x:v>A menu command opens its named panel and returns keyboard focus on close.</x:v>
      </x:c>
      <x:c r="F33" s="39" t="str">
        <x:v>b1586c5e restores About/Shortcuts; installed pointer, keyboard, Escape and About-to-System proof exists.</x:v>
      </x:c>
      <x:c r="G33" s="39" t="str">
        <x:v>Keep the existing panels and canonical System deep link.</x:v>
      </x:c>
      <x:c r="H33" s="39" t="str">
        <x:v>Avoid adding a second About source or copying mutable Runtime facts into static UI.</x:v>
      </x:c>
      <x:c r="I33" s="39" t="str">
        <x:v>Principles 7, 10, 12, 17. Home owns its menus; Runtime supplies facts; System owns inspection.</x:v>
      </x:c>
      <x:c r="J33" s="39" t="str">
        <x:v>Retain recorded open/close/focus and More Info proof. Facts remain correct after refresh.</x:v>
      </x:c>
      <x:c r="K33" s="39" t="str">
        <x:v>F-30 branding is independent.</x:v>
      </x:c>
      <x:c r="L33" s="39" t="str">
        <x:v>capsules/home-gui/browser/home-gui.js:989; capsules/home-gui/browser/home-gui.js:1210; capsules/home-gui/browser/home-gui-template.html:40; E-042</x:v>
      </x:c>
    </x:row>
    <x:row r="34" ht="172.5" customHeight="1">
      <x:c r="A34" s="57" t="str">
        <x:v>F-19</x:v>
      </x:c>
      <x:c r="B34" s="39" t="str">
        <x:v>Incoming Carrier diagnostics expose dial addresses</x:v>
      </x:c>
      <x:c r="C34" s="39" t="str">
        <x:v>Retain fix</x:v>
      </x:c>
      <x:c r="D34" s="39" t="str">
        <x:v>Closed</x:v>
      </x:c>
      <x:c r="E34" s="39" t="str">
        <x:v>Private transport diagnostics stay with the Runtime operator.</x:v>
      </x:c>
      <x:c r="F34" s="39" t="str">
        <x:v>8317044e bounds capsule-visible errors; two privacy tests and installed Runtime parity are recorded. Live external failure injection was deliberately omitted.</x:v>
      </x:c>
      <x:c r="G34" s="39" t="str">
        <x:v>Keep sanitized public errors and useful private diagnostics.</x:v>
      </x:c>
      <x:c r="H34" s="39" t="str">
        <x:v>Remove detailed cause chains only at the public boundary; retain Irzhy's valid test/portability changes.</x:v>
      </x:c>
      <x:c r="I34" s="39" t="str">
        <x:v>Principles 3, 4, 16. Runtime owns routes and diagnostics; capsules receive bounded failure facts.</x:v>
      </x:c>
      <x:c r="J34" s="39" t="str">
        <x:v>Retain private-address sentinel tests and installed parity. Fault injection, if needed, belongs in an isolated provider fixture.</x:v>
      </x:c>
      <x:c r="K34" s="39" t="str">
        <x:v>Incoming 7e4b0dd4 is a separate setup change.</x:v>
      </x:c>
      <x:c r="L34" s="39" t="str">
        <x:v>elastos/crates/elastos-server/src/carrier.rs:6258; elastos/crates/elastos-server/src/carrier.rs:3175; elastos/crates/elastos-server/src/api/gateway_provider_proxy.rs:1843; E-041</x:v>
      </x:c>
    </x:row>
    <x:row r="35" ht="172.5" customHeight="1">
      <x:c r="A35" s="57" t="str">
        <x:v>F-20</x:v>
      </x:c>
      <x:c r="B35" s="39" t="str">
        <x:v>Browser socket directories lack owner validation</x:v>
      </x:c>
      <x:c r="C35" s="39" t="str">
        <x:v>Retain fix</x:v>
      </x:c>
      <x:c r="D35" s="39" t="str">
        <x:v>Closed</x:v>
      </x:c>
      <x:c r="E35" s="39" t="str">
        <x:v>Runtime socket storage belongs to the correct local owner and data root.</x:v>
      </x:c>
      <x:c r="F35" s="39" t="str">
        <x:v>7b99215b adapts Irzhy's historical fix with owner/mode/symlink checks and short paths. Recorded tests and live 0700 roots support the bounded claim.</x:v>
      </x:c>
      <x:c r="G35" s="39" t="str">
        <x:v>Keep current private-root validation and data-root-scoped socket identity.</x:v>
      </x:c>
      <x:c r="H35" s="39" t="str">
        <x:v>Retain the adapted current lifecycle; avoid restoring old fixed shared roots or broad cleanup.</x:v>
      </x:c>
      <x:c r="I35" s="39" t="str">
        <x:v>Principles 3, 4, 10, 18. Runtime owns socket creation and exact lifecycle cleanup.</x:v>
      </x:c>
      <x:c r="J35" s="39" t="str">
        <x:v>Retain unsafe-root negatives, path-length tests and live-socket preservation proof. Browser media reliability remains F-43.</x:v>
      </x:c>
      <x:c r="K35" s="39" t="str">
        <x:v>Historical 67989421/1aa77dce intent included; F-43 separate.</x:v>
      </x:c>
      <x:c r="L35" s="39" t="str">
        <x:v>elastos/crates/elastos-server/src/api/gateway_browser_stream.rs:1468; E-041</x:v>
      </x:c>
    </x:row>
    <x:row r="36" ht="172.5" customHeight="1">
      <x:c r="A36" s="57" t="str">
        <x:v>F-21</x:v>
      </x:c>
      <x:c r="B36" s="39" t="str">
        <x:v>Wallet timeout tests retain real-clock races</x:v>
      </x:c>
      <x:c r="C36" s="39" t="str">
        <x:v>Retain fix</x:v>
      </x:c>
      <x:c r="D36" s="39" t="str">
        <x:v>Closed</x:v>
      </x:c>
      <x:c r="E36" s="39" t="str">
        <x:v>A timeout test measures ordering and settlement, not machine load.</x:v>
      </x:c>
      <x:c r="F36" s="39" t="str">
        <x:v>17561bf7 adapts paused-time Wallet tests and exact retry settlement. Focused repeats are recorded; this is a test repair rather than a live Wallet bug fix.</x:v>
      </x:c>
      <x:c r="G36" s="39" t="str">
        <x:v>Keep virtual-time and final-state assertions.</x:v>
      </x:c>
      <x:c r="H36" s="39" t="str">
        <x:v>Replace real-clock races in these tests only; avoid broad production timing changes.</x:v>
      </x:c>
      <x:c r="I36" s="39" t="str">
        <x:v>Principles 12, 19. Tests prove Runtime/Wallet settlement boundaries without changing them.</x:v>
      </x:c>
      <x:c r="J36" s="39" t="str">
        <x:v>Retain two Wallet and two reconciliation tests with repeated runs and terminal ownership assertions.</x:v>
      </x:c>
      <x:c r="K36" s="39" t="str">
        <x:v>Historical 353fa15b/e148218b adaptations included.</x:v>
      </x:c>
      <x:c r="L36" s="39" t="str">
        <x:v>elastos/crates/elastos-server/src/api/gateway_browser_route_tests.rs:3151; elastos/crates/elastos-server/src/api/gateway_browser_route_tests.rs:3196; E-041</x:v>
      </x:c>
    </x:row>
    <x:row r="37" ht="172.5" customHeight="1">
      <x:c r="A37" s="57" t="str">
        <x:v>F-22</x:v>
      </x:c>
      <x:c r="B37" s="39" t="str">
        <x:v>Library properties text is unreadable in Dark theme</x:v>
      </x:c>
      <x:c r="C37" s="39" t="str">
        <x:v>Retain fix</x:v>
      </x:c>
      <x:c r="D37" s="39" t="str">
        <x:v>Closed</x:v>
      </x:c>
      <x:c r="E37" s="39" t="str">
        <x:v>Text and its surface use the same theme contract.</x:v>
      </x:c>
      <x:c r="F37" s="39" t="str">
        <x:v>a325186c replaces incompatible hard-coded surfaces; installed Dark/Light Properties and footer proof passes.</x:v>
      </x:c>
      <x:c r="G37" s="39" t="str">
        <x:v>Keep shared surface/ink tokens.</x:v>
      </x:c>
      <x:c r="H37" s="39" t="str">
        <x:v>Remove local color exceptions rather than adding theme-specific patches for each label.</x:v>
      </x:c>
      <x:c r="I37" s="39" t="str">
        <x:v>Principles 7, 17. Library owns layout; shared design tokens own theme semantics.</x:v>
      </x:c>
      <x:c r="J37" s="39" t="str">
        <x:v>Retain General/Technical and footer contrast checks in both themes. Keyboard panel access remains F-46.</x:v>
      </x:c>
      <x:c r="K37" s="39" t="str">
        <x:v>F-46 is not closed by visual contrast proof.</x:v>
      </x:c>
      <x:c r="L37" s="39" t="str">
        <x:v>capsules/library/browser/library.css:1162; capsules/library/browser/library.css:1210; E-044; E-051</x:v>
      </x:c>
    </x:row>
    <x:row r="38" ht="172.5" customHeight="1">
      <x:c r="A38" s="57" t="str">
        <x:v>F-23</x:v>
      </x:c>
      <x:c r="B38" s="39" t="str">
        <x:v>Incomplete Markdown heading hangs Documents rendering</x:v>
      </x:c>
      <x:c r="C38" s="39" t="str">
        <x:v>Retain fix</x:v>
      </x:c>
      <x:c r="D38" s="39" t="str">
        <x:v>Closed</x:v>
      </x:c>
      <x:c r="E38" s="39" t="str">
        <x:v>Every parser iteration either consumes input or finishes safely.</x:v>
      </x:c>
      <x:c r="F38" s="39" t="str">
        <x:v>f00948ab fixes the non-advancing incomplete-heading case. Bounded parser tests and installed incremental edit/autosave proof are recorded.</x:v>
      </x:c>
      <x:c r="G38" s="39" t="str">
        <x:v>Keep progress guards and incomplete-input handling.</x:v>
      </x:c>
      <x:c r="H38" s="39" t="str">
        <x:v>Retain the supported safe Markdown subset; avoid replacing the parser for this fixed loop.</x:v>
      </x:c>
      <x:c r="I38" s="39" t="str">
        <x:v>Principles 1, 7, 12. Documents owns rendering while Runtime owns saved objects.</x:v>
      </x:c>
      <x:c r="J38" s="39" t="str">
        <x:v>Retain termination tests for incomplete constructs and incremental typing. F-45 needs its own destination parsing proof.</x:v>
      </x:c>
      <x:c r="K38" s="39" t="str">
        <x:v>F-45 is a different parser defect.</x:v>
      </x:c>
      <x:c r="L38" s="39" t="str">
        <x:v>capsules/documents/browser/index.html:1429; capsules/documents/browser/index.html:1461; capsules/documents/browser/index.html:1538; E-045</x:v>
      </x:c>
    </x:row>
    <x:row r="39" ht="172.5" customHeight="1">
      <x:c r="A39" s="57" t="str">
        <x:v>F-24</x:v>
      </x:c>
      <x:c r="B39" s="39" t="str">
        <x:v>Library file shortcuts override focused toolbar controls</x:v>
      </x:c>
      <x:c r="C39" s="39" t="str">
        <x:v>Retain fix</x:v>
      </x:c>
      <x:c r="D39" s="39" t="str">
        <x:v>Closed</x:v>
      </x:c>
      <x:c r="E39" s="39" t="str">
        <x:v>The focused control owns its native keyboard action.</x:v>
      </x:c>
      <x:c r="F39" s="39" t="str">
        <x:v>782b8483 scopes Library file shortcuts to the content surface. Installed Back/Forward/New Folder Enter proof passes with a file selected.</x:v>
      </x:c>
      <x:c r="G39" s="39" t="str">
        <x:v>Keep focus-scoped shortcut handling.</x:v>
      </x:c>
      <x:c r="H39" s="39" t="str">
        <x:v>Remove global interception at the source; avoid per-button stopPropagation patches.</x:v>
      </x:c>
      <x:c r="I39" s="39" t="str">
        <x:v>Principles 7, 17. Library's selection shortcuts yield to its interactive controls.</x:v>
      </x:c>
      <x:c r="J39" s="39" t="str">
        <x:v>Retain focused toolbar activation plus file Enter, menu and dialog regressions.</x:v>
      </x:c>
      <x:c r="K39" s="39" t="str">
        <x:v>Same pattern appears independently in F-33/F-39/F-42.</x:v>
      </x:c>
      <x:c r="L39" s="39" t="str">
        <x:v>capsules/library/browser/src/events.js:228; capsules/library/browser/src/events.js:240; E-044</x:v>
      </x:c>
    </x:row>
    <x:row r="40" ht="172.5" customHeight="1">
      <x:c r="A40" s="57" t="str">
        <x:v>F-25</x:v>
      </x:c>
      <x:c r="B40" s="39" t="str">
        <x:v>Library cannot retry a corrected name after a failed create</x:v>
      </x:c>
      <x:c r="C40" s="39" t="str">
        <x:v>Partial fix</x:v>
      </x:c>
      <x:c r="D40" s="39" t="str">
        <x:v>P2</x:v>
      </x:c>
      <x:c r="E40" s="39" t="str">
        <x:v>A failed validation leaves an editable, retryable command with clear guidance.</x:v>
      </x:c>
      <x:c r="F40" s="39" t="str">
        <x:v>a1dee79d resets the submit guard and the corrected-name live retry passes. The remaining defect is generic validation feedback, not retry failure.</x:v>
      </x:c>
      <x:c r="G40" s="39" t="str">
        <x:v>Add a bounded, associated name error to the existing editor and clear it after correction.</x:v>
      </x:c>
      <x:c r="H40" s="39" t="str">
        <x:v>Keep the repaired single-submit guard. Combine remaining feedback work with F-48 instead of a second editor.</x:v>
      </x:c>
      <x:c r="I40" s="39" t="str">
        <x:v>Principles 7, 11, 19. Runtime validates names; Library explains the result and preserves single-effect behavior.</x:v>
      </x:c>
      <x:c r="J40" s="39" t="str">
        <x:v>Invalid name shows its rule; corrected input succeeds once; repeated Enter and blur do not duplicate; Escape preserves existing objects.</x:v>
      </x:c>
      <x:c r="K40" s="39" t="str">
        <x:v>F-48 can share the same small UI patch; F-26 stays closed.</x:v>
      </x:c>
      <x:c r="L40" s="39" t="str">
        <x:v>capsules/library/browser/src/editor.js:102; E-044; capsules/library/browser/src/editor.js:103-149</x:v>
      </x:c>
    </x:row>
    <x:row r="41" ht="172.5" customHeight="1">
      <x:c r="A41" s="57" t="str">
        <x:v>F-26</x:v>
      </x:c>
      <x:c r="B41" s="39" t="str">
        <x:v>Library New Text Document can replace an existing file</x:v>
      </x:c>
      <x:c r="C41" s="39" t="str">
        <x:v>Retain fix</x:v>
      </x:c>
      <x:c r="D41" s="39" t="str">
        <x:v>Closed</x:v>
      </x:c>
      <x:c r="E41" s="39" t="str">
        <x:v>New creates a new object atomically and preserves an existing object's bytes.</x:v>
      </x:c>
      <x:c r="F41" s="39" t="str">
        <x:v>9feaaa05 adds create-only semantics; recorded provider tests and E-066/E-067 verify duplicate-name preservation on installed object-provider.</x:v>
      </x:c>
      <x:c r="G41" s="39" t="str">
        <x:v>Keep provider-enforced atomic create-only behavior and conflict feedback.</x:v>
      </x:c>
      <x:c r="H41" s="39" t="str">
        <x:v>Retain one write contract with an explicit create condition. A UI existence check alone is insufficient.</x:v>
      </x:c>
      <x:c r="I41" s="39" t="str">
        <x:v>Principles 1, 3, 4, 19. Object provider enforces atomic creation; Runtime admits the effect; Library reports conflict.</x:v>
      </x:c>
      <x:c r="J41" s="39" t="str">
        <x:v>Retain simultaneous-create negatives and exact bytes/revision checks. Intentional saves remain revision-controlled.</x:v>
      </x:c>
      <x:c r="K41" s="39" t="str">
        <x:v>F-25/F-48 concern correction and naming, not atomic creation.</x:v>
      </x:c>
      <x:c r="L41" s="39" t="str">
        <x:v>capsules/library/browser/src/editor.js:52; elastos/crates/elastos-server/src/library.rs:3653; E-044; E-059; E-064; E-066; E-067</x:v>
      </x:c>
    </x:row>
    <x:row r="42" ht="172.5" customHeight="1">
      <x:c r="A42" s="57" t="str">
        <x:v>F-27</x:v>
      </x:c>
      <x:c r="B42" s="39" t="str">
        <x:v>Chat heading overlaps Home window controls</x:v>
      </x:c>
      <x:c r="C42" s="39" t="str">
        <x:v>Open defect</x:v>
      </x:c>
      <x:c r="D42" s="39" t="str">
        <x:v>P2</x:v>
      </x:c>
      <x:c r="E42" s="39" t="str">
        <x:v>App content reserves space for Home-owned window controls.</x:v>
      </x:c>
      <x:c r="F42" s="39" t="str">
        <x:v>Current Chat sidebar starts at 12px and E-046 shows heading overlap. The defect is layout ownership, not a reason to duplicate window chrome.</x:v>
      </x:c>
      <x:c r="G42" s="39" t="str">
        <x:v>Apply the existing shared Home chrome inset to the Chat header.</x:v>
      </x:c>
      <x:c r="H42" s="39" t="str">
        <x:v>Reuse the chrome contract and current layout; avoid a second title bar or isolated magic offsets.</x:v>
      </x:c>
      <x:c r="I42" s="39" t="str">
        <x:v>Principles 5, 17. Home owns window controls; Chat owns its content below them.</x:v>
      </x:c>
      <x:c r="J42" s="39" t="str">
        <x:v>Check embedded normal, narrow and fullscreen views with readable heading and reachable controls.</x:v>
      </x:c>
      <x:c r="K42" s="39" t="str">
        <x:v>Independent of Chat dispatch F-60.</x:v>
      </x:c>
      <x:c r="L42" s="39" t="str">
        <x:v>capsules/chat-room/browser/style.css:132; E-046; capsules/chat-room/browser/style.css:132</x:v>
      </x:c>
    </x:row>
    <x:row r="43" ht="172.5" customHeight="1">
      <x:c r="A43" s="57" t="str">
        <x:v>F-28</x:v>
      </x:c>
      <x:c r="B43" s="39" t="str">
        <x:v>Chat attachment button loses its name and gives no picker feedback</x:v>
      </x:c>
      <x:c r="C43" s="39" t="str">
        <x:v>Open defect</x:v>
      </x:c>
      <x:c r="D43" s="39" t="str">
        <x:v>P2</x:v>
      </x:c>
      <x:c r="E43" s="39" t="str">
        <x:v>An enabled Attach control has a stable name and one authorized picker result.</x:v>
      </x:c>
      <x:c r="F43" s="39" t="str">
        <x:v>Current room rendering removes aria-label, and picker postMessage uses the child origin. These are two concrete defects in one visible action.</x:v>
      </x:c>
      <x:c r="G43" s="39" t="str">
        <x:v>Keep an Attach label and route the picker request through the admitted Home bridge; expose bounded failure or cancellation.</x:v>
      </x:c>
      <x:c r="H43" s="39" t="str">
        <x:v>Reuse the Home picker path. Avoid permissive origins or a second file-transfer path.</x:v>
      </x:c>
      <x:c r="I43" s="39" t="str">
        <x:v>Principles 3, 7, 16. Home owns picker navigation; Runtime scopes objects; Chat sends only after user action.</x:v>
      </x:c>
      <x:c r="J43" s="39" t="str">
        <x:v>Room Attach is named, opens the scoped picker and returns focus on Cancel. Forged sender is rejected. Direct mode remains accurately unavailable.</x:v>
      </x:c>
      <x:c r="K43" s="39" t="str">
        <x:v>F-35 shares message-topology concerns but needs separate receiver proof.</x:v>
      </x:c>
      <x:c r="L43" s="39" t="str">
        <x:v>capsules/chat-room-ui/src/lib.rs:2824; E-046; capsules/chat-room-ui/src/lib.rs:2478,2824</x:v>
      </x:c>
    </x:row>
    <x:row r="44" ht="172.5" customHeight="1">
      <x:c r="A44" s="57" t="str">
        <x:v>F-29</x:v>
      </x:c>
      <x:c r="B44" s="39" t="str">
        <x:v>Wallet and Inbox rails are missing from Home markup</x:v>
      </x:c>
      <x:c r="C44" s="39" t="str">
        <x:v>Retain fix</x:v>
      </x:c>
      <x:c r="D44" s="39" t="str">
        <x:v>Closed</x:v>
      </x:c>
      <x:c r="E44" s="39" t="str">
        <x:v>Toolbar review controls open one consistent view of the same Runtime facts.</x:v>
      </x:c>
      <x:c r="F44" s="39" t="str">
        <x:v>26388f8d and E-100 prove both rails, mutual exclusion, refresh, focus and full-app handoffs. Failure and funded cases remain fixture-specific.</x:v>
      </x:c>
      <x:c r="G44" s="39" t="str">
        <x:v>Keep the restored rail structures and their admitted bindings.</x:v>
      </x:c>
      <x:c r="H44" s="39" t="str">
        <x:v>Use existing full apps for full workflows; avoid duplicate approval or balance authority in rails.</x:v>
      </x:c>
      <x:c r="I44" s="39" t="str">
        <x:v>Principles 4, 7, 16, 17. Home owns chrome; Inbox/Wallet own their views; Runtime/Wallet own approval.</x:v>
      </x:c>
      <x:c r="J44" s="39" t="str">
        <x:v>Retain recorded safe rail proof. Add isolated error/retry and funded cases only when their fixtures are approved.</x:v>
      </x:c>
      <x:c r="K44" s="39" t="str">
        <x:v>F-58 concerns Terminal-to-Desktop review.</x:v>
      </x:c>
      <x:c r="L44" s="39" t="str">
        <x:v>capsules/home-gui/browser/home-gui-template.html:83; capsules/home-gui/browser/shell-inbox-rail.js:114; E-046; E-088; E-098; E-099; E-100</x:v>
      </x:c>
    </x:row>
    <x:row r="45" ht="172.5" customHeight="1">
      <x:c r="A45" s="57" t="str">
        <x:v>F-30</x:v>
      </x:c>
      <x:c r="B45" s="39" t="str">
        <x:v>Home light-theme logo references a missing SVG</x:v>
      </x:c>
      <x:c r="C45" s="39" t="str">
        <x:v>Open defect</x:v>
      </x:c>
      <x:c r="D45" s="39" t="str">
        <x:v>P2</x:v>
      </x:c>
      <x:c r="E45" s="39" t="str">
        <x:v>Every theme references a shipped, readable brand asset.</x:v>
      </x:c>
      <x:c r="F45" s="39" t="str">
        <x:v>Light theme references elastos-logo-ink.svg; current directory only contains elastos-logo.svg. E-046 confirms the missing asset.</x:v>
      </x:c>
      <x:c r="G45" s="39" t="str">
        <x:v>Use a valid existing readable asset or supply the intended ink variant through the existing asset pipeline.</x:v>
      </x:c>
      <x:c r="H45" s="39" t="str">
        <x:v>Keep one brand system; remove the dangling reference. Avoid runtime fallback chains or blanket icon inversion.</x:v>
      </x:c>
      <x:c r="I45" s="39" t="str">
        <x:v>Principles 12, 17. Home owns its brand presentation and declared assets.</x:v>
      </x:c>
      <x:c r="J45" s="39" t="str">
        <x:v>Light/Dark/Light shows a loaded readable logo; exact served assets return 200 and match source/install metadata.</x:v>
      </x:c>
      <x:c r="K45" s="39" t="str">
        <x:v>F-61 applies to installation verification.</x:v>
      </x:c>
      <x:c r="L45" s="39" t="str">
        <x:v>capsules/home-gui/browser/style.css:278; E-046; capsules/home-gui/browser/style.css:278</x:v>
      </x:c>
    </x:row>
    <x:row r="46" ht="172.5" customHeight="1">
      <x:c r="A46" s="57" t="str">
        <x:v>F-31</x:v>
      </x:c>
      <x:c r="B46" s="39" t="str">
        <x:v>Marketplace search has no accessible name</x:v>
      </x:c>
      <x:c r="C46" s="39" t="str">
        <x:v>Open defect</x:v>
      </x:c>
      <x:c r="D46" s="39" t="str">
        <x:v>P2</x:v>
      </x:c>
      <x:c r="E46" s="39" t="str">
        <x:v>A search field has a persistent accessible name that states its scope.</x:v>
      </x:c>
      <x:c r="F46" s="39" t="str">
        <x:v>The current label contains only a hidden icon. The audit found an unnamed searchbox; placeholder text is not a reliable labeling contract.</x:v>
      </x:c>
      <x:c r="G46" s="39" t="str">
        <x:v>Add an explicit label or aria-label matching the supported Marketplace search scope.</x:v>
      </x:c>
      <x:c r="H46" s="39" t="str">
        <x:v>Use the existing input; avoid a wrapper component or new search system.</x:v>
      </x:c>
      <x:c r="I46" s="39" t="str">
        <x:v>Principles 7, 14, 17. Marketplace owns clear control semantics.</x:v>
      </x:c>
      <x:c r="J46" s="39" t="str">
        <x:v>Accessibility tree exposes the intended name; matching, absent query and keyboard behavior stay correct.</x:v>
      </x:c>
      <x:c r="K46" s="39" t="str">
        <x:v>Same labeling pattern as F-48, separate app.</x:v>
      </x:c>
      <x:c r="L46" s="39" t="str">
        <x:v>capsules/marketplace/browser/index.html:15; E-049; capsules/marketplace/browser/index.html:15-28</x:v>
      </x:c>
    </x:row>
    <x:row r="47" ht="172.5" customHeight="1">
      <x:c r="A47" s="57" t="str">
        <x:v>F-32</x:v>
      </x:c>
      <x:c r="B47" s="39" t="str">
        <x:v>Marketplace labels undeclared payment and protected-content support as present</x:v>
      </x:c>
      <x:c r="C47" s="39" t="str">
        <x:v>Open defect</x:v>
      </x:c>
      <x:c r="D47" s="39" t="str">
        <x:v>P2</x:v>
      </x:c>
      <x:c r="E47" s="39" t="str">
        <x:v>The UI claims support only when Runtime explicitly declares it.</x:v>
      </x:c>
      <x:c r="F47" s="39" t="str">
        <x:v>statusItems treats any value except none as support, including Runtime's not-declared state. This is a confirmed projection error, not granted authority.</x:v>
      </x:c>
      <x:c r="G47" s="39" t="str">
        <x:v>Map supported states explicitly and render undeclared/unknown states accurately.</x:v>
      </x:c>
      <x:c r="H47" s="39" t="str">
        <x:v>Replace truthiness with the existing typed state contract; avoid another capability detector.</x:v>
      </x:c>
      <x:c r="I47" s="39" t="str">
        <x:v>Principles 3, 4, 11, 16. Runtime owns capability facts; Marketplace renders them.</x:v>
      </x:c>
      <x:c r="J47" s="39" t="str">
        <x:v>Known support, none, not-declared and unknown fixture values produce accurate labels and never imply execution or readiness.</x:v>
      </x:c>
      <x:c r="K47" s="39" t="str">
        <x:v>F-12 installer scope is separate.</x:v>
      </x:c>
      <x:c r="L47" s="39" t="str">
        <x:v>capsules/marketplace/browser/marketplace.js:917; elastos/crates/elastos-server/src/api/gateway_capsule_catalog/read_model.rs:366; E-049; capsules/marketplace/browser/marketplace.js:911-925</x:v>
      </x:c>
    </x:row>
    <x:row r="48" ht="172.5" customHeight="1">
      <x:c r="A48" s="57" t="str">
        <x:v>F-33</x:v>
      </x:c>
      <x:c r="B48" s="39" t="str">
        <x:v>Marketplace Open button opens details when activated by keyboard</x:v>
      </x:c>
      <x:c r="C48" s="39" t="str">
        <x:v>Open defect</x:v>
      </x:c>
      <x:c r="D48" s="39" t="str">
        <x:v>P2</x:v>
      </x:c>
      <x:c r="E48" s="39" t="str">
        <x:v>A child button's Enter/Space activation does not become its card's action.</x:v>
      </x:c>
      <x:c r="F48" s="39" t="str">
        <x:v>Card keydown catches descendant events and prevents native Open activation. Current source and E-049 agree.</x:v>
      </x:c>
      <x:c r="G48" s="39" t="str">
        <x:v>Handle card activation only when the card itself is the event target, or use a separate native details control.</x:v>
      </x:c>
      <x:c r="H48" s="39" t="str">
        <x:v>Keep native button behavior; avoid per-child event workarounds.</x:v>
      </x:c>
      <x:c r="I48" s="39" t="str">
        <x:v>Principles 7, 17. Each control owns its stated action.</x:v>
      </x:c>
      <x:c r="J48" s="39" t="str">
        <x:v>Card Enter/Space opens details; Open Enter/Space launches once; pointer behavior stays unchanged.</x:v>
      </x:c>
      <x:c r="K48" s="39" t="str">
        <x:v>Related focus pattern F-24/F-42.</x:v>
      </x:c>
      <x:c r="L48" s="39" t="str">
        <x:v>capsules/marketplace/browser/marketplace.js:1103; E-049; capsules/marketplace/browser/marketplace.js:1103</x:v>
      </x:c>
    </x:row>
    <x:row r="49" ht="172.5" customHeight="1">
      <x:c r="A49" s="57" t="str">
        <x:v>F-34</x:v>
      </x:c>
      <x:c r="B49" s="39" t="str">
        <x:v>Player treats no selection as an unavailable video</x:v>
      </x:c>
      <x:c r="C49" s="39" t="str">
        <x:v>Open defect</x:v>
      </x:c>
      <x:c r="D49" s="39" t="str">
        <x:v>P3</x:v>
      </x:c>
      <x:c r="E49" s="39" t="str">
        <x:v>An empty selection is a neutral state with a clear next step.</x:v>
      </x:c>
      <x:c r="F49" s="39" t="str">
        <x:v>Empty mintId takes the unavailable-video error path. The gate safely avoids viewer open, but the wording misstates the state.</x:v>
      </x:c>
      <x:c r="G49" s="39" t="str">
        <x:v>Show one choose-content instruction for empty launch; keep invalid ID and denied-rights errors distinct.</x:v>
      </x:c>
      <x:c r="H49" s="39" t="str">
        <x:v>Use an early empty-state branch; avoid a placeholder player or automatic content selection.</x:v>
      </x:c>
      <x:c r="I49" s="39" t="str">
        <x:v>Principles 11, 14, 15. Player presents content; Runtime/providers authorize access.</x:v>
      </x:c>
      <x:c r="J49" s="39" t="str">
        <x:v>Empty launch makes zero viewer-open requests and gives one next step; malformed ID and rights failure remain bounded.</x:v>
      </x:c>
      <x:c r="K49" s="39" t="str">
        <x:v>F-10 actual protected playback is separately gated.</x:v>
      </x:c>
      <x:c r="L49" s="39" t="str">
        <x:v>capsules/elacity-player/browser/player.js:349; E-050; capsules/elacity-player/browser/player.js:349</x:v>
      </x:c>
    </x:row>
    <x:row r="50" ht="172.5" customHeight="1">
      <x:c r="A50" s="57" t="str">
        <x:v>F-35</x:v>
      </x:c>
      <x:c r="B50" s="39" t="str">
        <x:v>Created ZIP is not delivered to Archive</x:v>
      </x:c>
      <x:c r="C50" s="39" t="str">
        <x:v>Open defect</x:v>
      </x:c>
      <x:c r="D50" s="39" t="str">
        <x:v>P2</x:v>
      </x:c>
      <x:c r="E50" s="39" t="str">
        <x:v>A viewer accepts object delivery only from its exact admitted Home sender.</x:v>
      </x:c>
      <x:c r="F50" s="39" t="str">
        <x:v>Archive currently accepts opaque parent messages, while Home delivery comes from the top host. E-050 proves the returned ZIP is lost at this handoff.</x:v>
      </x:c>
      <x:c r="G50" s="39" t="str">
        <x:v>Handle object delivery with the exact admitted top source/origin/token contract; keep menu sender checks separate where topology differs.</x:v>
      </x:c>
      <x:c r="H50" s="39" t="str">
        <x:v>Reuse existing Home delivery. Avoid accepting any parent/top origin or adding a polling fallback.</x:v>
      </x:c>
      <x:c r="I50" s="39" t="str">
        <x:v>Principles 3, 4, 16. Home owns viewer delivery; Runtime owns object authorization; Archive renders the object.</x:v>
      </x:c>
      <x:c r="J50" s="39" t="str">
        <x:v>Nested create/open delivers the exact audit ZIP and entries. Wrong-source/origin/stale-token messages fail. Picker Cancel returns focus.</x:v>
      </x:c>
      <x:c r="K50" s="39" t="str">
        <x:v>F-28 is related topology, not proof of an identical implementation.</x:v>
      </x:c>
      <x:c r="L50" s="39" t="str">
        <x:v>capsules/archive-manager/browser/index.html:817; capsules/home/browser/home-shell-host.js:635; E-050; capsules/archive-manager/browser/index.html:817</x:v>
      </x:c>
    </x:row>
    <x:row r="51" ht="172.5" customHeight="1">
      <x:c r="A51" s="57" t="str">
        <x:v>F-36</x:v>
      </x:c>
      <x:c r="B51" s="39" t="str">
        <x:v>Archive labels an empty text file as binary</x:v>
      </x:c>
      <x:c r="C51" s="39" t="str">
        <x:v>Open defect</x:v>
      </x:c>
      <x:c r="D51" s="39" t="str">
        <x:v>P3</x:v>
      </x:c>
      <x:c r="E51" s="39" t="str">
        <x:v>Present empty text differs from absent or binary text.</x:v>
      </x:c>
      <x:c r="F51" s="39" t="str">
        <x:v>renderEntryPreview chooses binary copy on an empty string. The type check already exposes the distinction and should control rendering.</x:v>
      </x:c>
      <x:c r="G51" s="39" t="str">
        <x:v>Branch on whether previewData.text is a string, with an accurate empty-text state.</x:v>
      </x:c>
      <x:c r="H51" s="39" t="str">
        <x:v>Use the existing data field; avoid MIME guessing or a new preview adapter.</x:v>
      </x:c>
      <x:c r="I51" s="39" t="str">
        <x:v>Principles 11, 14. Archive faithfully presents the provider's bounded preview.</x:v>
      </x:c>
      <x:c r="J51" s="39" t="str">
        <x:v>Empty string, nonempty string, absent field and binary fixtures each render correct safe text.</x:v>
      </x:c>
      <x:c r="K51" s="39" t="str">
        <x:v>F-35 handoff can gate live fixture delivery.</x:v>
      </x:c>
      <x:c r="L51" s="39" t="str">
        <x:v>capsules/archive-manager/browser/index.html:1157; E-050; capsules/archive-manager/browser/index.html:1157</x:v>
      </x:c>
    </x:row>
    <x:row r="52" ht="172.5" customHeight="1">
      <x:c r="A52" s="57" t="str">
        <x:v>F-37</x:v>
      </x:c>
      <x:c r="B52" s="39" t="str">
        <x:v>Archive contents pane uses a white surface in Dark theme</x:v>
      </x:c>
      <x:c r="C52" s="39" t="str">
        <x:v>Open defect</x:v>
      </x:c>
      <x:c r="D52" s="39" t="str">
        <x:v>P2</x:v>
      </x:c>
      <x:c r="E52" s="39" t="str">
        <x:v>A themed list uses compatible surface and text tokens.</x:v>
      </x:c>
      <x:c r="F52" s="39" t="str">
        <x:v>Current Archive content-pane is #fff while its text follows dark ink. E-050 confirms unreadable dark content.</x:v>
      </x:c>
      <x:c r="G52" s="39" t="str">
        <x:v>Replace the local white surface with the shared theme surface and check selection contrast.</x:v>
      </x:c>
      <x:c r="H52" s="39" t="str">
        <x:v>Remove the hard-coded exception; retain existing layout and token system.</x:v>
      </x:c>
      <x:c r="I52" s="39" t="str">
        <x:v>Principles 7, 17. Archive owns layout; shared tokens own theme semantics.</x:v>
      </x:c>
      <x:c r="J52" s="39" t="str">
        <x:v>Loaded archive entries, selected row and preview remain readable in Dark/Light and compact width.</x:v>
      </x:c>
      <x:c r="K52" s="39" t="str">
        <x:v>Same root-cause class as F-22, separate artifact.</x:v>
      </x:c>
      <x:c r="L52" s="39" t="str">
        <x:v>capsules/archive-manager/browser/index.html:313; E-050; capsules/archive-manager/browser/index.html:313</x:v>
      </x:c>
    </x:row>
    <x:row r="53" ht="172.5" customHeight="1">
      <x:c r="A53" s="57" t="str">
        <x:v>F-38</x:v>
      </x:c>
      <x:c r="B53" s="39" t="str">
        <x:v>Empty Trash asks users to upload or create a folder</x:v>
      </x:c>
      <x:c r="C53" s="39" t="str">
        <x:v>Open defect</x:v>
      </x:c>
      <x:c r="D53" s="39" t="str">
        <x:v>P3</x:v>
      </x:c>
      <x:c r="E53" s="39" t="str">
        <x:v>Empty-state guidance offers actions the current location actually supports.</x:v>
      </x:c>
      <x:c r="F53" s="39" t="str">
        <x:v>Library falls through to upload/create copy for empty Trash. Space copy also assumes write capability and needs a bounded check.</x:v>
      </x:c>
      <x:c r="G53" s="39" t="str">
        <x:v>Use Trash-specific copy and existing write-capability facts for Space guidance.</x:v>
      </x:c>
      <x:c r="H53" s="39" t="str">
        <x:v>Keep a small existing empty-state function; avoid exposing unavailable actions to satisfy the copy.</x:v>
      </x:c>
      <x:c r="I53" s="39" t="str">
        <x:v>Principles 3, 11, 14. Runtime supplies capabilities; Library explains them.</x:v>
      </x:c>
      <x:c r="J53" s="39" t="str">
        <x:v>Empty Trash, read-only Space, writable folder and search-with-no-results each show suitable instructions.</x:v>
      </x:c>
      <x:c r="K53" s="39" t="str">
        <x:v>Do not change Trash or Space authority.</x:v>
      </x:c>
      <x:c r="L53" s="39" t="str">
        <x:v>capsules/library/browser/src/render.js:78; E-051; capsules/library/browser/src/render.js:78</x:v>
      </x:c>
    </x:row>
    <x:row r="54" ht="172.5" customHeight="1">
      <x:c r="A54" s="57" t="str">
        <x:v>F-39</x:v>
      </x:c>
      <x:c r="B54" s="39" t="str">
        <x:v>Emulator game keys intercept utility controls</x:v>
      </x:c>
      <x:c r="C54" s="39" t="str">
        <x:v>Open defect</x:v>
      </x:c>
      <x:c r="D54" s="39" t="str">
        <x:v>P2</x:v>
      </x:c>
      <x:c r="E54" s="39" t="str">
        <x:v>Game input belongs to game focus; utility controls retain native keys.</x:v>
      </x:c>
      <x:c r="F54" s="39" t="str">
        <x:v>Window-level mapped-key handling prevents utility button/range behavior. E-052 confirms affected Enter and slider arrows.</x:v>
      </x:c>
      <x:c r="G54" s="39" t="str">
        <x:v>Scope game keys/state shortcuts to intended game focus and release held inputs when that focus is lost.</x:v>
      </x:c>
      <x:c r="H54" s="39" t="str">
        <x:v>Fix the common input owner check; avoid special cases on each utility control.</x:v>
      </x:c>
      <x:c r="I54" s="39" t="str">
        <x:v>Principles 7, 17, 18. Emulator owns game input only within its active surface.</x:v>
      </x:c>
      <x:c r="J54" s="39" t="str">
        <x:v>Pause/Save/Load accept Enter/Space; slider arrows change volume without game movement; game controls work and blur releases inputs.</x:v>
      </x:c>
      <x:c r="K54" s="39" t="str">
        <x:v>F-42 nested picker activation is a separate path.</x:v>
      </x:c>
      <x:c r="L54" s="39" t="str">
        <x:v>capsules/gba-emulator/browser/emulator.js:407; E-052; capsules/gba-emulator/browser/emulator.js:407</x:v>
      </x:c>
    </x:row>
    <x:row r="55" ht="172.5" customHeight="1">
      <x:c r="A55" s="57" t="str">
        <x:v>F-40</x:v>
      </x:c>
      <x:c r="B55" s="39" t="str">
        <x:v>Emulator Fast Forward does not expose its active state</x:v>
      </x:c>
      <x:c r="C55" s="39" t="str">
        <x:v>Open defect</x:v>
      </x:c>
      <x:c r="D55" s="39" t="str">
        <x:v>P3</x:v>
      </x:c>
      <x:c r="E55" s="39" t="str">
        <x:v>A toggle exposes the same state visually and to assistive technology.</x:v>
      </x:c>
      <x:c r="F55" s="39" t="str">
        <x:v>Fast Forward changes speed and CSS class only. The current accessible state does not identify active speed.</x:v>
      </x:c>
      <x:c r="G55" s="39" t="str">
        <x:v>Set aria-pressed or an equivalent state on the existing toggle from the actual fastForward value.</x:v>
      </x:c>
      <x:c r="H55" s="39" t="str">
        <x:v>Add one state binding; avoid another speed control or duplicate state variable.</x:v>
      </x:c>
      <x:c r="I55" s="39" t="str">
        <x:v>Principles 7, 17. Emulator reports the state it applies to its engine.</x:v>
      </x:c>
      <x:c r="J55" s="39" t="str">
        <x:v>False/true/false state matches 1x/4x/1x behavior, including fresh load and keyboard activation.</x:v>
      </x:c>
      <x:c r="K55" s="39" t="str">
        <x:v>F-39 covers activation ownership.</x:v>
      </x:c>
      <x:c r="L55" s="39" t="str">
        <x:v>capsules/gba-emulator/browser/emulator.js:485; E-052; capsules/gba-emulator/browser/emulator.js:485</x:v>
      </x:c>
    </x:row>
    <x:row r="56" ht="172.5" customHeight="1">
      <x:c r="A56" s="57" t="str">
        <x:v>F-41</x:v>
      </x:c>
      <x:c r="B56" s="39" t="str">
        <x:v>Bundled uCity lacks creator attribution and ROM provenance</x:v>
      </x:c>
      <x:c r="C56" s="39" t="str">
        <x:v>Release gate</x:v>
      </x:c>
      <x:c r="D56" s="39" t="str">
        <x:v>P2</x:v>
      </x:c>
      <x:c r="E56" s="39" t="str">
        <x:v>Bundled content has traceable bytes, creator credit and matching distribution terms.</x:v>
      </x:c>
      <x:c r="F56" s="39" t="str">
        <x:v>Package evidence lacks a ROM source receipt/notices. Upstream credits AntonioND/SkyLyrac and uses different terms for code, art and music. The capsule publisher can legitimately differ from the game creator.</x:v>
      </x:c>
      <x:c r="G56" s="39" t="str">
        <x:v>Match the ROM hash to its source/release and include applicable notices/creator credit. Confirm schema meaning before changing author.</x:v>
      </x:c>
      <x:c r="H56" s="39" t="str">
        <x:v>Keep publisher and creator facts distinct. Avoid guessed provenance, wholesale metadata renaming or an unsupported legal conclusion.</x:v>
      </x:c>
      <x:c r="I56" s="39" t="str">
        <x:v>Principles 2, 12, 13, 15. Package publisher owns provenance; content retains its creator identity.</x:v>
      </x:c>
      <x:c r="J56" s="39" t="str">
        <x:v>Verify exact ROM hash/source, notice inventory and installed metadata. Release review decides distribution suitability from the matched artifact.</x:v>
      </x:c>
      <x:c r="K56" s="39" t="str">
        <x:v>Related to packaging rather than emulator runtime defects.</x:v>
      </x:c>
      <x:c r="L56" s="39" t="str">
        <x:v>capsules/gba-ucity/capsule.json; https://github.com/AntonioND/ucity-advance#credits; https://github.com/AntonioND/ucity-advance#licenses; E-052; https://github.com/AntonioND/ucity-advance#credits; https://github.com/AntonioND/ucity-advance#licenses; https://codeberg.org/SkyLyrac/ucity-advance/releases</x:v>
      </x:c>
    </x:row>
    <x:row r="57" ht="172.5" customHeight="1">
      <x:c r="A57" s="57" t="str">
        <x:v>F-42</x:v>
      </x:c>
      <x:c r="B57" s="39" t="str">
        <x:v>Emulator installed-ROM keyboard selection opens Library instead</x:v>
      </x:c>
      <x:c r="C57" s="39" t="str">
        <x:v>Open defect</x:v>
      </x:c>
      <x:c r="D57" s="39" t="str">
        <x:v>P2</x:v>
      </x:c>
      <x:c r="E57" s="39" t="str">
        <x:v>Installed-game buttons and the Library picker are separate valid controls.</x:v>
      </x:c>
      <x:c r="F57" s="39" t="str">
        <x:v>An interactive drop-zone wraps game buttons and captures their Enter/Space. E-052 confirms the wrong destination.</x:v>
      </x:c>
      <x:c r="G57" s="39" t="str">
        <x:v>Separate the native Library action from installed-game buttons; ensure exact-target activation.</x:v>
      </x:c>
      <x:c r="H57" s="39" t="str">
        <x:v>Remove nested interactive semantics rather than adding more propagation exceptions.</x:v>
      </x:c>
      <x:c r="I57" s="39" t="str">
        <x:v>Principles 7, 17. Each control names and activates its own target.</x:v>
      </x:c>
      <x:c r="J57" s="39" t="str">
        <x:v>Each installed game opens once with Enter/Space/pointer; only Library opens its picker; selection and Cancel preserve state.</x:v>
      </x:c>
      <x:c r="K57" s="39" t="str">
        <x:v>F-33 has the same event ownership pattern.</x:v>
      </x:c>
      <x:c r="L57" s="39" t="str">
        <x:v>capsules/gba-emulator/browser/index.html:20; capsules/gba-emulator/browser/emulator.js:505; E-052; capsules/gba-emulator/browser/index.html:20; emulator.js:505</x:v>
      </x:c>
    </x:row>
    <x:row r="58" ht="172.5" customHeight="1">
      <x:c r="A58" s="57" t="str">
        <x:v>F-43</x:v>
      </x:c>
      <x:c r="B58" s="39" t="str">
        <x:v>Browser navigation and recovery can stall in a visible foreground session</x:v>
      </x:c>
      <x:c r="C58" s="39" t="str">
        <x:v>Diagnose</x:v>
      </x:c>
      <x:c r="D58" s="39" t="str">
        <x:v>P1</x:v>
      </x:c>
      <x:c r="E58" s="39" t="str">
        <x:v>A requested Browser navigation settles to the requested page or a bounded failure.</x:v>
      </x:c>
      <x:c r="F58" s="39" t="str">
        <x:v>Foreground and background stalls are observed, with positive runs also recorded. The exact lifecycle/transport cause remains unconfirmed; stale status alone cannot explain an unchanged page.</x:v>
      </x:c>
      <x:c r="G58" s="39" t="str">
        <x:v>Capture a bounded same-session navigation trace and identify the failing owner before selecting a code change.</x:v>
      </x:c>
      <x:c r="H58" s="39" t="str">
        <x:v>Keep one Runtime lifecycle and existing profile. Avoid new fallback sessions, reset loops or profile deletion as a diagnostic shortcut.</x:v>
      </x:c>
      <x:c r="I58" s="39" t="str">
        <x:v>Principles 4, 10, 11, 18, 19. Runtime owns page lifecycle and exact cleanup; providers own media/engine execution.</x:v>
      </x:c>
      <x:c r="J58" s="39" t="str">
        <x:v>Repeat harmless foreground navigation and close/reopen with exact page identity, outcome and cleanup. Background recovery needs its own preserved-profile proof.</x:v>
      </x:c>
      <x:c r="K58" s="39" t="str">
        <x:v>F-52 status is separate; F-54/F-55 input are separate.</x:v>
      </x:c>
      <x:c r="L58" s="39" t="str">
        <x:v>elastos/crates/elastos-server/src/runtime_control.rs; elastos/crates/elastos-server/src/api/gateway/gateway_browser; E-053; E-060; E-064; E-084</x:v>
      </x:c>
    </x:row>
    <x:row r="59" ht="172.5" customHeight="1">
      <x:c r="A59" s="57" t="str">
        <x:v>F-44</x:v>
      </x:c>
      <x:c r="B59" s="39" t="str">
        <x:v>Direct Desktop–Terminal switching stalls</x:v>
      </x:c>
      <x:c r="C59" s="39" t="str">
        <x:v>Partial fix</x:v>
      </x:c>
      <x:c r="D59" s="39" t="str">
        <x:v>P1</x:v>
      </x:c>
      <x:c r="E59" s="39" t="str">
        <x:v>A shell transition has one admitted owner and a visible terminal outcome.</x:v>
      </x:c>
      <x:c r="F59" s="39" t="str">
        <x:v>Recovery/authority fixes are present and Desktop recovery passed. E-106 still shows a direct transition stall; debugger influence remains unisolated.</x:v>
      </x:c>
      <x:c r="G59" s="39" t="str">
        <x:v>Keep the verified recovery path. Diagnose navigation before changing more bootstrap or shell-authority code.</x:v>
      </x:c>
      <x:c r="H59" s="39" t="str">
        <x:v>Consolidate around the canonical transition; add neither parallel bootstrap paths nor reload loops to claim success.</x:v>
      </x:c>
      <x:c r="I59" s="39" t="str">
        <x:v>Principles 4, 10, 11, 16, 18. Runtime selects the shell; host owns transition; GUI/CLI own their surfaces.</x:v>
      </x:c>
      <x:c r="J59" s="39" t="str">
        <x:v>Desktop to Terminal and back works without reload, preserving context. Isolated start failure shows usable recovery and releases exact ownership.</x:v>
      </x:c>
      <x:c r="K59" s="39" t="str">
        <x:v>Blocks full F-58 proof; F-47 and F-53 stay closed.</x:v>
      </x:c>
      <x:c r="L59" s="39" t="str">
        <x:v>capsules/home/browser/home-shell-host.js; capsules/home/browser/shell-core.js; capsules/home-cli/browser/home-cli.js; elastos/crates/elastos-server/src/runtime_control.rs; E-054; E-057; E-058; E-064; E-074; E-075; E-076; E-087; E-089; E-090; E-091; E-092; E-093; E-094; E-095; E-096; E-106</x:v>
      </x:c>
    </x:row>
    <x:row r="60" ht="172.5" customHeight="1">
      <x:c r="A60" s="57" t="str">
        <x:v>F-45</x:v>
      </x:c>
      <x:c r="B60" s="39" t="str">
        <x:v>Markdown links lose closing parentheses from their destination</x:v>
      </x:c>
      <x:c r="C60" s="39" t="str">
        <x:v>Open defect</x:v>
      </x:c>
      <x:c r="D60" s="39" t="str">
        <x:v>P2</x:v>
      </x:c>
      <x:c r="E60" s="39" t="str">
        <x:v>Supported Markdown links preserve their exact safe destination and parser progress.</x:v>
      </x:c>
      <x:c r="F60" s="39" t="str">
        <x:v>The current [^)]+ destination match truncates balanced parentheses. E-056 inspected the wrong href without navigating it.</x:v>
      </x:c>
      <x:c r="G60" s="39" t="str">
        <x:v>Use a bounded balanced/escaped destination scan in the supported inline-link path, preserving scheme checks and escaping.</x:v>
      </x:c>
      <x:c r="H60" s="39" t="str">
        <x:v>Keep the current safe subset; avoid a whole Markdown framework replacement for this bounded defect.</x:v>
      </x:c>
      <x:c r="I60" s="39" t="str">
        <x:v>Principles 2, 7, 12. Documents preserves link identity and safe rendering; navigation does not confer authority.</x:v>
      </x:c>
      <x:c r="J60" s="39" t="str">
        <x:v>Balanced/escaped parentheses render exact hrefs; incomplete input terminates; unsafe schemes remain inert. Inspect installed DOM without opening the links.</x:v>
      </x:c>
      <x:c r="K60" s="39" t="str">
        <x:v>F-23 loop repair remains closed.</x:v>
      </x:c>
      <x:c r="L60" s="39" t="str">
        <x:v>capsules/documents/browser/index.html:1408; E-056; capsules/documents/browser/index.html renderInlineMarkdown</x:v>
      </x:c>
    </x:row>
    <x:row r="61" ht="172.5" customHeight="1">
      <x:c r="A61" s="57" t="str">
        <x:v>F-46</x:v>
      </x:c>
      <x:c r="B61" s="39" t="str">
        <x:v>Library Properties tabs cannot be reached by keyboard</x:v>
      </x:c>
      <x:c r="C61" s="39" t="str">
        <x:v>Open defect</x:v>
      </x:c>
      <x:c r="D61" s="39" t="str">
        <x:v>P2</x:v>
      </x:c>
      <x:c r="E61" s="39" t="str">
        <x:v>A modal has keyboard-reachable controls and owns focus until dismissal.</x:v>
      </x:c>
      <x:c r="F61" s="39" t="str">
        <x:v>Current Properties tabs are click-only divs and modal entry/containment is incomplete. This is separate from the repaired theme.</x:v>
      </x:c>
      <x:c r="G61" s="39" t="str">
        <x:v>Use semantic keyboard tabs or simple native buttons with clear active-panel state, plus existing modal focus entry/containment/return.</x:v>
      </x:c>
      <x:c r="H61" s="39" t="str">
        <x:v>Choose the smallest valid control pattern; reuse modal handling instead of building a new UI framework.</x:v>
      </x:c>
      <x:c r="I61" s="39" t="str">
        <x:v>Principles 7, 17. Library owns modal interaction; Home chrome remains outside the active decision.</x:v>
      </x:c>
      <x:c r="J61" s="39" t="str">
        <x:v>Open by keyboard, switch all panels, cycle focus within the modal, Escape and return to invoker. Both themes and copy ownership stay correct.</x:v>
      </x:c>
      <x:c r="K61" s="39" t="str">
        <x:v>F-22 remains closed; F-56 is the same focus requirement in Documents.</x:v>
      </x:c>
      <x:c r="L61" s="39" t="str">
        <x:v>capsules/library/browser/src/dialog.js:82; capsules/library/browser/src/dialog.js:104; capsules/library/browser/src/dialog.js:1003; E-056; capsules/library/browser/src/dialog.js:82,104,1003</x:v>
      </x:c>
    </x:row>
    <x:row r="62" ht="172.5" customHeight="1">
      <x:c r="A62" s="57" t="str">
        <x:v>F-47</x:v>
      </x:c>
      <x:c r="B62" s="39" t="str">
        <x:v>Terminal shows device facts as the signed-in Home profile</x:v>
      </x:c>
      <x:c r="C62" s="39" t="str">
        <x:v>Retain fix</x:v>
      </x:c>
      <x:c r="D62" s="39" t="str">
        <x:v>Closed</x:v>
      </x:c>
      <x:c r="E62" s="39" t="str">
        <x:v>Desktop and Terminal show the same admitted principal and Runtime context.</x:v>
      </x:c>
      <x:c r="F62" s="39" t="str">
        <x:v>961bc323 and E-071 align Profile, Inbox, shell and ready state through the production Home issuer. Device fallback was a false identity source.</x:v>
      </x:c>
      <x:c r="G62" s="39" t="str">
        <x:v>Keep InternalShell admission and exact carried-principal agreement.</x:v>
      </x:c>
      <x:c r="H62" s="39" t="str">
        <x:v>Retain one canonical context projection; remove device-as-user fallback rather than broadening browser-origin trust.</x:v>
      </x:c>
      <x:c r="I62" s="39" t="str">
        <x:v>Principles 3, 4, 7, 16. Runtime issues Home authority; shells consume the same scoped facts.</x:v>
      </x:c>
      <x:c r="J62" s="39" t="str">
        <x:v>Retain cross-principal rejection, signed host-intent tests, exact binary parity and installed GUI/CLI comparison.</x:v>
      </x:c>
      <x:c r="K62" s="39" t="str">
        <x:v>F-44 transition and F-60 action result are independent.</x:v>
      </x:c>
      <x:c r="L62" s="39" t="str">
        <x:v>elastos/crates/elastos-server/src/api/gateway_home_terminal.rs:558; capsules/home-cli/src/runtime_io.rs; capsules/home-cli/src/tui_render.rs; elastos/crates/elastos-server/src/api/gateway.rs:318; elastos/crates/elastos-server/src/api/gateway_home_token.rs:669; E-058; E-065; E-066; E-067; E-069; E-070; E-071</x:v>
      </x:c>
    </x:row>
    <x:row r="63" ht="172.5" customHeight="1">
      <x:c r="A63" s="57" t="str">
        <x:v>F-48</x:v>
      </x:c>
      <x:c r="B63" s="39" t="str">
        <x:v>Library Search and name editor lack accessible names</x:v>
      </x:c>
      <x:c r="C63" s="39" t="str">
        <x:v>Open defect</x:v>
      </x:c>
      <x:c r="D63" s="39" t="str">
        <x:v>P2</x:v>
      </x:c>
      <x:c r="E63" s="39" t="str">
        <x:v>Search and object-name inputs state their purpose and expose associated errors.</x:v>
      </x:c>
      <x:c r="F63" s="39" t="str">
        <x:v>Search and generated rename/create inputs lack stable names; the current editor also has generic error reporting. Source and E-059 agree.</x:v>
      </x:c>
      <x:c r="G63" s="39" t="str">
        <x:v>Add stable labels and associated validation guidance to the existing fields.</x:v>
      </x:c>
      <x:c r="H63" s="39" t="str">
        <x:v>Share the small editor patch with remaining F-25 feedback. Avoid a new input component layer.</x:v>
      </x:c>
      <x:c r="I63" s="39" t="str">
        <x:v>Principles 7, 11, 14, 17. Library owns input semantics; Runtime enforces object rules.</x:v>
      </x:c>
      <x:c r="J63" s="39" t="str">
        <x:v>Search/create/rename have names in the accessibility tree. Invalid name announces its error; correction and Escape preserve verified behavior.</x:v>
      </x:c>
      <x:c r="K63" s="39" t="str">
        <x:v>F-25 partial repair; F-26 remains closed.</x:v>
      </x:c>
      <x:c r="L63" s="39" t="str">
        <x:v>capsules/library/browser/index.html:60; capsules/library/browser/src/editor.js:95; E-059; capsules/library/browser/src/editor.js:95; browser/index.html:60</x:v>
      </x:c>
    </x:row>
    <x:row r="64" ht="172.5" customHeight="1">
      <x:c r="A64" s="57" t="str">
        <x:v>F-49</x:v>
      </x:c>
      <x:c r="B64" s="39" t="str">
        <x:v>Saved Documents are absent from Home Search</x:v>
      </x:c>
      <x:c r="C64" s="39" t="str">
        <x:v>Open defect</x:v>
      </x:c>
      <x:c r="D64" s="39" t="str">
        <x:v>P2</x:v>
      </x:c>
      <x:c r="E64" s="39" t="str">
        <x:v>Search promises only results that have an authorized data producer.</x:v>
      </x:c>
      <x:c r="F64" s="39" t="str">
        <x:v>Home reads summary.documents, but HomeSummaryResponse does not define it. Saved audit documents are absent; broader file-search coverage cannot be inferred.</x:v>
      </x:c>
      <x:c r="G64" s="39" t="str">
        <x:v>Choose and state supported search scope. If Documents are included, reuse a bounded Runtime-owned query/projection on demand; otherwise remove the dead branch and narrow the promise.</x:v>
      </x:c>
      <x:c r="H64" s="39" t="str">
        <x:v>Avoid adding every document to periodic Home summaries or building another index without a demonstrated need.</x:v>
      </x:c>
      <x:c r="I64" s="39" t="str">
        <x:v>Principles 1, 3, 4, 5, 10. Runtime scopes document facts to the principal; Home ranks and opens admitted results.</x:v>
      </x:c>
      <x:c r="J64" s="39" t="str">
        <x:v>Search the saved fixture by supported title/name and open the exact object; foreign-principal data stays absent. Apps and Desktop-file search remain correct.</x:v>
      </x:c>
      <x:c r="K64" s="39" t="str">
        <x:v>F-15 panel fix stays closed.</x:v>
      </x:c>
      <x:c r="L64" s="39" t="str">
        <x:v>capsules/home-gui/browser/shell-spotlight.js:79; capsules/home-gui/browser/shell-spotlight.js:119; elastos/crates/elastos-server/src/api/gateway_models.rs:2; E-061; shell-spotlight.js:79,119; api/gateway_models.rs:2</x:v>
      </x:c>
    </x:row>
    <x:row r="65" ht="172.5" customHeight="1">
      <x:c r="A65" s="57" t="str">
        <x:v>F-50</x:v>
      </x:c>
      <x:c r="B65" s="39" t="str">
        <x:v>Documents context actions lose their selected document</x:v>
      </x:c>
      <x:c r="C65" s="39" t="str">
        <x:v>Open defect</x:v>
      </x:c>
      <x:c r="D65" s="39" t="str">
        <x:v>P2</x:v>
      </x:c>
      <x:c r="E65" s="39" t="str">
        <x:v>An action stays bound to the object the user selected when invoking it.</x:v>
      </x:c>
      <x:c r="F65" s="39" t="str">
        <x:v>runContextMenuAction clears contextMenuDocDid before lookup. Current source confirms the no-op for object actions; only Duplicate was activated live.</x:v>
      </x:c>
      <x:c r="G65" s="39" t="str">
        <x:v>Capture the exact object identity before dismissing the menu, then validate that identity before dispatch.</x:v>
      </x:c>
      <x:c r="H65" s="39" t="str">
        <x:v>Keep one action path; avoid resolving whichever object happens to become current later.</x:v>
      </x:c>
      <x:c r="I65" s="39" t="str">
        <x:v>Principles 2, 3, 16, 19. UI preserves intent identity; Runtime checks authority and revisions; destructive effects require confirmation.</x:v>
      </x:c>
      <x:c r="J65" s="39" t="str">
        <x:v>Duplicate an unselected fixture into a distinct object. Delete opens a named confirmation; Cancel preserves both. Stale/deleted target fails safely.</x:v>
      </x:c>
      <x:c r="K65" s="39" t="str">
        <x:v>Publish/Delete failures are source-derived, not live destructive tests.</x:v>
      </x:c>
      <x:c r="L65" s="39" t="str">
        <x:v>capsules/documents/browser/index.html:1815; capsules/documents/browser/index.html:2914; capsules/documents/browser/index.html:2924; E-062; capsules/documents/browser/index.html:1879,3105,3115</x:v>
      </x:c>
    </x:row>
    <x:row r="66" ht="172.5" customHeight="1">
      <x:c r="A66" s="57" t="str">
        <x:v>F-51</x:v>
      </x:c>
      <x:c r="B66" s="39" t="str">
        <x:v>Home Close discards Documents edits before autosave</x:v>
      </x:c>
      <x:c r="C66" s="39" t="str">
        <x:v>Retain fix</x:v>
      </x:c>
      <x:c r="D66" s="39" t="str">
        <x:v>Closed</x:v>
      </x:c>
      <x:c r="E66" s="39" t="str">
        <x:v>Closing an editor resolves unsaved state before its frame is removed.</x:v>
      </x:c>
      <x:c r="F66" s="39" t="str">
        <x:v>c8f244cc adds the bound close handshake; 35 focused tests and installed Save/Discard/Cancel proof are recorded.</x:v>
      </x:c>
      <x:c r="G66" s="39" t="str">
        <x:v>Keep the verified handshake and explicit user decision.</x:v>
      </x:c>
      <x:c r="H66" s="39" t="str">
        <x:v>Retain one close protocol; avoid autosave delays, forced flush guesses or parallel unload logic as substitutes.</x:v>
      </x:c>
      <x:c r="I66" s="39" t="str">
        <x:v>Principles 1, 3, 16, 18, 19. Home owns frame lifecycle; Documents owns dirty state; Runtime owns persistence.</x:v>
      </x:c>
      <x:c r="J66" s="39" t="str">
        <x:v>Retain sub-900ms close, delayed discard, failed save, duplicate close and accepted reopen outcomes. Modal focus remains F-56.</x:v>
      </x:c>
      <x:c r="K66" s="39" t="str">
        <x:v>F-56 does not reopen the completed data-loss fix.</x:v>
      </x:c>
      <x:c r="L66" s="39" t="str">
        <x:v>capsules/documents/browser/index.html:1743; capsules/documents/browser/index.html:3166; capsules/home-gui/browser/shell-windows.js:1531; E-063; E-064</x:v>
      </x:c>
    </x:row>
    <x:row r="67" ht="172.5" customHeight="1">
      <x:c r="A67" s="57" t="str">
        <x:v>F-52</x:v>
      </x:c>
      <x:c r="B67" s="39" t="str">
        <x:v>Browser keeps Opening status after navigation completes</x:v>
      </x:c>
      <x:c r="C67" s="39" t="str">
        <x:v>Open defect</x:v>
      </x:c>
      <x:c r="D67" s="39" t="str">
        <x:v>P2</x:v>
      </x:c>
      <x:c r="E67" s="39" t="str">
        <x:v>Status belongs to the exact navigation and reflects its actual settlement.</x:v>
      </x:c>
      <x:c r="F67" s="39" t="str">
        <x:v>navigateAddress sets sticky Opening; recorded successful pages/history still retain it. Acceptance of an input request alone is not evidence that a page finished.</x:v>
      </x:c>
      <x:c r="G67" s="39" t="str">
        <x:v>Clear/replace pending status when the matching navigation settles, guarding against stale responses.</x:v>
      </x:c>
      <x:c r="H67" s="39" t="str">
        <x:v>Use the existing page/navigation owner. Avoid clearing all status in finally or inventing another loading state.</x:v>
      </x:c>
      <x:c r="I67" s="39" t="str">
        <x:v>Principles 11, 18, 19. Runtime/provider reports the outcome; Browser presents the current owner's state.</x:v>
      </x:c>
      <x:c r="J67" s="39" t="str">
        <x:v>Navigate, Back/Forward/Refresh settle accurately; delayed old responses preserve newer loading/error states. A genuinely stalled page remains reported as pending/failure.</x:v>
      </x:c>
      <x:c r="K67" s="39" t="str">
        <x:v>F-43 remains a real page stall.</x:v>
      </x:c>
      <x:c r="L67" s="39" t="str">
        <x:v>capsules/browser/browser/browser.js:166; capsules/browser/browser/browser.js:1988; E-064; capsules/browser/browser/browser.js:1988</x:v>
      </x:c>
    </x:row>
    <x:row r="68" ht="172.5" customHeight="1">
      <x:c r="A68" s="57" t="str">
        <x:v>F-53</x:v>
      </x:c>
      <x:c r="B68" s="39" t="str">
        <x:v>Terminal can hide startup errors before its viewer attaches</x:v>
      </x:c>
      <x:c r="C68" s="39" t="str">
        <x:v>Retain fix</x:v>
      </x:c>
      <x:c r="D68" s="39" t="str">
        <x:v>Closed</x:v>
      </x:c>
      <x:c r="E68" s="39" t="str">
        <x:v>Authorized late attachment receives bounded ordered startup output for its own session.</x:v>
      </x:c>
      <x:c r="F68" s="39" t="str">
        <x:v>56ae1aed and E-085/E-087 prove replay bounds, expiry and positive installed startup. Isolated negative tests support failure behavior; live injection was omitted.</x:v>
      </x:c>
      <x:c r="G68" s="39" t="str">
        <x:v>Keep session-owned replay, bounded late archive and visible recovery controls.</x:v>
      </x:c>
      <x:c r="H68" s="39" t="str">
        <x:v>Retain strict bounds and expiry; avoid persistent global terminal logs or duplicate delivery paths.</x:v>
      </x:c>
      <x:c r="I68" s="39" t="str">
        <x:v>Principles 3, 4, 11, 18. Runtime owns terminal output/lifecycle and per-session authorization.</x:v>
      </x:c>
      <x:c r="J68" s="39" t="str">
        <x:v>Retain early stdout/error/exit, delayed attach, reconnect ordering and cross-session denial tests with installed positive proof.</x:v>
      </x:c>
      <x:c r="K68" s="39" t="str">
        <x:v>F-60 later natural stop showed retained output; its exit cause remains open.</x:v>
      </x:c>
      <x:c r="L68" s="39" t="str">
        <x:v>elastos/crates/elastos-server/src/api/gateway_home_terminal.rs:331; elastos/crates/elastos-server/src/api/gateway_home_terminal.rs:604; elastos/crates/elastos-server/src/api/gateway_home_terminal.rs:870; capsules/home-cli/browser/home-cli.js:410; E-067; E-068; E-085; E-086; E-087</x:v>
      </x:c>
    </x:row>
    <x:row r="69" ht="172.5" customHeight="1">
      <x:c r="A69" s="57" t="str">
        <x:v>F-54</x:v>
      </x:c>
      <x:c r="B69" s="39" t="str">
        <x:v>Browser can reorder text around line breaks</x:v>
      </x:c>
      <x:c r="C69" s="39" t="str">
        <x:v>Open defect</x:v>
      </x:c>
      <x:c r="D69" s="39" t="str">
        <x:v>P1</x:v>
      </x:c>
      <x:c r="E69" s="39" t="str">
        <x:v>Input is applied in the order the user issued it within one Browser page.</x:v>
      </x:c>
      <x:c r="F69" s="39" t="str">
        <x:v>Printable text uses independent HTTP requests while control keys can use RTC. Source lacks a shared ordering boundary; E-073 shows multiline corruption.</x:v>
      </x:c>
      <x:c r="G69" s="39" t="str">
        <x:v>Use one page-owned ordered dispatch with application-order acknowledgement for text and keys. Retired-page input is cancelled.</x:v>
      </x:c>
      <x:c r="H69" s="39" t="str">
        <x:v>Converge input ordering instead of adding delays/retries. Keep existing Runtime text mediation and separate media transport.</x:v>
      </x:c>
      <x:c r="I69" s="39" t="str">
        <x:v>Principles 4, 7, 18, 19. Runtime/provider owns ordered effects for the exact page; Clipboard consent stays with Home.</x:v>
      </x:c>
      <x:c r="J69" s="39" t="str">
        <x:v>Delay text and interleave Enter/Backspace/Tab plus page retirement. Exact multiline content/focus/order match in deterministic and installed tests.</x:v>
      </x:c>
      <x:c r="K69" s="39" t="str">
        <x:v>F-55 can share input-surface work but needs distinct assertions.</x:v>
      </x:c>
      <x:c r="L69" s="39" t="str">
        <x:v>capsules/browser/browser/browser-input-surface.js:369; capsules/browser/browser/browser-input-surface.js:395; capsules/browser/browser/browser.js:1342; E-073</x:v>
      </x:c>
    </x:row>
    <x:row r="70" ht="172.5" customHeight="1">
      <x:c r="A70" s="57" t="str">
        <x:v>F-55</x:v>
      </x:c>
      <x:c r="B70" s="39" t="str">
        <x:v>Browser drops common editing shortcuts</x:v>
      </x:c>
      <x:c r="C70" s="39" t="str">
        <x:v>Open defect</x:v>
      </x:c>
      <x:c r="D70" s="39" t="str">
        <x:v>P2</x:v>
      </x:c>
      <x:c r="E70" s="39" t="str">
        <x:v>Supported remote editing keys retain their modifiers without taking Home shortcuts.</x:v>
      </x:c>
      <x:c r="F70" s="39" t="str">
        <x:v>Current handler returns for Ctrl/Meta/Alt except explicit copy/paste paths. E-073 confirms selection/navigation shortcuts fail.</x:v>
      </x:c>
      <x:c r="G70" s="39" t="str">
        <x:v>Forward the supported normalized editing modifiers to the exact active page while preserving reserved Home/Clipboard handling.</x:v>
      </x:c>
      <x:c r="H70" s="39" t="str">
        <x:v>Use one input classifier and the F-54 ordered dispatcher; avoid shortcut-specific transport paths.</x:v>
      </x:c>
      <x:c r="I70" s="39" t="str">
        <x:v>Principles 3, 4, 7, 18. Home owns local shortcuts/Clipboard; remote page owns admitted editing keys.</x:v>
      </x:c>
      <x:c r="J70" s="39" t="str">
        <x:v>Control/Command+A and modified navigation/selection/delete work in a harmless field. Home shortcuts, paste consent and stale-page rejection remain correct.</x:v>
      </x:c>
      <x:c r="K70" s="39" t="str">
        <x:v>F-54 ordering is a prerequisite for reliable mixed input.</x:v>
      </x:c>
      <x:c r="L70" s="39" t="str">
        <x:v>capsules/browser/browser/browser-input-surface.js:364; E-073</x:v>
      </x:c>
    </x:row>
    <x:row r="71" ht="172.5" customHeight="1">
      <x:c r="A71" s="57" t="str">
        <x:v>F-56</x:v>
      </x:c>
      <x:c r="B71" s="39" t="str">
        <x:v>Documents close dialog lets Tab escape into Home</x:v>
      </x:c>
      <x:c r="C71" s="39" t="str">
        <x:v>Open defect</x:v>
      </x:c>
      <x:c r="D71" s="39" t="str">
        <x:v>P2</x:v>
      </x:c>
      <x:c r="E71" s="39" t="str">
        <x:v>A close decision owns keyboard focus while the editor remains unresolved.</x:v>
      </x:c>
      <x:c r="F71" s="39" t="str">
        <x:v>E-081 and current div modal show Tab escaping to Home. aria-modal labels intent but does not implement containment.</x:v>
      </x:c>
      <x:c r="G71" s="39" t="str">
        <x:v>Use the existing modal mechanism or the smallest focus-containment repair and restore editor focus on Cancel.</x:v>
      </x:c>
      <x:c r="H71" s="39" t="str">
        <x:v>Preserve the F-51 close protocol. A native dialog is useful only if nested Home/iframe focus behavior is verified.</x:v>
      </x:c>
      <x:c r="I71" s="39" t="str">
        <x:v>Principles 7, 16, 17, 18. Documents owns the decision; Home preserves the app until the accepted outcome.</x:v>
      </x:c>
      <x:c r="J71" s="39" t="str">
        <x:v>Tab/Shift+Tab stay in Cancel/Discard/Save; Escape/Cancel returns focus. Save, save failure and delayed Discard retain their data behavior.</x:v>
      </x:c>
      <x:c r="K71" s="39" t="str">
        <x:v>F-51 remains closed; F-46 shares the focus requirement.</x:v>
      </x:c>
      <x:c r="L71" s="39" t="str">
        <x:v>capsules/documents/browser/index.html:1284; capsules/documents/browser/index.html:1838; capsules/documents/browser/index.html:3351; E-081</x:v>
      </x:c>
    </x:row>
    <x:row r="72" ht="172.5" customHeight="1">
      <x:c r="A72" s="57" t="str">
        <x:v>F-57</x:v>
      </x:c>
      <x:c r="B72" s="39" t="str">
        <x:v>Narrow Library Details keeps headers for hidden values</x:v>
      </x:c>
      <x:c r="C72" s="39" t="str">
        <x:v>Open defect</x:v>
      </x:c>
      <x:c r="D72" s="39" t="str">
        <x:v>P3</x:v>
      </x:c>
      <x:c r="E72" s="39" t="str">
        <x:v>A compact table's headers describe its visible fields.</x:v>
      </x:c>
      <x:c r="F72" s="39" t="str">
        <x:v>At max-width 720px the row metadata cells are hidden while headers remain. E-083 confirms the mismatch.</x:v>
      </x:c>
      <x:c r="G72" s="39" t="str">
        <x:v>Hide matching headers with the existing compact rule, or retain equivalent readable metadata consistently.</x:v>
      </x:c>
      <x:c r="H72" s="39" t="str">
        <x:v>Use the same breakpoint and selectors; avoid a second compact renderer.</x:v>
      </x:c>
      <x:c r="I72" s="39" t="str">
        <x:v>Principles 7, 17. Library owns consistent responsive presentation.</x:v>
      </x:c>
      <x:c r="J72" s="39" t="str">
        <x:v>At 680px and wide width, headers match rows; view switching preserves folder/selection; restoring width restores metadata.</x:v>
      </x:c>
      <x:c r="K72" s="39" t="str">
        <x:v>Independent layout defect.</x:v>
      </x:c>
      <x:c r="L72" s="39" t="str">
        <x:v>capsules/library/browser/library.css:1547; capsules/library/browser/library.css:1590; E-083; capsules/library/browser/library.css:1547-1590</x:v>
      </x:c>
    </x:row>
    <x:row r="73" ht="172.5" customHeight="1">
      <x:c r="A73" s="57" t="str">
        <x:v>F-58</x:v>
      </x:c>
      <x:c r="B73" s="39" t="str">
        <x:v>Terminal marks a reviewable Inbox request unavailable</x:v>
      </x:c>
      <x:c r="C73" s="39" t="str">
        <x:v>Partial fix</x:v>
      </x:c>
      <x:c r="D73" s="39" t="str">
        <x:v>P2</x:v>
      </x:c>
      <x:c r="E73" s="39" t="str">
        <x:v>A Desktop-only review remains available as an explicit exact-request handoff.</x:v>
      </x:c>
      <x:c r="F73" s="39" t="str">
        <x:v>b233d832 corrects the false unavailable label and binds selection in source. E-106 verifies the label but F-44 prevents end-to-end destination delivery.</x:v>
      </x:c>
      <x:c r="G73" s="39" t="str">
        <x:v>Keep the current bounded handoff and verify it after F-44. Report failure without losing the selected request.</x:v>
      </x:c>
      <x:c r="H73" s="39" t="str">
        <x:v>Avoid another approval executor in Terminal or a second Inbox state store.</x:v>
      </x:c>
      <x:c r="I73" s="39" t="str">
        <x:v>Principles 3, 4, 7, 16, 19. Home owns shell handoff; Inbox presents the request; Runtime/Wallet own approval.</x:v>
      </x:c>
      <x:c r="J73" s="39" t="str">
        <x:v>Controlled request reaches the same Desktop review after explicit handoff. Missing/stale requests fail safely. Review leaves approval, read and dismissal state unchanged.</x:v>
      </x:c>
      <x:c r="K73" s="39" t="str">
        <x:v>Blocked by F-44; distinct from F-60 native Chat.</x:v>
      </x:c>
      <x:c r="L73" s="39" t="str">
        <x:v>capsules/home-cli/src/tui_render.rs:210; capsules/home-cli/src/view_models.rs:240; E-087; E-088; E-102; E-104; E-105; E-106</x:v>
      </x:c>
    </x:row>
    <x:row r="74" ht="172.5" customHeight="1">
      <x:c r="A74" s="57" t="str">
        <x:v>F-59</x:v>
      </x:c>
      <x:c r="B74" s="39" t="str">
        <x:v>Invalid custom accent silently reverts</x:v>
      </x:c>
      <x:c r="C74" s="39" t="str">
        <x:v>Open defect</x:v>
      </x:c>
      <x:c r="D74" s="39" t="str">
        <x:v>P3</x:v>
      </x:c>
      <x:c r="E74" s="39" t="str">
        <x:v>Invalid appearance input preserves the saved value and explains how to correct it.</x:v>
      </x:c>
      <x:c r="F74" s="39" t="str">
        <x:v>commitAccentCustomHexInput silently restores controls on invalid normalization. E-097 confirms safe rejection with missing feedback.</x:v>
      </x:c>
      <x:c r="G74" s="39" t="str">
        <x:v>Add a short associated hex-format error to the existing field and clear it after correction.</x:v>
      </x:c>
      <x:c r="H74" s="39" t="str">
        <x:v>Keep the normalizer and single preference write path; avoid another color parser or picker.</x:v>
      </x:c>
      <x:c r="I74" s="39" t="str">
        <x:v>Principles 7, 11, 17. System validates presentation input; Runtime owns saved preference state.</x:v>
      </x:c>
      <x:c r="J74" s="39" t="str">
        <x:v>Invalid input on Enter/blur keeps saved color and exposes guidance; valid correction clears it. Restore the original appearance after proof.</x:v>
      </x:c>
      <x:c r="K74" s="39" t="str">
        <x:v>Independent input feedback defect.</x:v>
      </x:c>
      <x:c r="L74" s="39" t="str">
        <x:v>capsules/system/browser/system.js:490; capsules/system/browser/index.html:142; E-097; capsules/system/browser/system.js:490</x:v>
      </x:c>
    </x:row>
    <x:row r="75" ht="172.5" customHeight="1">
      <x:c r="A75" s="57" t="str">
        <x:v>F-60</x:v>
      </x:c>
      <x:c r="B75" s="39" t="str">
        <x:v>Ready Chat action has no visible result</x:v>
      </x:c>
      <x:c r="C75" s="39" t="str">
        <x:v>Diagnose</x:v>
      </x:c>
      <x:c r="D75" s="39" t="str">
        <x:v>P2</x:v>
      </x:c>
      <x:c r="E75" s="39" t="str">
        <x:v>A ready action opens its declared experience or returns an explicit failure.</x:v>
      </x:c>
      <x:c r="F75" s="39" t="str">
        <x:v>E-101 proves missing visible result. Source dispatches Chat as ManagedChat via run_chat_from_home; it does not promise a GUI Chat window. The later process exit cause and host-intent hypothesis remain unproved.</x:v>
      </x:c>
      <x:c r="G75" s="39" t="str">
        <x:v>Trace the managed native Chat invocation and settlement. Fix only the demonstrated dispatch/output cause; keep the current declared experience.</x:v>
      </x:c>
      <x:c r="H75" s="39" t="str">
        <x:v>Remove the assumption that all Chat actions need Desktop handoff. Avoid merging this into F-58 or adding a GUI fallback.</x:v>
      </x:c>
      <x:c r="I75" s="39" t="str">
        <x:v>Principles 4, 7, 10, 11, 18. Runtime owns managed Chat execution and return; Terminal exposes its result.</x:v>
      </x:c>
      <x:c r="J75" s="39" t="str">
        <x:v>Activate Chat and see its native interactive view or bounded error, then return to Home. Send no message; capture exact process/output outcome.</x:v>
      </x:c>
      <x:c r="K75" s="39" t="str">
        <x:v>F-44/F-58 are separate until a shared cause is demonstrated.</x:v>
      </x:c>
      <x:c r="L75" s="39" t="str">
        <x:v>elastos/crates/elastos-server/src/home_cmd.rs:2401; capsules/home-cli/src/runtime_io.rs:298; capsules/home-cli/browser/home-cli.js:371; E-101; elastos/crates/elastos-server/src/home_cmd.rs:2169,2378,2401</x:v>
      </x:c>
    </x:row>
    <x:row r="76" ht="172.5" customHeight="1">
      <x:c r="A76" s="57" t="str">
        <x:v>F-61</x:v>
      </x:c>
      <x:c r="B76" s="39" t="str">
        <x:v>Capsule manifest retained stale asset hashes</x:v>
      </x:c>
      <x:c r="C76" s="39" t="str">
        <x:v>Retain fix</x:v>
      </x:c>
      <x:c r="D76" s="39" t="str">
        <x:v>Closed</x:v>
      </x:c>
      <x:c r="E76" s="39" t="str">
        <x:v>Installation metadata describes the exact artifacts that the user runs.</x:v>
      </x:c>
      <x:c r="F76" s="39" t="str">
        <x:v>E-105 repairs six stale asset records and proves 19 source/installed/served/manifest matches plus Runtime/native CLI. The original gap was in audit installation verification.</x:v>
      </x:c>
      <x:c r="G76" s="39" t="str">
        <x:v>Keep per-asset manifest comparison in the existing verification path.</x:v>
      </x:c>
      <x:c r="H76" s="39" t="str">
        <x:v>Use the canonical metadata stamper and receipt; avoid duplicate manifests or treating a receipt hash alone as asset proof.</x:v>
      </x:c>
      <x:c r="I76" s="39" t="str">
        <x:v>Principles 10, 12, 13. Installer owns artifact receipts; audit independently checks actual bytes.</x:v>
      </x:c>
      <x:c r="J76" s="39" t="str">
        <x:v>Retain 19-asset equality and native/runtime hashes. Re-run this gate for future installations, including approved incoming changes.</x:v>
      </x:c>
      <x:c r="K76" s="39" t="str">
        <x:v>Audit-owned correction. Incoming 7e4b0dd4 remains uninstalled.</x:v>
      </x:c>
      <x:c r="L76" s="39" t="str">
        <x:v>audit verification process; scripts/stamp-source-home-capsule-metadata.py; E-105; E-105; verify-install.mjs</x:v>
      </x:c>
    </x:row>
  </x:sheetData>
  <x:mergeCells>
    <x:mergeCell ref="A1:F1"/>
    <x:mergeCell ref="G1:L1"/>
    <x:mergeCell ref="A2:F3"/>
    <x:mergeCell ref="G2:L3"/>
    <x:mergeCell ref="A5:B5"/>
    <x:mergeCell ref="D5:F5"/>
    <x:mergeCell ref="G5:L5"/>
    <x:mergeCell ref="A6:B6"/>
    <x:mergeCell ref="A7:B7"/>
    <x:mergeCell ref="A8:B8"/>
    <x:mergeCell ref="A9:B9"/>
    <x:mergeCell ref="A10:B10"/>
    <x:mergeCell ref="A11:B11"/>
    <x:mergeCell ref="A12:B12"/>
    <x:mergeCell ref="A13:B13"/>
    <x:mergeCell ref="D6:F8"/>
    <x:mergeCell ref="D9:F11"/>
    <x:mergeCell ref="D12:E13"/>
    <x:mergeCell ref="G6:L8"/>
    <x:mergeCell ref="G9:L11"/>
    <x:mergeCell ref="G12:L13"/>
  </x:mergeCells>
  <x:conditionalFormatting sqref="C16:C76">
    <x:cfRule type="containsText" dxfId="29" priority="1" operator="containsText" text="Retain fix"/>
    <x:cfRule type="containsText" dxfId="30" priority="2" operator="containsText" text="Verify fix"/>
    <x:cfRule type="containsText" dxfId="31" priority="3" operator="containsText" text="Open defect"/>
    <x:cfRule type="containsText" dxfId="32" priority="4" operator="containsText" text="Partial fix"/>
    <x:cfRule type="containsText" dxfId="33" priority="5" operator="containsText" text="Diagnose"/>
    <x:cfRule type="containsText" dxfId="34" priority="6" operator="containsText" text="Setup gate"/>
    <x:cfRule type="containsText" dxfId="35" priority="7" operator="containsText" text="Scope decision"/>
    <x:cfRule type="containsText" dxfId="36" priority="8" operator="containsText" text="Release gate"/>
  </x:conditionalFormatting>
  <x:dataValidations count="1">
    <x:dataValidation type="list" sqref="C16:C76">
      <x:formula1>"Retain fix,Verify fix,Open defect,Partial fix,Diagnose,Setup gate,Scope decision,Release gate"</x:formula1>
    </x:dataValidation>
  </x:dataValidations>
  <x:pageMargins left="0.7" right="0.7" top="0.75" bottom="0.75" header="0.3" footer="0.3"/>
  <x:tableParts count="1">
    <x:tablePart xmlns:r="http://schemas.openxmlformats.org/officeDocument/2006/relationships" r:id="R485b724059314d7e"/>
  </x:tableParts>
</x:worksheet>
</file>